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787CE9D2-34BC-4BA0-8E75-0AFF362CEA4E}" xr6:coauthVersionLast="47" xr6:coauthVersionMax="47" xr10:uidLastSave="{00000000-0000-0000-0000-000000000000}"/>
  <bookViews>
    <workbookView xWindow="-120" yWindow="-120" windowWidth="29040" windowHeight="1572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S18" i="3" s="1"/>
  <c r="P17" i="7" s="1"/>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5" i="3" l="1"/>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<sst xmlns="http://schemas.openxmlformats.org/spreadsheetml/2006/main" count="28633" uniqueCount="9077">
  <si>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</si>
  <si>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</si>
  <si>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</si>
  <si>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</si>
  <si>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</si>
  <si>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</si>
  <si>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</si>
  <si>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</si>
  <si>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</si>
  <si>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</si>
  <si>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</si>
  <si>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</si>
  <si>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</si>
  <si>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</si>
  <si>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</si>
  <si>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</si>
  <si>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</si>
  <si>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</si>
  <si>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</si>
  <si>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</si>
  <si>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</si>
  <si>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</si>
  <si>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</si>
  <si>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</si>
  <si>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</si>
  <si>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</si>
  <si>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</si>
  <si>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</si>
  <si>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</si>
  <si>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</si>
  <si>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</si>
  <si>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</si>
  <si>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</si>
  <si>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</si>
  <si>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</si>
  <si>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</si>
  <si>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</si>
  <si>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</si>
  <si>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</si>
  <si>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</si>
  <si>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</si>
  <si>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</si>
  <si>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</si>
  <si>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</si>
  <si>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</si>
  <si>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</si>
  <si>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</si>
  <si>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</si>
  <si>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</si>
  <si>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</si>
  <si>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</si>
  <si>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</si>
  <si>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</si>
  <si>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</si>
  <si>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</si>
  <si>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</si>
  <si>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</si>
  <si>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</si>
  <si>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</si>
  <si>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</si>
  <si>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</si>
  <si>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</si>
  <si>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</si>
  <si>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</si>
  <si>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</si>
  <si>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</si>
  <si>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</si>
  <si>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</si>
  <si>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</si>
  <si>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</si>
  <si>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</si>
  <si>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</si>
  <si>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</si>
  <si>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</si>
  <si>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</si>
  <si>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</si>
  <si>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</si>
  <si>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</si>
  <si>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</si>
  <si>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</si>
  <si>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</si>
  <si>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</si>
  <si>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</si>
  <si>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</si>
  <si>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</si>
  <si>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</si>
  <si>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</si>
  <si>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</si>
  <si>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</si>
  <si>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</si>
  <si>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</si>
  <si>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</si>
  <si>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</si>
  <si>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</si>
  <si>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</si>
  <si>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</si>
  <si>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</si>
  <si>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</si>
  <si>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</si>
  <si>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</si>
  <si>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</si>
  <si>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</si>
  <si>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</si>
  <si>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</si>
  <si>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</si>
  <si>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</si>
  <si>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</si>
  <si>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</si>
  <si>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</si>
  <si>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</si>
  <si>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</si>
  <si>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</si>
  <si>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</si>
  <si>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</si>
  <si>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</si>
  <si>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</si>
  <si>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</si>
  <si>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</si>
  <si>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</si>
  <si>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</si>
  <si>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</si>
  <si>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</si>
  <si>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</si>
  <si>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</si>
  <si>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</si>
  <si>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</si>
  <si>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</si>
  <si>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</si>
  <si>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</si>
  <si>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</si>
  <si>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</si>
  <si>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</si>
  <si>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</si>
  <si>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</si>
  <si>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</si>
  <si>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</si>
  <si>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</si>
  <si>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</si>
  <si>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</si>
  <si>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</si>
  <si>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</si>
  <si>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</si>
  <si>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</si>
  <si>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</si>
  <si>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</si>
  <si>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</si>
  <si>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</si>
  <si>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</si>
  <si>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</si>
  <si>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</si>
  <si>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</si>
  <si>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</si>
  <si>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</si>
  <si>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</si>
  <si>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</si>
  <si>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</si>
  <si>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</si>
  <si>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</si>
  <si>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</si>
  <si>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</si>
  <si>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</si>
  <si>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</si>
  <si>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</si>
  <si>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</si>
  <si>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</si>
  <si>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</si>
  <si>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</si>
  <si>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</si>
  <si>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</si>
  <si>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</si>
  <si>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</si>
  <si>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</si>
  <si>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</si>
  <si>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</si>
  <si>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</si>
  <si>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</si>
  <si>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</si>
  <si>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</si>
  <si>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</si>
  <si>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</si>
  <si>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</si>
  <si>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</si>
  <si>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</si>
  <si>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</si>
  <si>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</si>
  <si>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</si>
  <si>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</si>
  <si>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</si>
  <si>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</si>
  <si>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</si>
  <si>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</si>
  <si>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</si>
  <si>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</si>
  <si>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</si>
  <si>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</si>
  <si>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</si>
  <si>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</si>
  <si>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</si>
  <si>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</si>
  <si>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</si>
  <si>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</si>
  <si>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</si>
  <si>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</si>
  <si>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</si>
  <si>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</si>
  <si>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</si>
  <si>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</si>
  <si>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</si>
  <si>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</si>
  <si>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</si>
  <si>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</si>
  <si>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</si>
  <si>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</si>
  <si>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</si>
  <si>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</si>
  <si>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</si>
  <si>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</si>
  <si>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</si>
  <si>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</si>
  <si>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</si>
  <si>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</si>
  <si>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</si>
  <si>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</si>
  <si>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</si>
  <si>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</si>
  <si>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</si>
  <si>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</si>
  <si>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</si>
  <si>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</si>
  <si>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</si>
  <si>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</si>
  <si>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</si>
  <si>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</si>
  <si>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</si>
  <si>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</si>
  <si>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</si>
  <si>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</si>
  <si>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</si>
  <si>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</si>
  <si>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</si>
  <si>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</si>
  <si>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</si>
  <si>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</si>
  <si>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</si>
  <si>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</si>
  <si>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</si>
  <si>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</si>
  <si>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</si>
  <si>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</si>
  <si>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</si>
  <si>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</si>
  <si>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</si>
  <si>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</si>
  <si>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</si>
  <si>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</si>
  <si>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</si>
  <si>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</si>
  <si>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</si>
  <si>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</si>
  <si>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</si>
  <si>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</si>
  <si>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</si>
  <si>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</si>
  <si>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</si>
  <si>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</si>
  <si>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</si>
  <si>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</si>
  <si>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</si>
  <si>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</si>
  <si>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</si>
  <si>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</si>
  <si>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</si>
  <si>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</si>
  <si>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</si>
  <si>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</si>
  <si>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</si>
  <si>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</si>
  <si>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</si>
  <si>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</si>
  <si>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</si>
  <si>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</si>
  <si>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</si>
  <si>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</si>
  <si>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</si>
  <si>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</si>
  <si>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</si>
  <si>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</si>
  <si>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</si>
  <si>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</si>
  <si>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</si>
  <si>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</si>
  <si>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</si>
  <si>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</si>
  <si>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</si>
  <si>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</si>
  <si>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</si>
  <si>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</si>
  <si>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</si>
  <si>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</si>
  <si>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</si>
  <si>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</si>
  <si>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</si>
  <si>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</si>
  <si>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</si>
  <si>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</si>
  <si>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</si>
  <si>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</si>
  <si>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</si>
  <si>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</si>
  <si>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</si>
  <si>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</si>
  <si>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</si>
  <si>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</si>
  <si>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</si>
  <si>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</si>
  <si>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</si>
  <si>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</si>
  <si>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</si>
  <si>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</si>
  <si>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</si>
  <si>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</si>
  <si>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</si>
  <si>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</si>
  <si>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</si>
  <si>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</si>
  <si>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</si>
  <si>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</si>
  <si>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</si>
  <si>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</si>
  <si>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</si>
  <si>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</si>
  <si>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</si>
  <si>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</si>
  <si>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</si>
  <si>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</si>
  <si>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</si>
  <si>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</si>
  <si>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</si>
  <si>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</si>
  <si>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</si>
  <si>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</si>
  <si>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</si>
  <si>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</si>
  <si>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</si>
  <si>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</si>
  <si>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</si>
  <si>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</si>
  <si>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</si>
  <si>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</si>
  <si>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</si>
  <si>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</si>
  <si>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</si>
  <si>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</si>
  <si>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</si>
  <si>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</si>
  <si>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</si>
  <si>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</si>
  <si>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</si>
  <si>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</si>
  <si>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</si>
  <si>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</si>
  <si>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</si>
  <si>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</si>
  <si>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</si>
  <si>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</si>
  <si>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</si>
  <si>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</si>
  <si>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</si>
  <si>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</si>
  <si>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</si>
  <si>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</si>
  <si>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</si>
  <si>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</si>
  <si>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</si>
  <si>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</si>
  <si>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</si>
  <si>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</si>
  <si>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</si>
  <si>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</si>
  <si>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</si>
  <si>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</si>
  <si>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</si>
  <si>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</si>
  <si>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</si>
  <si>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</si>
  <si>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</si>
  <si>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</si>
  <si>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</si>
  <si>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</si>
  <si>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</si>
  <si>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</si>
  <si>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</si>
  <si>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</si>
  <si>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</si>
  <si>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</si>
  <si>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</si>
  <si>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</si>
  <si>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</si>
  <si>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</si>
  <si>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</si>
  <si>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</si>
  <si>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</si>
  <si>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</si>
  <si>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</si>
  <si>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</si>
  <si>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</si>
  <si>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</si>
  <si>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</si>
  <si>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</si>
  <si>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</si>
  <si>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</si>
  <si>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</si>
  <si>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</si>
  <si>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</si>
  <si>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</si>
  <si>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</si>
  <si>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</si>
  <si>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</si>
  <si>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</si>
  <si>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</si>
  <si>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</si>
  <si>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</si>
  <si>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</si>
  <si>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</si>
  <si>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</si>
  <si>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</si>
  <si>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</si>
  <si>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</si>
  <si>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</si>
  <si>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</si>
  <si>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</si>
  <si>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</si>
  <si>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</si>
  <si>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</si>
  <si>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</si>
  <si>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</si>
  <si>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</si>
  <si>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</si>
  <si>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</si>
  <si>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</si>
  <si>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</si>
  <si>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</si>
  <si>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</si>
  <si>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</si>
  <si>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</si>
  <si>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</si>
  <si>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</si>
  <si>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</si>
  <si>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</si>
  <si>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</si>
  <si>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</si>
  <si>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</si>
  <si>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</si>
  <si>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</si>
  <si>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</si>
  <si>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</si>
  <si>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</si>
  <si>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</si>
  <si>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</si>
  <si>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</si>
  <si>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</si>
  <si>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</si>
  <si>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</si>
  <si>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</si>
  <si>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</si>
  <si>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</si>
  <si>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</si>
  <si>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</si>
  <si>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</si>
  <si>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</si>
  <si>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</si>
  <si>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</si>
  <si>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</si>
  <si>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</si>
  <si>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</si>
  <si>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</si>
  <si>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</si>
  <si>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</si>
  <si>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</si>
  <si>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</si>
  <si>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</si>
  <si>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</si>
  <si>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</si>
  <si>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</si>
  <si>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</si>
  <si>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</si>
  <si>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</si>
  <si>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</si>
  <si>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</si>
  <si>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</si>
  <si>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</si>
  <si>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</si>
  <si>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</si>
  <si>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</si>
  <si>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</si>
  <si>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</si>
  <si>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</si>
  <si>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</si>
  <si>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</si>
  <si>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</si>
  <si>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</si>
  <si>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</si>
  <si>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</si>
  <si>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</si>
  <si>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</si>
  <si>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</si>
  <si>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</si>
  <si>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</si>
  <si>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</si>
  <si>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</si>
  <si>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</si>
  <si>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</si>
  <si>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</si>
  <si>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</si>
  <si>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</si>
  <si>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</si>
  <si>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</si>
  <si>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</si>
  <si>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</si>
  <si>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</si>
  <si>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</si>
  <si>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</si>
  <si>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</si>
  <si>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</si>
  <si>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</si>
  <si>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</si>
  <si>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</si>
  <si>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</si>
  <si>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</si>
  <si>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</si>
  <si>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</si>
  <si>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</si>
  <si>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</si>
  <si>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</si>
  <si>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</si>
  <si>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</si>
  <si>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</si>
  <si>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</si>
  <si>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</si>
  <si>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</si>
  <si>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</si>
  <si>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</si>
  <si>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</si>
  <si>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</si>
  <si>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</si>
  <si>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</si>
  <si>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</si>
  <si>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</si>
  <si>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</si>
  <si>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</si>
  <si>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</si>
  <si>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</si>
  <si>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</si>
  <si>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</si>
  <si>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</si>
  <si>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</si>
  <si>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</si>
  <si>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</si>
  <si>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</si>
  <si>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</si>
  <si>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</si>
  <si>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</si>
  <si>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</si>
  <si>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</si>
  <si>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</si>
  <si>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</si>
  <si>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</si>
  <si>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</si>
  <si>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</si>
  <si>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</si>
  <si>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</si>
  <si>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</si>
  <si>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</si>
  <si>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</si>
  <si>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</si>
  <si>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</si>
  <si>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</si>
  <si>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</si>
  <si>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</si>
  <si>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</si>
  <si>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</si>
  <si>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</si>
  <si>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</si>
  <si>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</si>
  <si>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</si>
  <si>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</si>
  <si>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</si>
  <si>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</si>
  <si>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</si>
  <si>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</si>
  <si>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</si>
  <si>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</si>
  <si>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</si>
  <si>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</si>
  <si>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</si>
  <si>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</si>
  <si>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</si>
  <si>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</si>
  <si>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</si>
  <si>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</si>
  <si>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</si>
  <si>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</si>
  <si>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</si>
  <si>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</si>
  <si>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</si>
  <si>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</si>
  <si>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</si>
  <si>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</si>
  <si>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</si>
  <si>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</si>
  <si>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</si>
  <si>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</si>
  <si>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</si>
  <si>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</si>
  <si>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</si>
  <si>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</si>
  <si>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</si>
  <si>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</si>
  <si>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</si>
  <si>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</si>
  <si>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</si>
  <si>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</si>
  <si>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</si>
  <si>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</si>
  <si>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</si>
  <si>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</si>
  <si>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</si>
  <si>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</si>
  <si>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</si>
  <si>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</si>
  <si>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</si>
  <si>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</si>
  <si>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</si>
  <si>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</si>
  <si>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</si>
  <si>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</si>
  <si>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</si>
  <si>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</si>
  <si>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</si>
  <si>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</si>
  <si>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</si>
  <si>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</si>
  <si>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</si>
  <si>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</si>
  <si>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</si>
  <si>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</si>
  <si>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</si>
  <si>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</si>
  <si>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</si>
  <si>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</si>
  <si>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</si>
  <si>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</si>
  <si>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</si>
  <si>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</si>
  <si>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</si>
  <si>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</si>
  <si>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</si>
  <si>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</si>
  <si>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</si>
  <si>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</si>
  <si>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</si>
  <si>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</si>
  <si>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</si>
  <si>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</si>
  <si>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</si>
  <si>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</si>
  <si>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</si>
  <si>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</si>
  <si>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</si>
  <si>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</si>
  <si>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</si>
  <si>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</si>
  <si>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</si>
  <si>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</si>
  <si>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</si>
  <si>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</si>
  <si>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</si>
  <si>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</si>
  <si>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</si>
  <si>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</si>
  <si>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</si>
  <si>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</si>
  <si>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</si>
  <si>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</si>
  <si>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</si>
  <si>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</si>
  <si>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</si>
  <si>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</si>
  <si>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</si>
  <si>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</si>
  <si>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</si>
  <si>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</si>
  <si>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</si>
  <si>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</si>
  <si>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</si>
  <si>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</si>
  <si>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</si>
  <si>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</si>
  <si>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</si>
  <si>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</si>
  <si>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</si>
  <si>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</si>
  <si>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</si>
  <si>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</si>
  <si>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</si>
  <si>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</si>
  <si>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</si>
  <si>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</si>
  <si>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</si>
  <si>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</si>
  <si>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</si>
  <si>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</si>
  <si>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</si>
  <si>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</si>
  <si>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</si>
  <si>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</si>
  <si>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</si>
  <si>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</si>
  <si>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</si>
  <si>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</si>
  <si>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</si>
  <si>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</si>
  <si>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</si>
  <si>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</si>
  <si>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</si>
  <si>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</si>
  <si>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</si>
  <si>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</si>
  <si>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</si>
  <si>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</si>
  <si>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</si>
  <si>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</si>
  <si>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</si>
  <si>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</si>
  <si>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</si>
  <si>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</si>
  <si>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</si>
  <si>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</si>
  <si>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</si>
  <si>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</si>
  <si>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</si>
  <si>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</si>
  <si>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</si>
  <si>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</si>
  <si>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</si>
  <si>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</si>
  <si>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</si>
  <si>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</si>
  <si>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</si>
  <si>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</si>
  <si>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</si>
  <si>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</si>
  <si>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</si>
  <si>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</si>
  <si>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</si>
  <si>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</si>
  <si>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</si>
  <si>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</si>
  <si>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</si>
  <si>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</si>
  <si>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</si>
  <si>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</si>
  <si>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</si>
  <si>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</si>
  <si>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</si>
  <si>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</si>
  <si>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</si>
  <si>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</si>
  <si>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</si>
  <si>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</si>
  <si>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</si>
  <si>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</si>
  <si>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</si>
  <si>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</si>
  <si>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</si>
  <si>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</si>
  <si>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</si>
  <si>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</si>
  <si>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</si>
  <si>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</si>
  <si>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</si>
  <si>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</si>
  <si>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</si>
  <si>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</si>
  <si>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</si>
  <si>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</si>
  <si>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</si>
  <si>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</si>
  <si>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</si>
  <si>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</si>
  <si>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</si>
  <si>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</si>
  <si>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</si>
  <si>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</si>
  <si>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</si>
  <si>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</si>
  <si>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</si>
  <si>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</si>
  <si>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</si>
  <si>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</si>
  <si>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</si>
  <si>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</si>
  <si>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</si>
  <si>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</si>
  <si>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</si>
  <si>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</si>
  <si>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</si>
  <si>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</si>
  <si>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</si>
  <si>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</si>
  <si>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</si>
  <si>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</si>
  <si>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</si>
  <si>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</si>
  <si>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</si>
  <si>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</si>
  <si>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</si>
  <si>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</si>
  <si>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</si>
  <si>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</si>
  <si>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</si>
  <si>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</si>
  <si>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</si>
  <si>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</si>
  <si>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</si>
  <si>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</si>
  <si>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</si>
  <si>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</si>
  <si>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</si>
  <si>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</si>
  <si>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</si>
  <si>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</si>
  <si>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</si>
  <si>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</si>
  <si>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</si>
  <si>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</si>
  <si>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</si>
  <si>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</si>
  <si>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</si>
  <si>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</si>
  <si>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</si>
  <si>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</si>
  <si>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</si>
  <si>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</si>
  <si>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</si>
  <si>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</si>
  <si>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</si>
  <si>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</si>
  <si>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</si>
  <si>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</si>
  <si>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</si>
  <si>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</si>
  <si>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</si>
  <si>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</si>
  <si>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</si>
  <si>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</si>
  <si>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</si>
  <si>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</si>
  <si>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</si>
  <si>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</si>
  <si>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</si>
  <si>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</si>
  <si>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</si>
  <si>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</si>
  <si>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</si>
  <si>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</si>
  <si>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</si>
  <si>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</si>
  <si>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</si>
  <si>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</si>
  <si>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</si>
  <si>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</si>
  <si>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</si>
  <si>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</si>
  <si>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</si>
  <si>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</si>
  <si>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</si>
  <si>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</si>
  <si>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</si>
  <si>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</si>
  <si>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</si>
  <si>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</si>
  <si>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</si>
  <si>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</si>
  <si>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</si>
  <si>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</si>
  <si>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</si>
  <si>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</si>
  <si>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</si>
  <si>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</si>
  <si>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</si>
  <si>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</si>
  <si>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</si>
  <si>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</si>
  <si>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</si>
  <si>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</si>
  <si>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</si>
  <si>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</si>
  <si>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</si>
  <si>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</si>
  <si>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</si>
  <si>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</si>
  <si>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</si>
  <si>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</si>
  <si>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</si>
  <si>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</si>
  <si>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</si>
  <si>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</si>
  <si>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</si>
  <si>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</si>
  <si>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</si>
  <si>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</si>
  <si>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</si>
  <si>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</si>
  <si>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</si>
  <si>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</si>
  <si>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</si>
  <si>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</si>
  <si>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</si>
  <si>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</si>
  <si>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</si>
  <si>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</si>
  <si>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</si>
  <si>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</si>
  <si>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</si>
  <si>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</si>
  <si>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</si>
  <si>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</si>
  <si>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</si>
  <si>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</si>
  <si>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</si>
  <si>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</si>
  <si>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</si>
  <si>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</si>
  <si>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</si>
  <si>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</si>
  <si>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</si>
  <si>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</si>
  <si>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</si>
  <si>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</si>
  <si>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</si>
  <si>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</si>
  <si>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</si>
  <si>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</si>
  <si>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</si>
  <si>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</si>
  <si>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</si>
  <si>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</si>
  <si>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</si>
  <si>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</si>
  <si>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</si>
  <si>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</si>
  <si>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</si>
  <si>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</si>
  <si>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</si>
  <si>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</si>
  <si>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</si>
  <si>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</si>
  <si>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</si>
  <si>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</si>
  <si>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</si>
  <si>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</si>
  <si>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</si>
  <si>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</si>
  <si>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</si>
  <si>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</si>
  <si>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</si>
  <si>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</si>
  <si>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</si>
  <si>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</si>
  <si>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</si>
  <si>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</si>
  <si>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</si>
  <si>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</si>
  <si>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</si>
  <si>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</si>
  <si>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</si>
  <si>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</si>
  <si>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</si>
  <si>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</si>
  <si>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</si>
  <si>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</si>
  <si>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</si>
  <si>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</si>
  <si>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</si>
  <si>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</si>
  <si>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</si>
  <si>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</si>
  <si>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</si>
  <si>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</si>
  <si>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</si>
  <si>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</si>
  <si>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</si>
  <si>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</si>
  <si>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</si>
  <si>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</si>
  <si>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</si>
  <si>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</si>
  <si>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</si>
  <si>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</si>
  <si>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</si>
  <si>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</si>
  <si>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</si>
  <si>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</si>
  <si>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</si>
  <si>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</si>
  <si>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</si>
  <si>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</si>
  <si>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</si>
  <si>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</si>
  <si>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</si>
  <si>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</si>
  <si>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</si>
  <si>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</si>
  <si>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</si>
  <si>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</si>
  <si>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</si>
  <si>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</si>
  <si>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</si>
  <si>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</si>
  <si>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</si>
  <si>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</si>
  <si>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</si>
  <si>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</si>
  <si>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</si>
  <si>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</si>
  <si>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</si>
  <si>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</si>
  <si>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</si>
  <si>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</si>
  <si>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</si>
  <si>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</si>
  <si>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</si>
  <si>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</si>
  <si>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</si>
  <si>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</si>
  <si>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</si>
  <si>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</si>
  <si>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</si>
  <si>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</si>
  <si>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</si>
  <si>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</si>
  <si>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</si>
  <si>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</si>
  <si>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</si>
  <si>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</si>
  <si>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</si>
  <si>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</si>
  <si>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</si>
  <si>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</si>
  <si>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</si>
  <si>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</si>
  <si>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</si>
  <si>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</si>
  <si>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</si>
  <si>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</si>
  <si>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</si>
  <si>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</si>
  <si>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</si>
  <si>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</si>
  <si>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</si>
  <si>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</si>
  <si>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</si>
  <si>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</si>
  <si>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</si>
  <si>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</si>
  <si>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</si>
  <si>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</si>
  <si>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</si>
  <si>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</si>
  <si>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</si>
  <si>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</si>
  <si>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</si>
  <si>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</si>
  <si>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</si>
  <si>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</si>
  <si>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</si>
  <si>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</si>
  <si>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</si>
  <si>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</si>
  <si>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</si>
  <si>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</si>
  <si>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</si>
  <si>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</si>
  <si>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</si>
  <si>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</si>
  <si>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</si>
  <si>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</si>
  <si>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</si>
  <si>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</si>
  <si>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</si>
  <si>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</si>
  <si>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</si>
  <si>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</si>
  <si>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</si>
  <si>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</si>
  <si>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</si>
  <si>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</si>
  <si>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</si>
  <si>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</si>
  <si>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</si>
  <si>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</si>
  <si>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</si>
  <si>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</si>
  <si>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</si>
  <si>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</si>
  <si>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</si>
  <si>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</si>
  <si>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</si>
  <si>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</si>
  <si>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</si>
  <si>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</si>
  <si>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</si>
  <si>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</si>
  <si>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</si>
  <si>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</si>
  <si>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</si>
  <si>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</si>
  <si>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</si>
  <si>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</si>
  <si>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</si>
  <si>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</si>
  <si>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</si>
  <si>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</si>
  <si>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</si>
  <si>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</si>
  <si>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</si>
  <si>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</si>
  <si>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</si>
  <si>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</si>
  <si>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</si>
  <si>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</si>
  <si>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</si>
  <si>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</si>
  <si>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</si>
  <si>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</si>
  <si>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</si>
  <si>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</si>
  <si>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</si>
  <si>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</si>
  <si>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</si>
  <si>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</si>
  <si>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</si>
  <si>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</si>
  <si>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</si>
  <si>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</si>
  <si>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</si>
  <si>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</si>
  <si>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</si>
  <si>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</si>
  <si>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</si>
  <si>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</si>
  <si>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</si>
  <si>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</si>
  <si>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</si>
  <si>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</si>
  <si>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</si>
  <si>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</si>
  <si>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</si>
  <si>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</si>
  <si>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</si>
  <si>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</si>
  <si>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</si>
  <si>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</si>
  <si>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</si>
  <si>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</si>
  <si>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</si>
  <si>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</si>
  <si>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</si>
  <si>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</si>
  <si>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</si>
  <si>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</si>
  <si>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</si>
  <si>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</si>
  <si>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</si>
  <si>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</si>
  <si>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</si>
  <si>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</si>
  <si>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</si>
  <si>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</si>
  <si>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</si>
  <si>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</si>
  <si>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</si>
  <si>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</si>
  <si>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</si>
  <si>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</si>
  <si>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</si>
  <si>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</si>
  <si>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</si>
  <si>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</si>
  <si>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</si>
  <si>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</si>
  <si>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</si>
  <si>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</si>
  <si>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</si>
  <si>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</si>
  <si>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</si>
  <si>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</si>
  <si>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</si>
  <si>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</si>
  <si>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</si>
  <si>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</si>
  <si>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</si>
  <si>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</si>
  <si>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</si>
  <si>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</si>
  <si>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</si>
  <si>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</si>
  <si>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</si>
  <si>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</si>
  <si>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</si>
  <si>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</si>
  <si>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</si>
  <si>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</si>
  <si>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</si>
  <si>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</si>
  <si>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</si>
  <si>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</si>
  <si>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</si>
  <si>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</si>
  <si>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</si>
  <si>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</si>
  <si>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</si>
  <si>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</si>
  <si>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</si>
  <si>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</si>
  <si>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</si>
  <si>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</si>
  <si>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</si>
  <si>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</si>
  <si>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</si>
  <si>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</si>
  <si>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</si>
  <si>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</si>
  <si>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</si>
  <si>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</si>
  <si>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</si>
  <si>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</si>
  <si>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</si>
  <si>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</si>
  <si>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</si>
  <si>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</si>
  <si>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</si>
  <si>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</si>
  <si>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</si>
  <si>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</si>
  <si>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</si>
  <si>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</si>
  <si>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</si>
  <si>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</si>
  <si>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</si>
  <si>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</si>
  <si>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</si>
  <si>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</si>
  <si>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</si>
  <si>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</si>
  <si>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</si>
  <si>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</si>
  <si>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</si>
  <si>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</si>
  <si>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</si>
  <si>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</si>
  <si>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</si>
  <si>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</si>
  <si>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</si>
  <si>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</si>
  <si>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</si>
  <si>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</si>
  <si>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</si>
  <si>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</si>
  <si>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</si>
  <si>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</si>
  <si>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</si>
  <si>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</si>
  <si>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</si>
  <si>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</si>
  <si>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</si>
  <si>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</si>
  <si>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</si>
  <si>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</si>
  <si>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</si>
  <si>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</si>
  <si>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</si>
  <si>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</si>
  <si>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</si>
  <si>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</si>
  <si>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</si>
  <si>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</si>
  <si>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</si>
  <si>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</si>
  <si>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</si>
  <si>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</si>
  <si>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</si>
  <si>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</si>
  <si>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</si>
  <si>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</si>
  <si>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</si>
  <si>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</si>
  <si>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</si>
  <si>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</si>
  <si>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</si>
  <si>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</si>
  <si>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</si>
  <si>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</si>
  <si>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</si>
  <si>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</si>
  <si>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</si>
  <si>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</si>
  <si>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</si>
  <si>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</si>
  <si>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</si>
  <si>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</si>
  <si>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</si>
  <si>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</si>
  <si>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</si>
  <si>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</si>
  <si>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</si>
  <si>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</si>
  <si>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</si>
  <si>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</si>
  <si>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</si>
  <si>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</si>
  <si>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</si>
  <si>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</si>
  <si>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</si>
  <si>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</si>
  <si>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</si>
  <si>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</si>
  <si>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</si>
  <si>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</si>
  <si>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</si>
  <si>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</si>
  <si>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</si>
  <si>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</si>
  <si>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</si>
  <si>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</si>
  <si>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</si>
  <si>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</si>
  <si>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</si>
  <si>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</si>
  <si>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</si>
  <si>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</si>
  <si>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</si>
  <si>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</si>
  <si>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</si>
  <si>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</si>
  <si>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</si>
  <si>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</si>
  <si>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</si>
  <si>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</si>
  <si>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</si>
  <si>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</si>
  <si>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</si>
  <si>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</si>
  <si>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</si>
  <si>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</si>
  <si>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</si>
  <si>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</si>
  <si>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</si>
  <si>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</si>
  <si>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</si>
  <si>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</si>
  <si>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</si>
  <si>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</si>
  <si>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</si>
  <si>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</si>
  <si>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</si>
  <si>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</si>
  <si>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</si>
  <si>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</si>
  <si>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</si>
  <si>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</si>
  <si>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</si>
  <si>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</si>
  <si>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</si>
  <si>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</si>
  <si>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</si>
  <si>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</si>
  <si>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</si>
  <si>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</si>
  <si>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</si>
  <si>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</si>
  <si>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</si>
  <si>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</si>
  <si>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</si>
  <si>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</si>
  <si>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</si>
  <si>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</si>
  <si>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</si>
  <si>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</si>
  <si>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</si>
  <si>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</si>
  <si>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</si>
  <si>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</si>
  <si>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</si>
  <si>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</si>
  <si>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</si>
  <si>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</si>
  <si>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</si>
  <si>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</si>
  <si>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</si>
  <si>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</si>
  <si>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</si>
  <si>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</si>
  <si>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</si>
  <si>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</si>
  <si>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</si>
  <si>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</si>
  <si>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</si>
  <si>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</si>
  <si>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</si>
  <si>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</si>
  <si>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</si>
  <si>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</si>
  <si>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</si>
  <si>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</si>
  <si>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</si>
  <si>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</si>
  <si>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</si>
  <si>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</si>
  <si>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</si>
  <si>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</si>
  <si>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</si>
  <si>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</si>
  <si>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</si>
  <si>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</si>
  <si>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</si>
  <si>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</si>
  <si>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</si>
  <si>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</si>
  <si>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</si>
  <si>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</si>
  <si>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</si>
  <si>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</si>
  <si>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</si>
  <si>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</si>
  <si>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</si>
  <si>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</si>
  <si>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</si>
  <si>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</si>
  <si>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</si>
  <si>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</si>
  <si>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</si>
  <si>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</si>
  <si>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</si>
  <si>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</si>
  <si>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</si>
  <si>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</si>
  <si>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</si>
  <si>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</si>
  <si>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</si>
  <si>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</si>
  <si>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</si>
  <si>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</si>
  <si>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</si>
  <si>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</si>
  <si>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</si>
  <si>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</si>
  <si>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</si>
  <si>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</si>
  <si>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</si>
  <si>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</si>
  <si>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</si>
  <si>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</si>
  <si>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</si>
  <si>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</si>
  <si>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</si>
  <si>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</si>
  <si>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</si>
  <si>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</si>
  <si>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</si>
  <si>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</si>
  <si>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</si>
  <si>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</si>
  <si>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</si>
  <si>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</si>
  <si>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</si>
  <si>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</si>
  <si>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</si>
  <si>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</si>
  <si>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</si>
  <si>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</si>
  <si>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</si>
  <si>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</si>
  <si>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</si>
  <si>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</si>
  <si>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</si>
  <si>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</si>
  <si>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</si>
  <si>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</si>
  <si>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</si>
  <si>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</si>
  <si>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</si>
  <si>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</si>
  <si>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</si>
  <si>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</si>
  <si>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</si>
  <si>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</si>
  <si>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</si>
  <si>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</si>
  <si>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</si>
  <si>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</si>
  <si>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</si>
  <si>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</si>
  <si>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</si>
  <si>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</si>
  <si>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</si>
  <si>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</si>
  <si>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</si>
  <si>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</si>
  <si>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</si>
  <si>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</si>
  <si>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</si>
  <si>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</si>
  <si>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</si>
  <si>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</si>
  <si>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</si>
  <si>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</si>
  <si>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</si>
  <si>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</si>
  <si>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</si>
  <si>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</si>
  <si>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</si>
  <si>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</si>
  <si>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</si>
  <si>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</si>
  <si>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</si>
  <si>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</si>
  <si>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</si>
  <si>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</si>
  <si>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</si>
  <si>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</si>
  <si>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</si>
  <si>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</si>
  <si>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</si>
  <si>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</si>
  <si>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</si>
  <si>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</si>
  <si>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</si>
  <si>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</si>
  <si>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</si>
  <si>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</si>
  <si>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</si>
  <si>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</si>
  <si>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</si>
  <si>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</si>
  <si>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</si>
  <si>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</si>
  <si>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</si>
  <si>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</si>
  <si>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</si>
  <si>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</si>
  <si>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</si>
  <si>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</si>
  <si>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</si>
  <si>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</si>
  <si>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</si>
  <si>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</si>
  <si>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</si>
  <si>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</si>
  <si>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</si>
  <si>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</si>
  <si>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</si>
  <si>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</si>
  <si>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</si>
  <si>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</si>
  <si>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</si>
  <si>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</si>
  <si>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</si>
  <si>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</si>
  <si>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</si>
  <si>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</si>
  <si>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</si>
  <si>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</si>
  <si>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</si>
  <si>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</si>
  <si>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</si>
  <si>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</si>
  <si>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</si>
  <si>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</si>
  <si>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</si>
  <si>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</si>
  <si>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</si>
  <si>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</si>
  <si>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</si>
  <si>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</si>
  <si>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</si>
  <si>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</si>
  <si>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</si>
  <si>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</si>
  <si>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</si>
  <si>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</si>
  <si>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</si>
  <si>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</si>
  <si>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</si>
  <si>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</si>
  <si>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</si>
  <si>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</si>
  <si>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</si>
  <si>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</si>
  <si>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</si>
  <si>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</si>
  <si>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</si>
  <si>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</si>
  <si>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</si>
  <si>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</si>
  <si>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</si>
  <si>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</si>
  <si>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</si>
  <si>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</si>
  <si>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</si>
  <si>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</si>
  <si>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</si>
  <si>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</si>
  <si>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</si>
  <si>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</si>
  <si>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</si>
  <si>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</si>
  <si>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</si>
  <si>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</si>
  <si>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</si>
  <si>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</si>
  <si>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</si>
  <si>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</si>
  <si>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</si>
  <si>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</si>
  <si>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</si>
  <si>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</si>
  <si>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</si>
  <si>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</si>
  <si>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</si>
  <si>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</si>
  <si>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</si>
  <si>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</si>
  <si>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</si>
  <si>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</si>
  <si>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</si>
  <si>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</si>
  <si>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</si>
  <si>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</si>
  <si>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</si>
  <si>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</si>
  <si>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</si>
  <si>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</si>
  <si>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</si>
  <si>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</si>
  <si>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</si>
  <si>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</si>
  <si>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</si>
  <si>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</si>
  <si>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</si>
  <si>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</si>
  <si>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</si>
  <si>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</si>
  <si>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</si>
  <si>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</si>
  <si>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</si>
  <si>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</si>
  <si>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</si>
  <si>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</si>
  <si>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</si>
  <si>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</si>
  <si>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</si>
  <si>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</si>
  <si>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</si>
  <si>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</si>
  <si>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</si>
  <si>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</si>
  <si>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</si>
  <si>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</si>
  <si>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</si>
  <si>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</si>
  <si>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</si>
  <si>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</si>
  <si>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</si>
  <si>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</si>
  <si>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</si>
  <si>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</si>
  <si>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</si>
  <si>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</si>
  <si>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</si>
  <si>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</si>
  <si>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</si>
  <si>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</si>
  <si>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</si>
  <si>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</si>
  <si>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</si>
  <si>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</si>
  <si>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</si>
  <si>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</si>
  <si>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</si>
  <si>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</si>
  <si>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</si>
  <si>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</si>
  <si>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</si>
  <si>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</si>
  <si>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</si>
  <si>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</si>
  <si>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</si>
  <si>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</si>
  <si>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</si>
  <si>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</si>
  <si>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</si>
  <si>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</si>
  <si>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</si>
  <si>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</si>
  <si>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</si>
  <si>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</si>
  <si>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</si>
  <si>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</si>
  <si>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</si>
  <si>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</si>
  <si>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</si>
  <si>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</si>
  <si>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</si>
  <si>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</si>
  <si>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</si>
  <si>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</si>
  <si>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</si>
  <si>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</si>
  <si>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</si>
  <si>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</si>
  <si>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</si>
  <si>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</si>
  <si>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</si>
  <si>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</si>
  <si>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</si>
  <si>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</si>
  <si>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</si>
  <si>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</si>
  <si>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</si>
  <si>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</si>
  <si>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</si>
  <si>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</si>
  <si>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</si>
  <si>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</si>
  <si>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</si>
  <si>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</si>
  <si>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</si>
  <si>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</si>
  <si>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</si>
  <si>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</si>
  <si>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</si>
  <si>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</si>
  <si>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</si>
  <si>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</si>
  <si>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</si>
  <si>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</si>
  <si>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</si>
  <si>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</si>
  <si>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</si>
  <si>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</si>
  <si>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</si>
  <si>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</si>
  <si>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</si>
  <si>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</si>
  <si>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</si>
  <si>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</si>
  <si>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</si>
  <si>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</si>
  <si>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</si>
  <si>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</si>
  <si>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</si>
  <si>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</si>
  <si>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</si>
  <si>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</si>
  <si>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</si>
  <si>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</si>
  <si>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</si>
  <si>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</si>
  <si>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</si>
  <si>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</si>
  <si>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</si>
  <si>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</si>
  <si>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</si>
  <si>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</si>
  <si>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</si>
  <si>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</si>
  <si>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</si>
  <si>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</si>
  <si>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</si>
  <si>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</si>
  <si>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</si>
  <si>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</si>
  <si>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</si>
  <si>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</si>
  <si>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</si>
  <si>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</si>
  <si>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</si>
  <si>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</si>
  <si>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</si>
  <si>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</si>
  <si>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</si>
  <si>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</si>
  <si>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</si>
  <si>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</si>
  <si>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</si>
  <si>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</si>
  <si>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</si>
  <si>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</si>
  <si>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</si>
  <si>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</si>
  <si>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</si>
  <si>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</si>
  <si>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</si>
  <si>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</si>
  <si>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</si>
  <si>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</si>
  <si>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</si>
  <si>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</si>
  <si>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</si>
  <si>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</si>
  <si>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</si>
  <si>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</si>
  <si>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</si>
  <si>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</si>
  <si>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</si>
  <si>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</si>
  <si>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</si>
  <si>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</si>
  <si>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</si>
  <si>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</si>
  <si>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</si>
  <si>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</si>
  <si>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</si>
  <si>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</si>
  <si>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</si>
  <si>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</si>
  <si>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</si>
  <si>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</si>
  <si>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</si>
  <si>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</si>
  <si>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</si>
  <si>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</si>
  <si>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</si>
  <si>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</si>
  <si>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</si>
  <si>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</si>
  <si>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</si>
  <si>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</si>
  <si>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</si>
  <si>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</si>
  <si>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</si>
  <si>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</si>
  <si>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</si>
  <si>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</si>
  <si>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</si>
  <si>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</si>
  <si>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</si>
  <si>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</si>
  <si>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</si>
  <si>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</si>
  <si>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</si>
  <si>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</si>
  <si>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</si>
  <si>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</si>
  <si>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</si>
  <si>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</si>
  <si>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</si>
  <si>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</si>
  <si>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</si>
  <si>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</si>
  <si>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</si>
  <si>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</si>
  <si>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</si>
  <si>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</si>
  <si>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</si>
  <si>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</si>
  <si>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</si>
  <si>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</si>
  <si>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</si>
  <si>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</si>
  <si>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</si>
  <si>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</si>
  <si>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</si>
  <si>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</si>
  <si>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</si>
  <si>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</si>
  <si>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</si>
  <si>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</si>
  <si>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</si>
  <si>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</si>
  <si>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</si>
  <si>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</si>
  <si>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</si>
  <si>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</si>
  <si>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</si>
  <si>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</si>
  <si>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</si>
  <si>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</si>
  <si>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</si>
  <si>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</si>
  <si>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</si>
  <si>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</si>
  <si>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</si>
  <si>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</si>
  <si>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</si>
  <si>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</si>
  <si>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</si>
  <si>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</si>
  <si>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</si>
  <si>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</si>
  <si>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</si>
  <si>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</si>
  <si>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</si>
  <si>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</si>
  <si>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</si>
  <si>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</si>
  <si>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</si>
  <si>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</si>
  <si>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</si>
  <si>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</si>
  <si>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</si>
  <si>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</si>
  <si>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</si>
  <si>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</si>
  <si>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</si>
  <si>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</si>
  <si>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</si>
  <si>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</si>
  <si>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</si>
  <si>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</si>
  <si>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</si>
  <si>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</si>
  <si>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</si>
  <si>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</si>
  <si>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</si>
  <si>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</si>
  <si>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</si>
  <si>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</si>
  <si>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</si>
  <si>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</si>
  <si>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</si>
  <si>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</si>
  <si>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</si>
  <si>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</si>
  <si>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</si>
  <si>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</si>
  <si>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</si>
  <si>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</si>
  <si>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</si>
  <si>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</si>
  <si>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</si>
  <si>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</si>
  <si>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</si>
  <si>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</si>
  <si>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</si>
  <si>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</si>
  <si>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</si>
  <si>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</si>
  <si>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</si>
  <si>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</si>
  <si>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</si>
  <si>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</si>
  <si>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</si>
  <si>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</si>
  <si>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</si>
  <si>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</si>
  <si>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</si>
  <si>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</si>
  <si>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</si>
  <si>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</si>
  <si>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</si>
  <si>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</si>
  <si>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</si>
  <si>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</si>
  <si>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</si>
  <si>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</si>
  <si>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</si>
  <si>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</si>
  <si>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</si>
  <si>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</si>
  <si>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</si>
  <si>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</si>
  <si>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</si>
  <si>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</si>
  <si>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</si>
  <si>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</si>
  <si>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</si>
  <si>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</si>
  <si>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</si>
  <si>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</si>
  <si>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</si>
  <si>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</si>
  <si>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</si>
  <si>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</si>
  <si>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</si>
  <si>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</si>
  <si>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</si>
  <si>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</si>
  <si>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</si>
  <si>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</si>
  <si>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</si>
  <si>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</si>
  <si>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</si>
  <si>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</si>
  <si>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</si>
  <si>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</si>
  <si>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</si>
  <si>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</si>
  <si>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</si>
  <si>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</si>
  <si>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</si>
  <si>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</si>
  <si>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</si>
  <si>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</si>
  <si>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</si>
  <si>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</si>
  <si>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</si>
  <si>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</si>
  <si>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</si>
  <si>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</si>
  <si>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</si>
  <si>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</si>
  <si>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</si>
  <si>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</si>
  <si>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</si>
  <si>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</si>
  <si>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</si>
  <si>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</si>
  <si>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</si>
  <si>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</si>
  <si>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</si>
  <si>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</si>
  <si>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</si>
  <si>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</si>
  <si>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</si>
  <si>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</si>
  <si>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</si>
  <si>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</si>
  <si>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</si>
  <si>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</si>
  <si>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</si>
  <si>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</si>
  <si>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</si>
  <si>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</si>
  <si>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</si>
  <si>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</si>
  <si>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</si>
  <si>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</si>
  <si>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</si>
  <si>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</si>
  <si>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</si>
  <si>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</si>
  <si>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</si>
  <si>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</si>
  <si>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</si>
  <si>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</si>
  <si>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</si>
  <si>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</si>
  <si>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</si>
  <si>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</si>
  <si>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</si>
  <si>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</si>
  <si>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</si>
  <si>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</si>
  <si>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</si>
  <si>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</si>
  <si>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</si>
  <si>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</si>
  <si>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</si>
  <si>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</si>
  <si>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</si>
  <si>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</si>
  <si>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</si>
  <si>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</si>
  <si>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</si>
  <si>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</si>
  <si>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</si>
  <si>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</si>
  <si>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</si>
  <si>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</si>
  <si>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</si>
  <si>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</si>
  <si>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</si>
  <si>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</si>
  <si>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</si>
  <si>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</si>
  <si>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</si>
  <si>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</si>
  <si>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</si>
  <si>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</si>
  <si>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</si>
  <si>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</si>
  <si>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</si>
  <si>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</si>
  <si>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</si>
  <si>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</si>
  <si>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</si>
  <si>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</si>
  <si>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</si>
  <si>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</si>
  <si>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</si>
  <si>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</si>
  <si>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</si>
  <si>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</si>
  <si>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</si>
  <si>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</si>
  <si>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</si>
  <si>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</si>
  <si>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</si>
  <si>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</si>
  <si>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</si>
  <si>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</si>
  <si>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</si>
  <si>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</si>
  <si>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</si>
  <si>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</si>
  <si>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</si>
  <si>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</si>
  <si>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</si>
  <si>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</si>
  <si>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</si>
  <si>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</si>
  <si>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</si>
  <si>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</si>
  <si>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</si>
  <si>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</si>
  <si>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</si>
  <si>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</si>
  <si>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</si>
  <si>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</si>
  <si>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</si>
  <si>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</si>
  <si>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</si>
  <si>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</si>
  <si>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</si>
  <si>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</si>
  <si>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</si>
  <si>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</si>
  <si>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</si>
  <si>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</si>
  <si>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</si>
  <si>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</si>
  <si>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</si>
  <si>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</si>
  <si>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</si>
  <si>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</si>
  <si>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</si>
  <si>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</si>
  <si>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</si>
  <si>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</si>
  <si>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</si>
  <si>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</si>
  <si>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</si>
  <si>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</si>
  <si>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</si>
  <si>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</si>
  <si>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</si>
  <si>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</si>
  <si>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</si>
  <si>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</si>
  <si>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</si>
  <si>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</si>
  <si>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</si>
  <si>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</si>
  <si>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</si>
  <si>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</si>
  <si>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</si>
  <si>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</si>
  <si>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</si>
  <si>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</si>
  <si>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</si>
  <si>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</si>
  <si>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</si>
  <si>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</si>
  <si>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</si>
  <si>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</si>
  <si>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</si>
  <si>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</si>
  <si>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</si>
  <si>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</si>
  <si>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</si>
  <si>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</si>
  <si>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</si>
  <si>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</si>
  <si>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</si>
  <si>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</si>
  <si>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</si>
  <si>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</si>
  <si>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</si>
  <si>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</si>
  <si>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</si>
  <si>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</si>
  <si>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</si>
  <si>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</si>
  <si>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</si>
  <si>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</si>
  <si>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</si>
  <si>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</si>
  <si>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</si>
  <si>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</si>
  <si>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</si>
  <si>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</si>
  <si>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</si>
  <si>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</si>
  <si>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</si>
  <si>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</si>
  <si>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</si>
  <si>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</si>
  <si>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</si>
  <si>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</si>
  <si>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</si>
  <si>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</si>
  <si>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</si>
  <si>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</si>
  <si>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</si>
  <si>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</si>
  <si>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</si>
  <si>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</si>
  <si>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</si>
  <si>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</si>
  <si>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</si>
  <si>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</si>
  <si>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</si>
  <si>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</si>
  <si>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</si>
  <si>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</si>
  <si>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</si>
  <si>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</si>
  <si>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</si>
  <si>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</si>
  <si>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</si>
  <si>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</si>
  <si>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</si>
  <si>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</si>
  <si>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</si>
  <si>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</si>
  <si>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</si>
  <si>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</si>
  <si>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</si>
  <si>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</si>
  <si>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</si>
  <si>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</si>
  <si>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</si>
  <si>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</si>
  <si>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</si>
  <si>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</si>
  <si>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</si>
  <si>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</si>
  <si>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</si>
  <si>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</si>
  <si>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</si>
  <si>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</si>
  <si>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</si>
  <si>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</si>
  <si>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</si>
  <si>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</si>
  <si>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</si>
  <si>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</si>
  <si>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</si>
  <si>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</si>
  <si>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</si>
  <si>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</si>
  <si>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</si>
  <si>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</si>
  <si>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</si>
  <si>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</si>
  <si>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</si>
  <si>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</si>
  <si>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</si>
  <si>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</si>
  <si>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</si>
  <si>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</si>
  <si>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</si>
  <si>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</si>
  <si>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</si>
  <si>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</si>
  <si>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</si>
  <si>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</si>
  <si>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</si>
  <si>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</si>
  <si>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</si>
  <si>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</si>
  <si>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</si>
  <si>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</si>
  <si>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</si>
  <si>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</si>
  <si>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</si>
  <si>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</si>
  <si>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</si>
  <si>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</si>
  <si>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</si>
  <si>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</si>
  <si>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</si>
  <si>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</si>
  <si>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</si>
  <si>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</si>
  <si>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</si>
  <si>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</si>
  <si>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</si>
  <si>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</si>
  <si>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</si>
  <si>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</si>
  <si>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</si>
  <si>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</si>
  <si>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</si>
  <si>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</si>
  <si>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</si>
  <si>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</si>
  <si>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</si>
  <si>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</si>
  <si>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</si>
  <si>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</si>
  <si>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</si>
  <si>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</si>
  <si>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</si>
  <si>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</si>
  <si>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</si>
  <si>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</si>
  <si>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</si>
  <si>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</si>
  <si>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</si>
  <si>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</si>
  <si>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</si>
  <si>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</si>
  <si>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</si>
  <si>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</si>
  <si>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</si>
  <si>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</si>
  <si>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</si>
  <si>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</si>
  <si>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</si>
  <si>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</si>
  <si>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</si>
  <si>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</si>
  <si>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</si>
  <si>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</si>
  <si>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</si>
  <si>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</si>
  <si>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</si>
  <si>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</si>
  <si>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</si>
  <si>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</si>
  <si>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</si>
  <si>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</si>
  <si>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</si>
  <si>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</si>
  <si>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</si>
  <si>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</si>
  <si>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</si>
  <si>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</si>
  <si>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</si>
  <si>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</si>
  <si>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</si>
  <si>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</si>
  <si>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</si>
  <si>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</si>
  <si>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</si>
  <si>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</si>
  <si>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</si>
  <si>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</si>
  <si>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</si>
  <si>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</si>
  <si>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</si>
  <si>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</si>
  <si>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</si>
  <si>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</si>
  <si>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</si>
  <si>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</si>
  <si>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</si>
  <si>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</si>
  <si>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</si>
  <si>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</si>
  <si>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</si>
  <si>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</si>
  <si>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</si>
  <si>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</si>
  <si>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</si>
  <si>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</si>
  <si>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</si>
  <si>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</si>
  <si>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</si>
  <si>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</si>
  <si>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</si>
  <si>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</si>
  <si>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</si>
  <si>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</si>
  <si>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</si>
  <si>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</si>
  <si>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</si>
  <si>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</si>
  <si>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</si>
  <si>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</si>
  <si>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</si>
  <si>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</si>
  <si>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</si>
  <si>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</si>
  <si>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</si>
  <si>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</si>
  <si>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</si>
  <si>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</si>
  <si>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</si>
  <si>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</si>
  <si>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</si>
  <si>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</si>
  <si>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</si>
  <si>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</si>
  <si>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</si>
  <si>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</si>
  <si>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</si>
  <si>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</si>
  <si>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</si>
  <si>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</si>
  <si>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</si>
  <si>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</si>
  <si>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</si>
  <si>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</si>
  <si>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</si>
  <si>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</si>
  <si>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</si>
  <si>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</si>
  <si>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</si>
  <si>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</si>
  <si>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</si>
  <si>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</si>
  <si>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</si>
  <si>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</si>
  <si>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</si>
  <si>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</si>
  <si>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</si>
  <si>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</si>
  <si>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</si>
  <si>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</si>
  <si>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</si>
  <si>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</si>
  <si>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</si>
  <si>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</si>
  <si>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</si>
  <si>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</si>
  <si>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</si>
  <si>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</si>
  <si>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</si>
  <si>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</si>
  <si>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</si>
  <si>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</si>
  <si>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</si>
  <si>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</si>
  <si>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</si>
  <si>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</si>
  <si>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</si>
  <si>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</si>
  <si>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</si>
  <si>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</si>
  <si>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</si>
  <si>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</si>
  <si>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</si>
  <si>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</si>
  <si>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</si>
  <si>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</si>
  <si>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</si>
  <si>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</si>
  <si>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</si>
  <si>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</si>
  <si>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</si>
  <si>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</si>
  <si>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</si>
  <si>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</si>
  <si>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</si>
  <si>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</si>
  <si>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</si>
  <si>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</si>
  <si>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</si>
  <si>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</si>
  <si>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</si>
  <si>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</si>
  <si>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</si>
  <si>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</si>
  <si>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</si>
  <si>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</si>
  <si>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</si>
  <si>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</si>
  <si>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</si>
  <si>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</si>
  <si>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</si>
  <si>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</si>
  <si>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</si>
  <si>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</si>
  <si>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</si>
  <si>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</si>
  <si>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</si>
  <si>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</si>
  <si>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</si>
  <si>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</si>
  <si>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</si>
  <si>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</si>
  <si>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</si>
  <si>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</si>
  <si>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</si>
  <si>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</si>
  <si>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</si>
  <si>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</si>
  <si>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</si>
  <si>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</si>
  <si>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</si>
  <si>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</si>
  <si>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</si>
  <si>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</si>
  <si>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</si>
  <si>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</si>
  <si>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</si>
  <si>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</si>
  <si>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</si>
  <si>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</si>
  <si>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</si>
  <si>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</si>
  <si>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</si>
  <si>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</si>
  <si>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</si>
  <si>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</si>
  <si>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</si>
  <si>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</si>
  <si>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</si>
  <si>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</si>
  <si>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</si>
  <si>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</si>
  <si>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</si>
  <si>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</si>
  <si>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</si>
  <si>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</si>
  <si>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</si>
  <si>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</si>
  <si>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</si>
  <si>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</si>
  <si>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</si>
  <si>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</si>
  <si>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</si>
  <si>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</si>
  <si>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</si>
  <si>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</si>
  <si>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</si>
  <si>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</si>
  <si>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</si>
  <si>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</si>
  <si>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</si>
  <si>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</si>
  <si>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</si>
  <si>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</si>
  <si>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</si>
  <si>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</si>
  <si>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</si>
  <si>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</si>
  <si>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</si>
  <si>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</si>
  <si>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</si>
  <si>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</si>
  <si>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</si>
  <si>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</si>
  <si>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</si>
  <si>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</si>
  <si>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</si>
  <si>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</si>
  <si>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</si>
  <si>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</si>
  <si>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</si>
  <si>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</si>
  <si>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</si>
  <si>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</si>
  <si>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</si>
  <si>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</si>
  <si>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</si>
  <si>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</si>
  <si>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</si>
  <si>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</si>
  <si>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</si>
  <si>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</si>
  <si>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</si>
  <si>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</si>
  <si>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</si>
  <si>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</si>
  <si>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</si>
  <si>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</si>
  <si>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</si>
  <si>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</si>
  <si>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</si>
  <si>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</si>
  <si>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</si>
  <si>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</si>
  <si>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</si>
  <si>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</si>
  <si>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</si>
  <si>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</si>
  <si>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</si>
  <si>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</si>
  <si>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</si>
  <si>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</si>
  <si>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</si>
  <si>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</si>
  <si>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</si>
  <si>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</si>
  <si>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</si>
  <si>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</si>
  <si>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</si>
  <si>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</si>
  <si>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</si>
  <si>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</si>
  <si>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</si>
  <si>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</si>
  <si>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</si>
  <si>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</si>
  <si>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</si>
  <si>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</si>
  <si>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</si>
  <si>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</si>
  <si>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</si>
  <si>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</si>
  <si>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</si>
  <si>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</si>
  <si>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</si>
  <si>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</si>
  <si>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</si>
  <si>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</si>
  <si>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</si>
  <si>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</si>
  <si>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</si>
  <si>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</si>
  <si>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</si>
  <si>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</si>
  <si>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</si>
  <si>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</si>
  <si>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</si>
  <si>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</si>
  <si>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</si>
  <si>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</si>
  <si>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</si>
  <si>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</si>
  <si>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</si>
  <si>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</si>
  <si>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</si>
  <si>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</si>
  <si>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</si>
  <si>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</si>
  <si>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</si>
  <si>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</si>
  <si>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</si>
  <si>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</si>
  <si>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</si>
  <si>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</si>
  <si>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</si>
  <si>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</si>
  <si>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</si>
  <si>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</si>
  <si>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</si>
  <si>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</si>
  <si>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</si>
  <si>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</si>
  <si>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</si>
  <si>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</si>
  <si>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</si>
  <si>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</si>
  <si>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</si>
  <si>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</si>
  <si>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</si>
  <si>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</si>
  <si>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</si>
  <si>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</si>
  <si>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</si>
  <si>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</si>
  <si>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</si>
  <si>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</si>
  <si>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</si>
  <si>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</si>
  <si>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</si>
  <si>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</si>
  <si>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</si>
  <si>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</si>
  <si>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</si>
  <si>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</si>
  <si>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</si>
  <si>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</si>
  <si>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</si>
  <si>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</si>
  <si>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</si>
  <si>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</si>
  <si>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</si>
  <si>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</si>
  <si>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</si>
  <si>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</si>
  <si>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</si>
  <si>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</si>
  <si>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</si>
  <si>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</si>
  <si>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</si>
  <si>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</si>
  <si>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</si>
  <si>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</si>
  <si>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</si>
  <si>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</si>
  <si>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</si>
  <si>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</si>
  <si>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</si>
  <si>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</si>
  <si>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</si>
  <si>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</si>
  <si>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</si>
  <si>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</si>
  <si>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</si>
  <si>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</si>
  <si>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</si>
  <si>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</si>
  <si>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</si>
  <si>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</si>
  <si>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</si>
  <si>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</si>
  <si>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</si>
  <si>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</si>
  <si>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</si>
  <si>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</si>
  <si>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</si>
  <si>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</si>
  <si>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</si>
  <si>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</si>
  <si>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</si>
  <si>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</si>
  <si>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</si>
  <si>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</si>
  <si>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</si>
  <si>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</si>
  <si>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</si>
  <si>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</si>
  <si>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</si>
  <si>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</si>
  <si>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</si>
  <si>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</si>
  <si>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</si>
  <si>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</si>
  <si>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</si>
  <si>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</si>
  <si>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</si>
  <si>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</si>
  <si>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</si>
  <si>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</si>
  <si>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</si>
  <si>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</si>
  <si>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</si>
  <si>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</si>
  <si>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</si>
  <si>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</si>
  <si>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</si>
  <si>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</si>
  <si>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</si>
  <si>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</si>
  <si>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</si>
  <si>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</si>
  <si>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</si>
  <si>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</si>
  <si>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</si>
  <si>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</si>
  <si>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</si>
  <si>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</si>
  <si>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</si>
  <si>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</si>
  <si>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</si>
  <si>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</si>
  <si>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</si>
  <si>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</si>
  <si>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</si>
  <si>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</si>
  <si>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</si>
  <si>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</si>
  <si>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</si>
  <si>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</si>
  <si>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</si>
  <si>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</si>
  <si>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</si>
  <si>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</si>
  <si>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</si>
  <si>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</si>
  <si>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</si>
  <si>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</si>
  <si>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</si>
  <si>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</si>
  <si>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</si>
  <si>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</si>
  <si>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</si>
  <si>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</si>
  <si>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</si>
  <si>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</si>
  <si>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</si>
  <si>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</si>
  <si>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</si>
  <si>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</si>
  <si>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</si>
  <si>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</si>
  <si>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</si>
  <si>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</si>
  <si>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</si>
  <si>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</si>
  <si>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</si>
  <si>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</si>
  <si>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</si>
  <si>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</si>
  <si>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</si>
  <si>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</si>
  <si>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</si>
  <si>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</si>
  <si>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</si>
  <si>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</si>
  <si>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</si>
  <si>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</si>
  <si>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</si>
  <si>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</si>
  <si>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</si>
  <si>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</si>
  <si>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</si>
  <si>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</si>
  <si>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</si>
  <si>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</si>
  <si>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</si>
  <si>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</si>
  <si>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</si>
  <si>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</si>
  <si>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</si>
  <si>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</si>
  <si>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</si>
  <si>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</si>
  <si>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</si>
  <si>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</si>
  <si>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</si>
  <si>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</si>
  <si>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</si>
  <si>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</si>
  <si>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</si>
  <si>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</si>
  <si>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</si>
  <si>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</si>
  <si>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</si>
  <si>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</si>
  <si>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</si>
  <si>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</si>
  <si>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</si>
  <si>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</si>
  <si>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</si>
  <si>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</si>
  <si>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</si>
  <si>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</si>
  <si>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</si>
  <si>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</si>
  <si>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</si>
  <si>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</si>
  <si>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</si>
  <si>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</si>
  <si>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</si>
  <si>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</si>
  <si>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</si>
  <si>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</si>
  <si>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</si>
  <si>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</si>
  <si>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</si>
  <si>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</si>
  <si>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</si>
  <si>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</si>
  <si>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</si>
  <si>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</si>
  <si>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</si>
  <si>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</si>
  <si>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</si>
  <si>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</si>
  <si>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</si>
  <si>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</si>
  <si>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</si>
  <si>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</si>
  <si>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</si>
  <si>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</si>
  <si>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</si>
  <si>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</si>
  <si>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</si>
  <si>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</si>
  <si>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</si>
  <si>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</si>
  <si>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</si>
  <si>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</si>
  <si>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</si>
  <si>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</si>
  <si>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</si>
  <si>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</si>
  <si>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</si>
  <si>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</si>
  <si>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</si>
  <si>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</si>
  <si>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</si>
  <si>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</si>
  <si>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</si>
  <si>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</si>
  <si>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</si>
  <si>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</si>
  <si>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</si>
  <si>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</si>
  <si>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</si>
  <si>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</si>
  <si>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</si>
  <si>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</si>
  <si>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</si>
  <si>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</si>
  <si>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</si>
  <si>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</si>
  <si>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</si>
  <si>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</si>
  <si>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</si>
  <si>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</si>
  <si>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</si>
  <si>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</si>
  <si>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</si>
  <si>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</si>
  <si>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</si>
  <si>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</si>
  <si>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</si>
  <si>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</si>
  <si>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</si>
  <si>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</si>
  <si>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</si>
  <si>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</si>
  <si>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</si>
  <si>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</si>
  <si>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</si>
  <si>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</si>
  <si>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</si>
  <si>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</si>
  <si>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</si>
  <si>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</si>
  <si>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</si>
  <si>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</si>
  <si>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</si>
  <si>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</si>
  <si>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</si>
  <si>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</si>
  <si>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</si>
  <si>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</si>
  <si>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</si>
  <si>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</si>
  <si>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</si>
  <si>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</si>
  <si>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</si>
  <si>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</si>
  <si>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</si>
  <si>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</si>
  <si>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</si>
  <si>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</si>
  <si>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</si>
  <si>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</si>
  <si>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</si>
  <si>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</si>
  <si>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</si>
  <si>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</si>
  <si>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</si>
  <si>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</si>
  <si>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</si>
  <si>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</si>
  <si>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</si>
  <si>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</si>
  <si>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</si>
  <si>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</si>
  <si>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</si>
  <si>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</si>
  <si>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</si>
  <si>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</si>
  <si>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</si>
  <si>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</si>
  <si>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</si>
  <si>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</si>
  <si>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</si>
  <si>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</si>
  <si>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</si>
  <si>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</si>
  <si>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</si>
  <si>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</si>
  <si>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</si>
  <si>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</si>
  <si>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</si>
  <si>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</si>
  <si>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</si>
  <si>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</si>
  <si>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</si>
  <si>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</si>
  <si>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</si>
  <si>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</si>
  <si>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</si>
  <si>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</si>
  <si>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</si>
  <si>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</si>
  <si>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</si>
  <si>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</si>
  <si>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</si>
  <si>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</si>
  <si>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</si>
  <si>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</si>
  <si>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</si>
  <si>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</si>
  <si>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</si>
  <si>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</si>
  <si>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</si>
  <si>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</si>
  <si>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</si>
  <si>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</si>
  <si>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</si>
  <si>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</si>
  <si>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</si>
  <si>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</si>
  <si>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</si>
  <si>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</si>
  <si>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</si>
  <si>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</si>
  <si>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</si>
  <si>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</si>
  <si>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</si>
  <si>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</si>
  <si>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</si>
  <si>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</si>
  <si>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</si>
  <si>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</si>
  <si>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</si>
  <si>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</si>
  <si>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</si>
  <si>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</si>
  <si>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</si>
  <si>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</si>
  <si>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</si>
  <si>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</si>
  <si>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</si>
  <si>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</si>
  <si>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</si>
  <si>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</si>
  <si>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</si>
  <si>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</si>
  <si>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</si>
  <si>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</si>
  <si>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</si>
  <si>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</si>
  <si>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</si>
  <si>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</si>
  <si>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</si>
  <si>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</si>
  <si>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</si>
  <si>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</si>
  <si>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</si>
  <si>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</si>
  <si>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</si>
  <si>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</si>
  <si>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</si>
  <si>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</si>
  <si>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</si>
  <si>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</si>
  <si>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</si>
  <si>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</si>
  <si>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</si>
  <si>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</si>
  <si>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</si>
  <si>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</si>
  <si>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</si>
  <si>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</si>
  <si>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</si>
  <si>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</si>
  <si>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</si>
  <si>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</si>
  <si>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</si>
  <si>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</si>
  <si>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</si>
  <si>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</si>
  <si>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</si>
  <si>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</si>
  <si>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</si>
  <si>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</si>
  <si>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</si>
  <si>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</si>
  <si>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</si>
  <si>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</si>
  <si>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</si>
  <si>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</si>
  <si>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</si>
  <si>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</si>
  <si>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</si>
  <si>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</si>
  <si>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</si>
  <si>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</si>
  <si>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</si>
  <si>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</si>
  <si>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</si>
  <si>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</si>
  <si>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</si>
  <si>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</si>
  <si>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</si>
  <si>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</si>
  <si>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</si>
  <si>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</si>
  <si>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</si>
  <si>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</si>
  <si>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</si>
  <si>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</si>
  <si>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</si>
  <si>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</si>
  <si>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</si>
  <si>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</si>
  <si>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</si>
  <si>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</si>
  <si>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</si>
  <si>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</si>
  <si>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</si>
  <si>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</si>
  <si>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</si>
  <si>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</si>
  <si>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</si>
  <si>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</si>
  <si>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</si>
  <si>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</si>
  <si>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</si>
  <si>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</si>
  <si>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</si>
  <si>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</si>
  <si>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</si>
  <si>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</si>
  <si>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</si>
  <si>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</si>
  <si>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</si>
  <si>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</si>
  <si>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</si>
  <si>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</si>
  <si>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</si>
  <si>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</si>
  <si>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</si>
  <si>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</si>
  <si>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</si>
  <si>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</si>
  <si>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</si>
  <si>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</si>
  <si>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</si>
  <si>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</si>
  <si>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</si>
  <si>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</si>
  <si>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</si>
  <si>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</si>
  <si>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</si>
  <si>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</si>
  <si>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</si>
  <si>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</si>
  <si>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</si>
  <si>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</si>
  <si>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</si>
  <si>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</si>
  <si>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</si>
  <si>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</si>
  <si>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</si>
  <si>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</si>
  <si>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</si>
  <si>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</si>
  <si>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</si>
  <si>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</si>
  <si>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</si>
  <si>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</si>
  <si>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</si>
  <si>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</si>
  <si>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</si>
  <si>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</si>
  <si>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</si>
  <si>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</si>
  <si>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</si>
  <si>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</si>
  <si>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</si>
  <si>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</si>
  <si>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</si>
  <si>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</si>
  <si>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</si>
  <si>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</si>
  <si>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</si>
  <si>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</si>
  <si>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</si>
  <si>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</si>
  <si>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</si>
  <si>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</si>
  <si>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</si>
  <si>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</si>
  <si>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</si>
  <si>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</si>
  <si>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</si>
  <si>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</si>
  <si>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</si>
  <si>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</si>
  <si>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</si>
  <si>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</si>
  <si>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</si>
  <si>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</si>
  <si>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</si>
  <si>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</si>
  <si>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</si>
  <si>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</si>
  <si>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</si>
  <si>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</si>
  <si>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</si>
  <si>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</si>
  <si>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</si>
  <si>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</si>
  <si>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</si>
  <si>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</si>
  <si>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</si>
  <si>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</si>
  <si>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</si>
  <si>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</si>
  <si>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</si>
  <si>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</si>
  <si>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</si>
  <si>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</si>
  <si>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</si>
  <si>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</si>
  <si>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</si>
  <si>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</si>
  <si>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</si>
  <si>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</si>
  <si>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</si>
  <si>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</si>
  <si>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</si>
  <si>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</si>
  <si>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</si>
  <si>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</si>
  <si>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</si>
  <si>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</si>
  <si>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</si>
  <si>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</si>
  <si>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</si>
  <si>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</si>
  <si>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</si>
  <si>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</si>
  <si>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</si>
  <si>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</si>
  <si>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</si>
  <si>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</si>
  <si>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</si>
  <si>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</si>
  <si>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</si>
  <si>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</si>
  <si>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</si>
  <si>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</si>
  <si>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</si>
  <si>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</si>
  <si>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</si>
  <si>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</si>
  <si>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</si>
  <si>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</si>
  <si>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</si>
  <si>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</si>
  <si>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</si>
  <si>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</si>
  <si>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</si>
  <si>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</si>
  <si>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</si>
  <si>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</si>
  <si>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</si>
  <si>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</si>
  <si>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</si>
  <si>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</si>
  <si>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</si>
  <si>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</si>
  <si>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</si>
  <si>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</si>
  <si>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</si>
  <si>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</si>
  <si>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</si>
  <si>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</si>
  <si>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</si>
  <si>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</si>
  <si>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</si>
  <si>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</si>
  <si>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</si>
  <si>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</si>
  <si>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</si>
  <si>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</si>
  <si>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</si>
  <si>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</si>
  <si>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</si>
  <si>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</si>
  <si>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</si>
  <si>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</si>
  <si>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</si>
  <si>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</si>
  <si>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</si>
  <si>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</si>
  <si>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</si>
  <si>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</si>
  <si>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</si>
  <si>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</si>
  <si>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</si>
  <si>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</si>
  <si>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</si>
  <si>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</si>
  <si>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</si>
  <si>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</si>
  <si>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</si>
  <si>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</si>
  <si>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</si>
  <si>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</si>
  <si>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</si>
  <si>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</si>
  <si>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</si>
  <si>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</si>
  <si>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</si>
  <si>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</si>
  <si>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</si>
  <si>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</si>
  <si>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</si>
  <si>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</si>
  <si>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</si>
  <si>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</si>
  <si>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</si>
  <si>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</si>
  <si>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</si>
  <si>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</si>
  <si>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</si>
  <si>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</si>
  <si>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</si>
  <si>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</si>
  <si>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</si>
  <si>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</si>
  <si>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</si>
  <si>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</si>
  <si>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</si>
  <si>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</si>
  <si>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</si>
  <si>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</si>
  <si>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</si>
  <si>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</si>
  <si>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</si>
  <si>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</si>
  <si>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</si>
  <si>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</si>
  <si>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</si>
  <si>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</si>
  <si>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</si>
  <si>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</si>
  <si>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</si>
  <si>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</si>
  <si>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</si>
  <si>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</si>
  <si>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</si>
  <si>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</si>
  <si>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</si>
  <si>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</si>
  <si>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</si>
  <si>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</si>
  <si>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</si>
  <si>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</si>
  <si>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</si>
  <si>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</si>
  <si>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</si>
  <si>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</si>
  <si>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</si>
  <si>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</si>
  <si>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</si>
  <si>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</si>
  <si>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</si>
  <si>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</si>
  <si>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</si>
  <si>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</si>
  <si>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</si>
  <si>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</si>
  <si>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</si>
  <si>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</si>
  <si>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</si>
  <si>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</si>
  <si>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</si>
  <si>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</si>
  <si>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</si>
  <si>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</si>
  <si>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</si>
  <si>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</si>
  <si>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</si>
  <si>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</si>
  <si>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</si>
  <si>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</si>
  <si>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</si>
  <si>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</si>
  <si>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</si>
  <si>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</si>
  <si>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</si>
  <si>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</si>
  <si>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</si>
  <si>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</si>
  <si>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</si>
  <si>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</si>
  <si>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</si>
  <si>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</si>
  <si>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</si>
  <si>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</si>
  <si>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</si>
  <si>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</si>
  <si>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</si>
  <si>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</si>
  <si>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</si>
  <si>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</si>
  <si>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</si>
  <si>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</si>
  <si>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</si>
  <si>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</si>
  <si>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</si>
  <si>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</si>
  <si>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</si>
  <si>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</si>
  <si>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</si>
  <si>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</si>
  <si>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</si>
  <si>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</si>
  <si>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</si>
  <si>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</si>
  <si>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</si>
  <si>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</si>
  <si>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</si>
  <si>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</si>
  <si>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</si>
  <si>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</si>
  <si>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</si>
  <si>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</si>
  <si>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</si>
  <si>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</si>
  <si>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</si>
  <si>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</si>
  <si>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</si>
  <si>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</si>
  <si>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</si>
  <si>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</si>
  <si>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</si>
  <si>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</si>
  <si>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</si>
  <si>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</si>
  <si>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</si>
  <si>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</si>
  <si>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</si>
  <si>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</si>
  <si>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</si>
  <si>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</si>
  <si>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</si>
  <si>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</si>
  <si>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</si>
  <si>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</si>
  <si>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</si>
  <si>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</si>
  <si>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</si>
  <si>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</si>
  <si>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</si>
  <si>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</si>
  <si>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</si>
  <si>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</si>
  <si>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</si>
  <si>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</si>
  <si>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</si>
  <si>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</si>
  <si>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</si>
  <si>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</si>
  <si>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</si>
  <si>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</si>
  <si>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</si>
  <si>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</si>
  <si>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</si>
  <si>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</si>
  <si>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</si>
  <si>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</si>
  <si>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</si>
  <si>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</si>
  <si>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</si>
  <si>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</si>
  <si>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</si>
  <si>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</si>
  <si>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</si>
  <si>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</si>
  <si>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</si>
  <si>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</si>
  <si>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</si>
  <si>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</si>
  <si>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</si>
  <si>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</si>
  <si>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</si>
  <si>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</si>
  <si>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</si>
  <si>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</si>
  <si>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</si>
  <si>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</si>
  <si>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</si>
  <si>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</si>
  <si>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</si>
  <si>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</si>
  <si>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</si>
  <si>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</si>
  <si>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</si>
  <si>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</si>
  <si>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</si>
  <si>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</si>
  <si>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</si>
  <si>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</si>
  <si>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</si>
  <si>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</si>
  <si>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</si>
  <si>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</si>
  <si>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</si>
  <si>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</si>
  <si>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</si>
  <si>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</si>
  <si>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</si>
  <si>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</si>
  <si>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</si>
  <si>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</si>
  <si>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</si>
  <si>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</si>
  <si>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</si>
  <si>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</si>
  <si>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</si>
  <si>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</si>
  <si>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</si>
  <si>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</si>
  <si>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</si>
  <si>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</si>
  <si>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</si>
  <si>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</si>
  <si>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</si>
  <si>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</si>
  <si>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</si>
  <si>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</si>
  <si>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</si>
  <si>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</si>
  <si>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</si>
  <si>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</si>
  <si>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</si>
  <si>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</si>
  <si>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</si>
  <si>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</si>
  <si>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</si>
  <si>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</si>
  <si>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</si>
  <si>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</si>
  <si>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</si>
  <si>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</si>
  <si>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</si>
  <si>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</si>
  <si>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</si>
  <si>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</si>
  <si>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</si>
  <si>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</si>
  <si>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</si>
  <si>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</si>
  <si>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</si>
  <si>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</si>
  <si>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</si>
  <si>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</si>
  <si>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</si>
  <si>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</si>
  <si>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</si>
  <si>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</si>
  <si>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</si>
  <si>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</si>
  <si>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</si>
  <si>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</si>
  <si>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</si>
  <si>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</si>
  <si>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</si>
  <si>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</si>
  <si>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</si>
  <si>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</si>
  <si>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</si>
  <si>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</si>
  <si>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</si>
  <si>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</si>
  <si>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</si>
  <si>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</si>
  <si>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</si>
  <si>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</si>
  <si>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</si>
  <si>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</si>
  <si>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</si>
  <si>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</si>
  <si>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</si>
  <si>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</si>
  <si>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</si>
  <si>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</si>
  <si>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</si>
  <si>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</si>
  <si>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</si>
  <si>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</si>
  <si>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</si>
  <si>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</si>
  <si>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</si>
  <si>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</si>
  <si>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</si>
  <si>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</si>
  <si>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</si>
  <si>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</si>
  <si>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</si>
  <si>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</si>
  <si>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</si>
  <si>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</si>
  <si>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</si>
  <si>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</si>
  <si>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</si>
  <si>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</si>
  <si>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</si>
  <si>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</si>
  <si>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</si>
  <si>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</si>
  <si>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</si>
  <si>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</si>
  <si>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</si>
  <si>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</si>
  <si>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</si>
  <si>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</si>
  <si>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</si>
  <si>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</si>
  <si>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</si>
  <si>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</si>
  <si>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</si>
  <si>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</si>
  <si>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</si>
  <si>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</si>
  <si>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</si>
  <si>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</si>
  <si>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</si>
  <si>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</si>
  <si>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</si>
  <si>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</si>
  <si>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</si>
  <si>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</si>
  <si>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</si>
  <si>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</si>
  <si>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</si>
  <si>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</si>
  <si>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</si>
  <si>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</si>
  <si>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</si>
  <si>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</si>
  <si>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</si>
  <si>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</si>
  <si>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</si>
  <si>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</si>
  <si>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</si>
  <si>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</si>
  <si>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</si>
  <si>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</si>
  <si>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</si>
  <si>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</si>
  <si>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</si>
  <si>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</si>
  <si>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</si>
  <si>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</si>
  <si>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</si>
  <si>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</si>
  <si>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</si>
  <si>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</si>
  <si>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</si>
  <si>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</si>
  <si>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</si>
  <si>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</si>
  <si>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</si>
  <si>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</si>
  <si>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</si>
  <si>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</si>
  <si>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</si>
  <si>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</si>
  <si>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</si>
  <si>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</si>
  <si>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</si>
  <si>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</si>
  <si>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</si>
  <si>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</si>
  <si>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</si>
  <si>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</si>
  <si>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</si>
  <si>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</si>
  <si>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</si>
  <si>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</si>
  <si>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</si>
  <si>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</si>
  <si>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</si>
  <si>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</si>
  <si>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</si>
  <si>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</si>
  <si>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</si>
  <si>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</si>
  <si>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</si>
  <si>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</si>
  <si>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</si>
  <si>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</si>
  <si>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</si>
  <si>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</si>
  <si>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</si>
  <si>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</si>
  <si>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</si>
  <si>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</si>
  <si>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</si>
  <si>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</si>
  <si>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</si>
  <si>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</si>
  <si>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</si>
  <si>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</si>
  <si>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</si>
  <si>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</si>
  <si>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</si>
  <si>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</si>
  <si>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</si>
  <si>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</si>
  <si>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</si>
  <si>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</si>
  <si>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</si>
  <si>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</si>
  <si>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</si>
  <si>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</si>
  <si>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</si>
  <si>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</si>
  <si>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</si>
  <si>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</si>
  <si>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</si>
  <si>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</si>
  <si>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</si>
  <si>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</si>
  <si>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</si>
  <si>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</si>
  <si>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</si>
  <si>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</si>
  <si>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</si>
  <si>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</si>
  <si>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</si>
  <si>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</si>
  <si>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</si>
  <si>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</si>
  <si>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</si>
  <si>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</si>
  <si>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</si>
  <si>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</si>
  <si>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</si>
  <si>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</si>
  <si>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</si>
  <si>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</si>
  <si>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</si>
  <si>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</si>
  <si>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</si>
  <si>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</si>
  <si>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</si>
  <si>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</si>
  <si>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</si>
  <si>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</si>
  <si>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</si>
  <si>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</si>
  <si>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</si>
  <si>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</si>
  <si>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</si>
  <si>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</si>
  <si>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</si>
  <si>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</si>
  <si>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</si>
  <si>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</si>
  <si>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</si>
  <si>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</si>
  <si>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</si>
  <si>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</si>
  <si>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</si>
  <si>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</si>
  <si>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</si>
  <si>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</si>
  <si>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</si>
  <si>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</si>
  <si>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</si>
  <si>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</si>
  <si>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</si>
  <si>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</si>
  <si>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</si>
  <si>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</si>
  <si>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</si>
  <si>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</si>
  <si>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</si>
  <si>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</si>
  <si>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</si>
  <si>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</si>
  <si>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</si>
  <si>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</si>
  <si>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</si>
  <si>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</si>
  <si>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</si>
  <si>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</si>
  <si>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</si>
  <si>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</si>
  <si>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</si>
  <si>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</si>
  <si>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</si>
  <si>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</si>
  <si>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</si>
  <si>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</si>
  <si>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</si>
  <si>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</si>
  <si>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</si>
  <si>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</si>
  <si>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</si>
  <si>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</si>
  <si>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</si>
  <si>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</si>
  <si>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</si>
  <si>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</si>
  <si>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</si>
  <si>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</si>
  <si>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</si>
  <si>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</si>
  <si>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</si>
  <si>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</si>
  <si>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</si>
  <si>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</si>
  <si>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</si>
  <si>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</si>
  <si>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</si>
  <si>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</si>
  <si>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</si>
  <si>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</si>
  <si>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</si>
  <si>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</si>
  <si>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</si>
  <si>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</si>
  <si>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</si>
  <si>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</si>
  <si>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</si>
  <si>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</si>
  <si>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</si>
  <si>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</si>
  <si>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</si>
  <si>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</si>
  <si>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</si>
  <si>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</si>
  <si>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</si>
  <si>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</si>
  <si>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</si>
  <si>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</si>
  <si>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</si>
  <si>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</si>
  <si>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</si>
  <si>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</si>
  <si>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</si>
  <si>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</si>
  <si>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</si>
  <si>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</si>
  <si>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</si>
  <si>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</si>
  <si>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</si>
  <si>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</si>
  <si>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</si>
  <si>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</si>
  <si>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</si>
  <si>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</si>
  <si>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</si>
  <si>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</si>
  <si>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</si>
  <si>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</si>
  <si>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</si>
  <si>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</si>
  <si>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</si>
  <si>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</si>
  <si>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</si>
  <si>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</si>
  <si>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</si>
  <si>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</si>
  <si>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</si>
  <si>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</si>
  <si>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</si>
  <si>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</si>
  <si>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</si>
  <si>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</si>
  <si>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</si>
  <si>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</si>
  <si>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</si>
  <si>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</si>
  <si>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</si>
  <si>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</si>
  <si>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</si>
  <si>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</si>
  <si>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</si>
  <si>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</si>
  <si>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</si>
  <si>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</si>
  <si>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</si>
  <si>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</si>
  <si>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</si>
  <si>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</si>
  <si>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</si>
  <si>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</si>
  <si>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</si>
  <si>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</si>
  <si>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</si>
  <si>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</si>
  <si>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</si>
  <si>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</si>
  <si>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</si>
  <si>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</si>
  <si>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</si>
  <si>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</si>
  <si>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</si>
  <si>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</si>
  <si>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</si>
  <si>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</si>
  <si>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</si>
  <si>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</si>
  <si>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</si>
  <si>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</si>
  <si>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</si>
  <si>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</si>
  <si>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</si>
  <si>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</si>
  <si>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</si>
  <si>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</si>
  <si>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</si>
  <si>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</si>
  <si>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</si>
  <si>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</si>
  <si>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</si>
  <si>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</si>
  <si>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</si>
  <si>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</si>
  <si>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</si>
  <si>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</si>
  <si>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</si>
  <si>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</si>
  <si>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</si>
  <si>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</si>
  <si>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</si>
  <si>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</si>
  <si>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</si>
  <si>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</si>
  <si>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</si>
  <si>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</si>
  <si>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</si>
  <si>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</si>
  <si>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</si>
  <si>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</si>
  <si>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</si>
  <si>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</si>
  <si>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</si>
  <si>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</si>
  <si>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</si>
  <si>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</si>
  <si>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</si>
  <si>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</si>
  <si>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</si>
  <si>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</si>
  <si>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</si>
  <si>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</si>
  <si>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</si>
  <si>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</si>
  <si>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</si>
  <si>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</si>
  <si>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</si>
  <si>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</si>
  <si>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</si>
  <si>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</si>
  <si>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</si>
  <si>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</si>
  <si>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</si>
  <si>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</si>
  <si>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</si>
  <si>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</si>
  <si>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</si>
  <si>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</si>
  <si>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</si>
  <si>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</si>
  <si>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</si>
  <si>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</si>
  <si>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</si>
  <si>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</si>
  <si>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</si>
  <si>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</si>
  <si>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</si>
  <si>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</si>
  <si>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</si>
  <si>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</si>
  <si>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</si>
  <si>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</si>
  <si>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</si>
  <si>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</si>
  <si>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</si>
  <si>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</si>
  <si>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</si>
  <si>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</si>
  <si>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</si>
  <si>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</si>
  <si>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</si>
  <si>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</si>
  <si>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</si>
  <si>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</si>
  <si>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</si>
  <si>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</si>
  <si>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</si>
  <si>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</si>
  <si>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</si>
  <si>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</si>
  <si>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</si>
  <si>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</si>
  <si>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</si>
  <si>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</si>
  <si>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</si>
  <si>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</si>
  <si>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</si>
  <si>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</si>
  <si>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</si>
  <si>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</si>
  <si>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</si>
  <si>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</si>
  <si>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</si>
  <si>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</si>
  <si>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</si>
  <si>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</si>
  <si>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</si>
  <si>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</si>
  <si>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</si>
  <si>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</si>
  <si>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</si>
  <si>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</si>
  <si>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</si>
  <si>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</si>
  <si>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</si>
  <si>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</si>
  <si>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</si>
  <si>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</si>
  <si>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</si>
  <si>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</si>
  <si>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</si>
  <si>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</si>
  <si>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</si>
  <si>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</si>
  <si>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</si>
  <si>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</si>
  <si>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</si>
  <si>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</si>
  <si>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</si>
  <si>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</si>
  <si>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</si>
  <si>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</si>
  <si>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</si>
  <si>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</si>
  <si>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</si>
  <si>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</si>
  <si>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</si>
  <si>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</si>
  <si>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</si>
  <si>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</si>
  <si>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</si>
  <si>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</si>
  <si>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</si>
  <si>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</si>
  <si>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</si>
  <si>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</si>
  <si>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</si>
  <si>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</si>
  <si>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</si>
  <si>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</si>
  <si>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</si>
  <si>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</si>
  <si>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</si>
  <si>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</si>
  <si>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</si>
  <si>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</si>
  <si>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</si>
  <si>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</si>
  <si>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</si>
  <si>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</si>
  <si>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</si>
  <si>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</si>
  <si>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</si>
  <si>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</si>
  <si>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</si>
  <si>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</si>
  <si>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</si>
  <si>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</si>
  <si>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</si>
  <si>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</si>
  <si>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</si>
  <si>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</si>
  <si>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</si>
  <si>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</si>
  <si>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</si>
  <si>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</si>
  <si>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</si>
  <si>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</si>
  <si>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</si>
  <si>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</si>
  <si>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</si>
  <si>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</si>
  <si>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</si>
  <si>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</si>
  <si>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</si>
  <si>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</si>
  <si>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</si>
  <si>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</si>
  <si>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</si>
  <si>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</si>
  <si>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</si>
  <si>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</si>
  <si>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</si>
  <si>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</si>
  <si>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</si>
  <si>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</si>
  <si>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</si>
  <si>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</si>
  <si>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</si>
  <si>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</si>
  <si>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</si>
  <si>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</si>
  <si>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</si>
  <si>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</si>
  <si>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</si>
  <si>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</si>
  <si>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</si>
  <si>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</si>
  <si>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</si>
  <si>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</si>
  <si>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</si>
  <si>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</si>
  <si>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</si>
  <si>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</si>
  <si>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</si>
  <si>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</si>
  <si>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</si>
  <si>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</si>
  <si>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</si>
  <si>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</si>
  <si>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</si>
  <si>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</si>
  <si>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</si>
  <si>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</si>
  <si>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</si>
  <si>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</si>
  <si>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</si>
  <si>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</si>
  <si>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</si>
  <si>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</si>
  <si>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</si>
  <si>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</si>
  <si>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</si>
  <si>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</si>
  <si>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</si>
  <si>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</si>
  <si>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</si>
  <si>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</si>
  <si>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</si>
  <si>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</si>
  <si>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</si>
  <si>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</si>
  <si>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</si>
  <si>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</si>
  <si>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</si>
  <si>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</si>
  <si>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</si>
  <si>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</si>
  <si>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</si>
  <si>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</si>
  <si>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</si>
  <si>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</si>
  <si>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</si>
  <si>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</si>
  <si>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</si>
  <si>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</si>
  <si>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</si>
  <si>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</si>
  <si>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</si>
  <si>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</si>
  <si>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</si>
  <si>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</si>
  <si>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</si>
  <si>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</si>
  <si>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</si>
  <si>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</si>
  <si>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</si>
  <si>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</si>
  <si>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</si>
  <si>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</si>
  <si>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</si>
  <si>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</si>
  <si>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</si>
  <si>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</si>
  <si>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</si>
  <si>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</si>
  <si>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</si>
  <si>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</si>
  <si>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</si>
  <si>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</si>
  <si>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</si>
  <si>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</si>
  <si>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</si>
  <si>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</si>
  <si>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</si>
  <si>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</si>
  <si>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</si>
  <si>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</si>
  <si>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</si>
  <si>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</si>
  <si>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</si>
  <si>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</si>
  <si>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</si>
  <si>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</si>
  <si>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</si>
  <si>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</si>
  <si>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</si>
  <si>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</si>
  <si>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</si>
  <si>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</si>
  <si>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</si>
  <si>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</si>
  <si>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</si>
  <si>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</si>
  <si>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</si>
  <si>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</si>
  <si>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</si>
  <si>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</si>
  <si>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</si>
  <si>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</si>
  <si>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</si>
  <si>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</si>
  <si>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</si>
  <si>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</si>
  <si>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</si>
  <si>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</si>
  <si>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</si>
  <si>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</si>
  <si>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</si>
  <si>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</si>
  <si>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</si>
  <si>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</si>
  <si>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</si>
  <si>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</si>
  <si>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</si>
  <si>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</si>
  <si>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</si>
  <si>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</si>
  <si>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</si>
  <si>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</si>
  <si>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</si>
  <si>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</si>
  <si>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</si>
  <si>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</si>
  <si>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</si>
  <si>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</si>
  <si>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</si>
  <si>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</si>
  <si>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</si>
  <si>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</si>
  <si>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</si>
  <si>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</si>
  <si>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</si>
  <si>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</si>
  <si>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</si>
  <si>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</si>
  <si>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</si>
  <si>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</si>
  <si>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</si>
  <si>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</si>
  <si>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</si>
  <si>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</si>
  <si>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</si>
  <si>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</si>
  <si>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</si>
  <si>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</si>
  <si>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</si>
  <si>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</si>
  <si>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</si>
  <si>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</si>
  <si>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</si>
  <si>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</si>
  <si>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</si>
  <si>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</si>
  <si>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</si>
  <si>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</si>
  <si>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</si>
  <si>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</si>
  <si>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</si>
  <si>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</si>
  <si>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</si>
  <si>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</si>
  <si>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</si>
  <si>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</si>
  <si>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</si>
  <si>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</si>
  <si>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</si>
  <si>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</si>
  <si>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</si>
  <si>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</si>
  <si>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</si>
  <si>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</si>
  <si>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</si>
  <si>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</si>
  <si>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</si>
  <si>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</si>
  <si>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</si>
  <si>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</si>
  <si>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</si>
  <si>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</si>
  <si>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</si>
  <si>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</si>
  <si>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</si>
  <si>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</si>
  <si>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</si>
  <si>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</si>
  <si>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</si>
  <si>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</si>
  <si>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</si>
  <si>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</si>
  <si>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</si>
  <si>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</si>
  <si>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</si>
  <si>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</si>
  <si>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</si>
  <si>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</si>
  <si>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</si>
  <si>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</si>
  <si>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</si>
  <si>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</si>
  <si>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</si>
  <si>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</si>
  <si>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</si>
  <si>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</si>
  <si>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</si>
  <si>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</si>
  <si>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</si>
  <si>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</si>
  <si>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</si>
  <si>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</si>
  <si>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</si>
  <si>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</si>
  <si>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</si>
  <si>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</si>
  <si>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</si>
  <si>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</si>
  <si>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</si>
  <si>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</si>
  <si>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</si>
  <si>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</si>
  <si>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</si>
  <si>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</si>
  <si>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</si>
  <si>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</si>
  <si>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</si>
  <si>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</si>
  <si>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</si>
  <si>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</si>
  <si>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</si>
  <si>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</si>
  <si>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</si>
  <si>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</si>
  <si>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</si>
  <si>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</si>
  <si>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</si>
  <si>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</si>
  <si>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</si>
  <si>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</si>
  <si>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</si>
  <si>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</si>
  <si>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</si>
  <si>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</si>
  <si>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</si>
  <si>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</si>
  <si>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</si>
  <si>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</si>
  <si>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</si>
  <si>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</si>
  <si>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</si>
  <si>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</si>
  <si>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</si>
  <si>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</si>
  <si>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</si>
  <si>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</si>
  <si>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</si>
  <si>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</si>
  <si>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</si>
  <si>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</si>
  <si>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</si>
  <si>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</si>
  <si>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</si>
  <si>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</si>
  <si>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</si>
  <si>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</si>
  <si>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</si>
  <si>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</si>
  <si>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</si>
  <si>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</si>
  <si>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</si>
  <si>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</si>
  <si>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</si>
  <si>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</si>
  <si>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</si>
  <si>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</si>
  <si>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</si>
  <si>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</si>
  <si>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</si>
  <si>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</si>
  <si>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</si>
  <si>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</si>
  <si>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</si>
  <si>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</si>
  <si>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</si>
  <si>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</si>
  <si>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</si>
  <si>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</si>
  <si>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</si>
  <si>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</si>
  <si>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</si>
  <si>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</si>
  <si>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</si>
  <si>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</si>
  <si>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</si>
  <si>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</si>
  <si>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</si>
  <si>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</si>
  <si>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</si>
  <si>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</si>
  <si>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</si>
  <si>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</si>
  <si>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</si>
  <si>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</si>
  <si>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</si>
  <si>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</si>
  <si>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</si>
  <si>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</si>
  <si>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</si>
  <si>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</si>
  <si>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</si>
  <si>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</si>
  <si>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</si>
  <si>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</si>
  <si>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</si>
  <si>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</si>
  <si>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</si>
  <si>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</si>
  <si>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</si>
  <si>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</si>
  <si>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</si>
  <si>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</si>
  <si>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</si>
  <si>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</si>
  <si>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</si>
  <si>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</si>
  <si>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</si>
  <si>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</si>
  <si>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</si>
  <si>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</si>
  <si>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</si>
  <si>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</si>
  <si>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</si>
  <si>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</si>
  <si>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</si>
  <si>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</si>
  <si>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</si>
  <si>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</si>
  <si>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</si>
  <si>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</si>
  <si>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</si>
  <si>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</si>
  <si>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</si>
  <si>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</si>
  <si>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</si>
  <si>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</si>
  <si>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</si>
  <si>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</si>
  <si>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</si>
  <si>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</si>
  <si>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</si>
  <si>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</si>
  <si>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</si>
  <si>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</si>
  <si>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</si>
  <si>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</si>
  <si>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</si>
  <si>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</si>
  <si>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</si>
  <si>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</si>
  <si>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</si>
  <si>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</si>
  <si>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</si>
  <si>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</si>
  <si>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</si>
  <si>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</si>
  <si>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</si>
  <si>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</si>
  <si>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</si>
  <si>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</si>
  <si>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</si>
  <si>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</si>
  <si>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</si>
  <si>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</si>
  <si>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</si>
  <si>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</si>
  <si>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</si>
  <si>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</si>
  <si>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</si>
  <si>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</si>
  <si>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</si>
  <si>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</si>
  <si>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</si>
  <si>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</si>
  <si>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</si>
  <si>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</si>
  <si>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</si>
  <si>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</si>
  <si>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</si>
  <si>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</si>
  <si>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</si>
  <si>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</si>
  <si>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</si>
  <si>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</si>
  <si>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</si>
  <si>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</si>
  <si>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</si>
  <si>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</si>
  <si>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</si>
  <si>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</si>
  <si>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</si>
  <si>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</si>
  <si>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</si>
  <si>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</si>
  <si>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</si>
  <si>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</si>
  <si>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</si>
  <si>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</si>
  <si>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</si>
  <si>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</si>
  <si>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</si>
  <si>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</si>
  <si>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</si>
  <si>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</si>
  <si>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</si>
  <si>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</si>
  <si>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</si>
  <si>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</si>
  <si>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</si>
  <si>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</si>
  <si>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</si>
  <si>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</si>
  <si>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</si>
  <si>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</si>
  <si>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</si>
  <si>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</si>
  <si>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</si>
  <si>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</si>
  <si>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</si>
  <si>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</si>
  <si>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</si>
  <si>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</si>
  <si>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</si>
  <si>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</si>
  <si>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</si>
  <si>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</si>
  <si>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</si>
  <si>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</si>
  <si>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</si>
  <si>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</si>
  <si>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</si>
  <si>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</si>
  <si>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</si>
  <si>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</si>
  <si>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</si>
  <si>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</si>
  <si>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</si>
  <si>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</si>
  <si>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</si>
  <si>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</si>
  <si>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</si>
  <si>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</si>
  <si>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</si>
  <si>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</si>
  <si>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</si>
  <si>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</si>
  <si>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</si>
  <si>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</si>
  <si>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</si>
  <si>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</si>
  <si>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</si>
  <si>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</si>
  <si>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</si>
  <si>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</si>
  <si>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</si>
  <si>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</si>
  <si>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</si>
  <si>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</si>
  <si>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</si>
  <si>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</si>
  <si>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</si>
  <si>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</si>
  <si>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</si>
  <si>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</si>
  <si>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</si>
  <si>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</si>
  <si>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</si>
  <si>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</si>
  <si>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</si>
  <si>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</si>
  <si>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</si>
  <si>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</si>
  <si>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</si>
  <si>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</si>
  <si>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</si>
  <si>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</si>
  <si>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</si>
  <si>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</si>
  <si>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</si>
  <si>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</si>
  <si>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</si>
  <si>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</si>
  <si>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</si>
  <si>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</si>
  <si>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</si>
  <si>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</si>
  <si>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</si>
  <si>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</si>
  <si>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</si>
  <si>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</si>
  <si>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</si>
  <si>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</si>
  <si>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</si>
  <si>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</si>
  <si>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</si>
  <si>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</si>
  <si>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</si>
  <si>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</si>
  <si>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</si>
  <si>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</si>
  <si>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</si>
  <si>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</si>
  <si>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</si>
  <si>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</si>
  <si>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</si>
  <si>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</si>
  <si>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</si>
  <si>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</si>
  <si>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</si>
  <si>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</si>
  <si>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</si>
  <si>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</si>
  <si>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</si>
  <si>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</si>
  <si>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</si>
  <si>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</si>
  <si>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</si>
  <si>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</si>
  <si>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</si>
  <si>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</si>
  <si>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</si>
  <si>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</si>
  <si>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</si>
  <si>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</si>
  <si>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</si>
  <si>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</si>
  <si>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</si>
  <si>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</si>
  <si>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</si>
  <si>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</si>
  <si>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</si>
  <si>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</si>
  <si>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</si>
  <si>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</si>
  <si>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</si>
  <si>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</si>
  <si>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</si>
  <si>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</si>
  <si>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</si>
  <si>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</si>
  <si>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</si>
  <si>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</si>
  <si>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</si>
  <si>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</si>
  <si>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</si>
  <si>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</si>
  <si>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</si>
  <si>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</si>
  <si>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</si>
  <si>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</si>
  <si>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</si>
  <si>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</si>
  <si>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</si>
  <si>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</si>
  <si>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</si>
  <si>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</si>
  <si>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</si>
  <si>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</si>
  <si>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</si>
  <si>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</si>
  <si>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</si>
  <si>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</si>
  <si>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</si>
  <si>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</si>
  <si>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</si>
  <si>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</si>
  <si>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</si>
  <si>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</si>
  <si>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</si>
  <si>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</si>
  <si>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</si>
  <si>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</si>
  <si>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</si>
  <si>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</si>
  <si>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</si>
  <si>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</si>
  <si>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</si>
  <si>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</si>
  <si>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</si>
  <si>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</si>
  <si>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</si>
  <si>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</si>
  <si>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</si>
  <si>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</si>
  <si>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</si>
  <si>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</si>
  <si>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</si>
  <si>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</si>
  <si>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</si>
  <si>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</si>
  <si>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</si>
  <si>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</si>
  <si>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</si>
  <si>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</si>
  <si>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</si>
  <si>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</si>
  <si>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</si>
  <si>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</si>
  <si>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</si>
  <si>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</si>
  <si>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</si>
  <si>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</si>
  <si>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</si>
  <si>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</si>
  <si>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</si>
  <si>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</si>
  <si>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</si>
  <si>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</si>
  <si>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</si>
  <si>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</si>
  <si>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</si>
  <si>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</si>
  <si>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</si>
  <si>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</si>
  <si>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</si>
  <si>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</si>
  <si>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</si>
  <si>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</si>
  <si>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</si>
  <si>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</si>
  <si>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</si>
  <si>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</si>
  <si>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</si>
  <si>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</si>
  <si>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</si>
  <si>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</si>
  <si>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</si>
  <si>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</si>
  <si>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</si>
  <si>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</si>
  <si>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</si>
  <si>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</si>
  <si>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</si>
  <si>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</si>
  <si>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</si>
  <si>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</si>
  <si>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</si>
  <si>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</si>
  <si>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</si>
  <si>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</si>
  <si>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</si>
  <si>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</si>
  <si>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</si>
  <si>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</si>
  <si>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</si>
  <si>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</si>
  <si>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</si>
  <si>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</si>
  <si>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</si>
  <si>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</si>
  <si>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</si>
  <si>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</si>
  <si>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</si>
  <si>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</si>
  <si>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</si>
  <si>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</si>
  <si>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</si>
  <si>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</si>
  <si>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</si>
  <si>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</si>
  <si>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</si>
  <si>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</si>
  <si>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</si>
  <si>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</si>
  <si>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</si>
  <si>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</si>
  <si>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</si>
  <si>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</si>
  <si>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</si>
  <si>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</si>
  <si>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</si>
  <si>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</si>
  <si>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</si>
  <si>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</si>
  <si>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</si>
  <si>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</si>
  <si>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</si>
  <si>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</si>
  <si>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</si>
  <si>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</si>
  <si>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</si>
  <si>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</si>
  <si>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</si>
  <si>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</si>
  <si>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</si>
  <si>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</si>
  <si>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</si>
  <si>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</si>
  <si>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</si>
  <si>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</si>
  <si>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</si>
  <si>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</si>
  <si>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</si>
  <si>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</si>
  <si>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</si>
  <si>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</si>
  <si>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</si>
  <si>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</si>
  <si>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</si>
  <si>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</si>
  <si>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</si>
  <si>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</si>
  <si>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</si>
  <si>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</si>
  <si>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</si>
  <si>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</si>
  <si>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</si>
  <si>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</si>
  <si>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</si>
  <si>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</si>
  <si>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</si>
  <si>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</si>
  <si>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</si>
  <si>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</si>
  <si>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</si>
  <si>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</si>
  <si>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</si>
  <si>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</si>
  <si>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</si>
  <si>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</si>
  <si>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</si>
  <si>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</si>
  <si>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</si>
  <si>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</si>
  <si>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</si>
  <si>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</si>
  <si>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</si>
  <si>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</si>
  <si>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</si>
  <si>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</si>
  <si>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</si>
  <si>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</si>
  <si>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</si>
  <si>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</si>
  <si>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</si>
  <si>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</si>
  <si>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</si>
  <si>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</si>
  <si>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</si>
  <si>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</si>
  <si>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</si>
  <si>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</si>
  <si>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</si>
  <si>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</si>
  <si>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</si>
  <si>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</si>
  <si>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</si>
  <si>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</si>
  <si>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</si>
  <si>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</si>
  <si>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</si>
  <si>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</si>
  <si>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</si>
  <si>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</si>
  <si>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</si>
  <si>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</si>
  <si>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</si>
  <si>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</si>
  <si>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</si>
  <si>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</si>
  <si>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</si>
  <si>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</si>
  <si>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</si>
  <si>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</si>
  <si>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</si>
  <si>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</si>
  <si>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</si>
  <si>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</si>
  <si>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</si>
  <si>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</si>
  <si>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</si>
  <si>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</si>
  <si>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</si>
  <si>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</si>
  <si>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</si>
  <si>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</si>
  <si>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</si>
  <si>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</si>
  <si>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</si>
  <si>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</si>
  <si>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</si>
  <si>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</si>
  <si>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</si>
  <si>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</si>
  <si>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</si>
  <si>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</si>
  <si>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</si>
  <si>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</si>
  <si>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</si>
  <si>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</si>
  <si>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</si>
  <si>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</si>
  <si>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</si>
  <si>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</si>
  <si>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</si>
  <si>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</si>
  <si>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</si>
  <si>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</si>
  <si>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</si>
  <si>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</si>
  <si>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</si>
  <si>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</si>
  <si>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</si>
  <si>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</si>
  <si>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</si>
  <si>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</si>
  <si>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</si>
  <si>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</si>
  <si>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</si>
  <si>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</si>
  <si>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</si>
  <si>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</si>
  <si>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</si>
  <si>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</si>
  <si>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</si>
  <si>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</si>
  <si>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</si>
  <si>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</si>
  <si>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</si>
  <si>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</si>
  <si>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</si>
  <si>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</si>
  <si>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</si>
  <si>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</si>
  <si>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</si>
  <si>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</si>
  <si>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</si>
  <si>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</si>
  <si>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</si>
  <si>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</si>
  <si>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</si>
  <si>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</si>
  <si>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</si>
  <si>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</si>
  <si>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</si>
  <si>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</si>
  <si>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</si>
  <si>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</si>
  <si>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</si>
  <si>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</si>
  <si>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</si>
  <si>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</si>
  <si>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</si>
  <si>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</si>
  <si>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</si>
  <si>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</si>
  <si>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</si>
  <si>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</si>
  <si>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</si>
  <si>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</si>
  <si>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</si>
  <si>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</si>
  <si>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</si>
  <si>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</si>
  <si>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</si>
  <si>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</si>
  <si>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</si>
  <si>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</si>
  <si>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</si>
  <si>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</si>
  <si>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</si>
  <si>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</si>
  <si>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</si>
  <si>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</si>
  <si>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</si>
  <si>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</si>
  <si>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</si>
  <si>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</si>
  <si>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</si>
  <si>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</si>
  <si>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</si>
  <si>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</si>
  <si>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</si>
  <si>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</si>
  <si>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</si>
  <si>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</si>
  <si>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</si>
  <si>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</si>
  <si>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</si>
  <si>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</si>
  <si>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</si>
  <si>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</si>
  <si>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</si>
  <si>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</si>
  <si>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</si>
  <si>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</si>
  <si>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</si>
  <si>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</si>
  <si>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</si>
  <si>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</si>
  <si>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</si>
  <si>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</si>
  <si>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</si>
  <si>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</si>
  <si>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</si>
  <si>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</si>
  <si>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</si>
  <si>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</si>
  <si>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</si>
  <si>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</si>
  <si>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</si>
  <si>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</si>
  <si>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</si>
  <si>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</si>
  <si>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</si>
  <si>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</si>
  <si>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</si>
  <si>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</si>
  <si>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</si>
  <si>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</si>
  <si>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</si>
  <si>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</si>
  <si>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</si>
  <si>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</si>
  <si>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</si>
  <si>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</si>
  <si>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</si>
  <si>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</si>
  <si>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</si>
  <si>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</si>
  <si>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</si>
  <si>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</si>
  <si>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</si>
  <si>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</si>
  <si>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</si>
  <si>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</si>
  <si>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</si>
  <si>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</si>
  <si>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</si>
  <si>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</si>
  <si>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</si>
  <si>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</si>
  <si>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</si>
  <si>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</si>
  <si>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</si>
  <si>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</si>
  <si>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</si>
  <si>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</si>
  <si>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</si>
  <si>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</si>
  <si>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</si>
  <si>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</si>
  <si>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</si>
  <si>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</si>
  <si>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</si>
  <si>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</si>
  <si>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</si>
  <si>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</si>
  <si>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</si>
  <si>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</si>
  <si>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</si>
  <si>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</si>
  <si>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</si>
  <si>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</si>
  <si>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</si>
  <si>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</si>
  <si>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</si>
  <si>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</si>
  <si>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</si>
  <si>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</si>
  <si>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</si>
  <si>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</si>
  <si>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</si>
  <si>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</si>
  <si>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</si>
  <si>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</si>
  <si>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</si>
  <si>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</si>
  <si>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</si>
  <si>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</si>
  <si>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</si>
  <si>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</si>
  <si>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</si>
  <si>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</si>
  <si>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</si>
  <si>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</si>
  <si>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</si>
  <si>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</si>
  <si>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</si>
  <si>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</si>
  <si>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</si>
  <si>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</si>
  <si>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</si>
  <si>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</si>
  <si>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</si>
  <si>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</si>
  <si>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</si>
  <si>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</si>
  <si>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</si>
  <si>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</si>
  <si>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</si>
  <si>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</si>
  <si>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</si>
  <si>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</si>
  <si>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</si>
  <si>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</si>
  <si>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</si>
  <si>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</si>
  <si>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</si>
  <si>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</si>
  <si>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</si>
  <si>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</si>
  <si>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</si>
  <si>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</si>
  <si>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</si>
  <si>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</si>
  <si>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</si>
  <si>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</si>
  <si>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</si>
  <si>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</si>
  <si>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</si>
  <si>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</si>
  <si>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</si>
  <si>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</si>
  <si>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</si>
  <si>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</si>
  <si>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</si>
  <si>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</si>
  <si>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</si>
  <si>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</si>
  <si>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</si>
  <si>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</si>
  <si>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</si>
  <si>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</si>
  <si>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</si>
  <si>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</si>
  <si>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</si>
  <si>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</si>
  <si>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</si>
  <si>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</si>
  <si>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</si>
  <si>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</si>
  <si>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</si>
  <si>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</si>
  <si>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</si>
  <si>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</si>
  <si>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</si>
  <si>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</si>
  <si>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</si>
  <si>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</si>
  <si>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</si>
  <si>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</si>
  <si>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</si>
  <si>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</si>
  <si>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</si>
  <si>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</si>
  <si>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</si>
  <si>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</si>
  <si>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</si>
  <si>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</si>
  <si>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</si>
  <si>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</si>
  <si>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</si>
  <si>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</si>
  <si>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</si>
  <si>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</si>
  <si>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</si>
  <si>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</si>
  <si>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</si>
  <si>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</si>
  <si>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</si>
  <si>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</si>
  <si>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</si>
  <si>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</si>
  <si>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</si>
  <si>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</si>
  <si>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</si>
  <si>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</si>
  <si>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</si>
  <si>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</si>
  <si>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</si>
  <si>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</si>
  <si>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</si>
  <si>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</si>
  <si>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</si>
  <si>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</si>
  <si>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</si>
  <si>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</si>
  <si>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</si>
  <si>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</si>
  <si>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</si>
  <si>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</si>
  <si>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</si>
  <si>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</si>
  <si>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</si>
  <si>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</si>
  <si>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</si>
  <si>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</si>
  <si>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</si>
  <si>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</si>
  <si>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</si>
  <si>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</si>
  <si>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</si>
  <si>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</si>
  <si>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</si>
  <si>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</si>
  <si>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</si>
  <si>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</si>
  <si>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</si>
  <si>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</si>
  <si>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</si>
  <si>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</si>
  <si>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</si>
  <si>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</si>
  <si>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</si>
  <si>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</si>
  <si>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</si>
  <si>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</si>
  <si>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</si>
  <si>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</si>
  <si>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</si>
  <si>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</si>
  <si>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</si>
  <si>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</si>
  <si>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</si>
  <si>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</si>
  <si>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</si>
  <si>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</si>
  <si>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</si>
  <si>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</si>
  <si>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</si>
  <si>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</si>
  <si>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</si>
  <si>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</si>
  <si>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</si>
  <si>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</si>
  <si>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</si>
  <si>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</si>
  <si>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</si>
  <si>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</si>
  <si>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</si>
  <si>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</si>
  <si>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</si>
  <si>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</si>
  <si>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</si>
  <si>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</si>
  <si>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</si>
  <si>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</si>
  <si>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</si>
  <si>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</si>
  <si>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</si>
  <si>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</si>
  <si>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</si>
  <si>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</si>
  <si>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</si>
  <si>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</si>
  <si>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</si>
  <si>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</si>
  <si>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</si>
  <si>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</si>
  <si>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</si>
  <si>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</si>
  <si>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</si>
  <si>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</si>
  <si>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</si>
  <si>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</si>
  <si>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</si>
  <si>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</si>
  <si>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</si>
  <si>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</si>
  <si>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</si>
  <si>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</si>
  <si>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</si>
  <si>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</si>
  <si>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</si>
  <si>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</si>
  <si>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</si>
  <si>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</si>
  <si>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</si>
  <si>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</si>
  <si>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</si>
  <si>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</si>
  <si>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</si>
  <si>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</si>
  <si>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</si>
  <si>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</si>
  <si>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</si>
  <si>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</si>
  <si>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</si>
  <si>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</si>
  <si>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</si>
  <si>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</si>
  <si>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</si>
  <si>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</si>
  <si>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</si>
  <si>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</si>
  <si>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</si>
  <si>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</si>
  <si>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</si>
  <si>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</si>
  <si>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</si>
  <si>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</si>
  <si>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</si>
  <si>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</si>
  <si>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</si>
  <si>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</si>
  <si>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</si>
  <si>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</si>
  <si>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</si>
  <si>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</si>
  <si>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</si>
  <si>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</si>
  <si>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</si>
  <si>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</si>
  <si>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</si>
  <si>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</si>
  <si>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</si>
  <si>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</si>
  <si>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</si>
  <si>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</si>
  <si>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</si>
  <si>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</si>
  <si>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</si>
  <si>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</si>
  <si>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</si>
  <si>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</si>
  <si>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</si>
  <si>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</si>
  <si>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</si>
  <si>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</si>
  <si>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</si>
  <si>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</si>
  <si>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</si>
  <si>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</si>
  <si>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</si>
  <si>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</si>
  <si>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</si>
  <si>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</si>
  <si>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</si>
  <si>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</si>
  <si>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</si>
  <si>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</si>
  <si>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</si>
  <si>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</si>
  <si>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</si>
  <si>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</si>
  <si>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</si>
  <si>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</si>
  <si>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</si>
  <si>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</si>
  <si>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</si>
  <si>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</si>
  <si>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</si>
  <si>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</si>
  <si>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</si>
  <si>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</si>
  <si>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</si>
  <si>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</si>
  <si>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</si>
  <si>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</si>
  <si>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</si>
  <si>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</si>
  <si>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</si>
  <si>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</si>
  <si>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</si>
  <si>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</si>
  <si>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</si>
  <si>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</si>
  <si>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</si>
  <si>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</si>
  <si>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</si>
  <si>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</si>
  <si>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</si>
  <si>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</si>
  <si>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</si>
  <si>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</si>
  <si>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</si>
  <si>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</si>
  <si>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</si>
  <si>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</si>
  <si>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</si>
  <si>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</si>
  <si>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</si>
  <si>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</si>
  <si>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</si>
  <si>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</si>
  <si>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</si>
  <si>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</si>
  <si>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</si>
  <si>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</si>
  <si>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</si>
  <si>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</si>
  <si>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</si>
  <si>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</si>
  <si>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</si>
  <si>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</si>
  <si>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</si>
  <si>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</si>
  <si>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</si>
  <si>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</si>
  <si>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</si>
  <si>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</si>
  <si>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</si>
  <si>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</si>
  <si>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</si>
  <si>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</si>
  <si>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</si>
  <si>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</si>
  <si>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</si>
  <si>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</si>
  <si>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</si>
  <si>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</si>
  <si>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</si>
  <si>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</si>
  <si>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</si>
  <si>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</si>
  <si>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</si>
  <si>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</si>
  <si>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</si>
  <si>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</si>
  <si>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</si>
  <si>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</si>
  <si>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</si>
  <si>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</si>
  <si>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</si>
  <si>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</si>
  <si>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</si>
  <si>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</si>
  <si>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</si>
  <si>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</si>
  <si>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</si>
  <si>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</si>
  <si>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</si>
  <si>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</si>
  <si>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</si>
  <si>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</si>
  <si>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</si>
  <si>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</si>
  <si>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</si>
  <si>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</si>
  <si>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</si>
  <si>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</si>
  <si>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</si>
  <si>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</si>
  <si>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</si>
  <si>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</si>
  <si>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</si>
  <si>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</si>
  <si>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</si>
  <si>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</si>
  <si>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</si>
  <si>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</si>
  <si>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</si>
  <si>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</si>
  <si>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</si>
  <si>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</si>
  <si>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</si>
  <si>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</si>
  <si>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</si>
  <si>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</si>
  <si>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</si>
  <si>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</si>
  <si>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</si>
  <si>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</si>
  <si>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</si>
  <si>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</si>
  <si>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</si>
  <si>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</si>
  <si>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</si>
  <si>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</si>
  <si>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</si>
  <si>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</si>
  <si>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</si>
  <si>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</si>
  <si>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</si>
  <si>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</si>
  <si>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</si>
  <si>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</si>
  <si>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</si>
  <si>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</si>
  <si>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</si>
  <si>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</si>
  <si>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</si>
  <si>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</si>
  <si>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</si>
  <si>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</si>
  <si>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</si>
  <si>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</si>
  <si>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</si>
  <si>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</si>
  <si>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</si>
  <si>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</si>
  <si>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</si>
  <si>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</si>
  <si>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</si>
  <si>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</si>
  <si>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</si>
  <si>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</si>
  <si>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</si>
  <si>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</si>
  <si>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</si>
  <si>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</si>
  <si>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</si>
  <si>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</si>
  <si>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</si>
  <si>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</si>
  <si>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</si>
  <si>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</si>
  <si>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</si>
  <si>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</si>
  <si>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</si>
  <si>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</si>
  <si>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</si>
  <si>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</si>
  <si>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</si>
  <si>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</si>
  <si>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</si>
  <si>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</si>
  <si>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</si>
  <si>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</si>
  <si>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</si>
  <si>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</si>
  <si>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</si>
  <si>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</si>
  <si>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</si>
  <si>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</si>
  <si>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</si>
  <si>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</si>
  <si>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</si>
  <si>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</si>
  <si>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</si>
  <si>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</si>
  <si>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</si>
  <si>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</si>
  <si>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</si>
  <si>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</si>
  <si>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</si>
  <si>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</si>
  <si>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</si>
  <si>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</si>
  <si>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</si>
  <si>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</si>
  <si>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</si>
  <si>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</si>
  <si>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</si>
  <si>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</si>
  <si>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</si>
  <si>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</si>
  <si>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</si>
  <si>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</si>
  <si>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</si>
  <si>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</si>
  <si>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</si>
  <si>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</si>
  <si>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</si>
  <si>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</si>
  <si>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</si>
  <si>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</si>
  <si>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</si>
  <si>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</si>
  <si>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</si>
  <si>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</si>
  <si>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</si>
  <si>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</si>
  <si>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</si>
  <si>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</si>
  <si>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</si>
  <si>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</si>
  <si>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</si>
  <si>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</si>
  <si>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</si>
  <si>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</si>
  <si>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</si>
  <si>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</si>
  <si>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</si>
  <si>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</si>
  <si>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</si>
  <si>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</si>
  <si>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</si>
  <si>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</si>
  <si>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</si>
  <si>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</si>
  <si>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</si>
  <si>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</si>
  <si>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</si>
  <si>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</si>
  <si>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</si>
  <si>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</si>
  <si>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</si>
  <si>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</si>
  <si>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</si>
  <si>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</si>
  <si>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</si>
  <si>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</si>
  <si>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</si>
  <si>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</si>
  <si>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</si>
  <si>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</si>
  <si>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</si>
  <si>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</si>
  <si>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</si>
  <si>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</si>
  <si>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</si>
  <si>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</si>
  <si>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</si>
  <si>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</si>
  <si>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</si>
  <si>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</si>
  <si>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</si>
  <si>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</si>
  <si>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</si>
  <si>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</si>
  <si>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</si>
  <si>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</si>
  <si>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</si>
  <si>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</si>
  <si>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</si>
  <si>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</si>
  <si>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</si>
  <si>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</si>
  <si>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</si>
  <si>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</si>
  <si>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</si>
  <si>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</si>
  <si>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</si>
  <si>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</si>
  <si>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</si>
  <si>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</si>
  <si>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</si>
  <si>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</si>
  <si>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</si>
  <si>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</si>
  <si>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</si>
  <si>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</si>
  <si>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</si>
  <si>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</si>
  <si>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</si>
  <si>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</si>
  <si>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</si>
  <si>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</si>
  <si>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</si>
  <si>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</si>
  <si>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</si>
  <si>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</si>
  <si>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</si>
  <si>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</si>
  <si>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</si>
  <si>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</si>
  <si>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</si>
  <si>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</si>
  <si>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</si>
  <si>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</si>
  <si>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</si>
  <si>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</si>
  <si>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</si>
  <si>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</si>
  <si>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</si>
  <si>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</si>
  <si>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</si>
  <si>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</si>
  <si>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</si>
  <si>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</si>
  <si>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</si>
  <si>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</si>
  <si>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</si>
  <si>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</si>
  <si>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</si>
  <si>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</si>
  <si>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</si>
  <si>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</si>
  <si>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</si>
  <si>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</si>
  <si>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</si>
  <si>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</si>
  <si>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</si>
  <si>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</si>
  <si>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</si>
  <si>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</si>
  <si>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</si>
  <si>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</si>
  <si>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</si>
  <si>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</si>
  <si>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</si>
  <si>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</si>
  <si>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</si>
  <si>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</si>
  <si>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</si>
  <si>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</si>
  <si>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</si>
  <si>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</si>
  <si>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</si>
  <si>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</si>
  <si>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</si>
  <si>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</si>
  <si>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</si>
  <si>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</si>
  <si>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</si>
  <si>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</si>
  <si>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</si>
  <si>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</si>
  <si>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</si>
  <si>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</si>
  <si>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</si>
  <si>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</si>
  <si>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</si>
  <si>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</si>
  <si>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</si>
  <si>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</si>
  <si>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</si>
  <si>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</si>
  <si>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</si>
  <si>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</si>
  <si>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</si>
  <si>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</si>
  <si>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</si>
  <si>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</si>
  <si>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</si>
  <si>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</si>
  <si>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</si>
  <si>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</si>
  <si>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</si>
  <si>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</si>
  <si>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</si>
  <si>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</si>
  <si>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</si>
  <si>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</si>
  <si>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</si>
  <si>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</si>
  <si>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</si>
  <si>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</si>
  <si>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</si>
  <si>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</si>
  <si>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</si>
  <si>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</si>
  <si>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</si>
  <si>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</si>
  <si>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</si>
  <si>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</si>
  <si>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</si>
  <si>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</si>
  <si>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</si>
  <si>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</si>
  <si>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</si>
  <si>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</si>
  <si>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</si>
  <si>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</si>
  <si>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</si>
  <si>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</si>
  <si>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</si>
  <si>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</si>
  <si>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</si>
  <si>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</si>
  <si>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</si>
  <si>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</si>
  <si>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</si>
  <si>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</si>
  <si>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</si>
  <si>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</si>
  <si>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</si>
  <si>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</si>
  <si>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</si>
  <si>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</si>
  <si>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</si>
  <si>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</si>
  <si>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</si>
  <si>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</si>
  <si>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</si>
  <si>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</si>
  <si>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</si>
  <si>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</si>
  <si>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</si>
  <si>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</si>
  <si>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</si>
  <si>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</si>
  <si>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</si>
  <si>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</si>
  <si>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</si>
  <si>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</si>
  <si>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</si>
  <si>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</si>
  <si>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</si>
  <si>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</si>
  <si>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</si>
  <si>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</si>
  <si>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</si>
  <si>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</si>
  <si>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</si>
  <si>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</si>
  <si>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</si>
  <si>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</si>
  <si>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</si>
  <si>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</si>
  <si>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</si>
  <si>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</si>
  <si>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</si>
  <si>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</si>
  <si>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</si>
  <si>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</si>
  <si>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</si>
  <si>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</si>
  <si>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</si>
  <si>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</si>
  <si>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</si>
  <si>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</si>
  <si>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</si>
  <si>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</si>
  <si>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</si>
  <si>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</si>
  <si>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</si>
  <si>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</si>
  <si>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</si>
  <si>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</si>
  <si>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</si>
  <si>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</si>
  <si>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</si>
  <si>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</si>
  <si>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</si>
  <si>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</si>
  <si>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</si>
  <si>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</si>
  <si>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</si>
  <si>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</si>
  <si>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</si>
  <si>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</si>
  <si>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</si>
  <si>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</si>
  <si>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</si>
  <si>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</si>
  <si>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</si>
  <si>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</si>
  <si>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</si>
  <si>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</si>
  <si>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</si>
  <si>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</si>
  <si>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</si>
  <si>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</si>
  <si>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</si>
  <si>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</si>
  <si>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</si>
  <si>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</si>
  <si>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</si>
  <si>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</si>
  <si>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</si>
  <si>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</si>
  <si>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</si>
  <si>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</si>
  <si>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</si>
  <si>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</si>
  <si>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</si>
  <si>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</si>
  <si>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</si>
  <si>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</si>
  <si>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</si>
  <si>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</si>
  <si>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</si>
  <si>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</si>
  <si>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</si>
  <si>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</si>
  <si>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</si>
  <si>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</si>
  <si>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</si>
  <si>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</si>
  <si>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</si>
  <si>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</si>
  <si>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</si>
  <si>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</si>
  <si>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</si>
  <si>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</si>
  <si>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</si>
  <si>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</si>
  <si>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</si>
  <si>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</si>
  <si>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</si>
  <si>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</si>
  <si>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</si>
  <si>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</si>
  <si>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</si>
  <si>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</si>
  <si>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</si>
  <si>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</si>
  <si>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</si>
  <si>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</si>
  <si>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</si>
  <si>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</si>
  <si>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</si>
  <si>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</si>
  <si>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</si>
  <si>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</si>
  <si>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</si>
  <si>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</si>
  <si>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</si>
  <si>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</si>
  <si>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</si>
  <si>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</si>
  <si>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</si>
  <si>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</si>
  <si>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</si>
  <si>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</si>
  <si>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</si>
  <si>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</si>
  <si>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</si>
  <si>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</si>
  <si>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</si>
  <si>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</si>
  <si>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</si>
  <si>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</si>
  <si>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</si>
  <si>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</si>
  <si>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</si>
  <si>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</si>
  <si>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</si>
  <si>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</si>
  <si>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</si>
  <si>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</si>
  <si>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</si>
  <si>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</si>
  <si>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</si>
  <si>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</si>
  <si>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</si>
  <si>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</si>
  <si>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</si>
  <si>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</si>
  <si>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</si>
  <si>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</si>
  <si>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</si>
  <si>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</si>
  <si>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</si>
  <si>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</si>
  <si>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</si>
  <si>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</si>
  <si>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</si>
  <si>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</si>
  <si>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</si>
  <si>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</si>
  <si>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</si>
  <si>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</si>
  <si>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</si>
  <si>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</si>
  <si>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</si>
  <si>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</si>
  <si>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</si>
  <si>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</si>
  <si>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</si>
  <si>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</si>
  <si>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</si>
  <si>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</si>
  <si>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</si>
  <si>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</si>
  <si>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</si>
  <si>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</si>
  <si>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</si>
  <si>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</si>
  <si>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</si>
  <si>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</si>
  <si>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</si>
  <si>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</si>
  <si>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</si>
  <si>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</si>
  <si>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</si>
  <si>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</si>
  <si>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</si>
  <si>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</si>
  <si>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</si>
  <si>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</si>
  <si>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</si>
  <si>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</si>
  <si>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</si>
  <si>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</si>
  <si>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</si>
  <si>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</si>
  <si>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</si>
  <si>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</si>
  <si>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</si>
  <si>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</si>
  <si>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</si>
  <si>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</si>
  <si>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</si>
  <si>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</si>
  <si>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</si>
  <si>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</si>
  <si>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</si>
  <si>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</si>
  <si>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</si>
  <si>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</si>
  <si>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</si>
  <si>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</si>
  <si>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</si>
  <si>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</si>
  <si>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</si>
  <si>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</si>
  <si>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</si>
  <si>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</si>
  <si>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</si>
  <si>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</si>
  <si>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</si>
  <si>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</si>
  <si>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</si>
  <si>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</si>
  <si>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</si>
  <si>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</si>
  <si>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</si>
  <si>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</si>
  <si>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</si>
  <si>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</si>
  <si>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</si>
  <si>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</si>
  <si>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</si>
  <si>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</si>
  <si>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</si>
  <si>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</si>
  <si>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</si>
  <si>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</si>
  <si>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</si>
  <si>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</si>
  <si>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</si>
  <si>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</si>
  <si>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</si>
  <si>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</si>
  <si>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</si>
  <si>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</si>
  <si>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</si>
  <si>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</si>
  <si>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</si>
  <si>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</si>
  <si>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</si>
  <si>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</si>
  <si>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</si>
  <si>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</si>
  <si>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</si>
  <si>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</si>
  <si>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</si>
  <si>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</si>
  <si>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</si>
  <si>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</si>
  <si>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</si>
  <si>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</si>
  <si>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</si>
  <si>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</si>
  <si>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</si>
  <si>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</si>
  <si>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</si>
  <si>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</si>
  <si>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</si>
  <si>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</si>
  <si>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</si>
  <si>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</si>
  <si>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</si>
  <si>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</si>
  <si>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</si>
  <si>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</si>
  <si>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</si>
  <si>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</si>
  <si>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</si>
  <si>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</si>
  <si>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</si>
  <si>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</si>
  <si>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</si>
  <si>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</si>
  <si>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</si>
  <si>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</si>
  <si>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</si>
  <si>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</si>
  <si>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</si>
  <si>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</si>
  <si>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</si>
  <si>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</si>
  <si>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</si>
  <si>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</si>
  <si>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</si>
  <si>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</si>
  <si>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</si>
  <si>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</si>
  <si>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</si>
  <si>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</si>
  <si>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</si>
  <si>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</si>
  <si>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</si>
  <si>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</si>
  <si>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</si>
  <si>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</si>
  <si>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</si>
  <si>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</si>
  <si>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</si>
  <si>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</si>
  <si>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</si>
  <si>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</si>
  <si>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</si>
  <si>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</si>
  <si>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</si>
  <si>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</si>
  <si>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</si>
  <si>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</si>
  <si>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</si>
  <si>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</si>
  <si>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</si>
  <si>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</si>
  <si>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</si>
  <si>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</si>
  <si>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</si>
  <si>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</si>
  <si>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</si>
  <si>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</si>
  <si>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</si>
  <si>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</si>
  <si>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</si>
  <si>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</si>
  <si>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</si>
  <si>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</si>
  <si>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</si>
  <si>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</si>
  <si>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</si>
  <si>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</si>
  <si>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</si>
  <si>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</si>
  <si>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</si>
  <si>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</si>
  <si>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</si>
  <si>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</si>
  <si>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</si>
  <si>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</si>
  <si>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</si>
  <si>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</si>
  <si>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</si>
  <si>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</si>
  <si>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</si>
  <si>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</si>
  <si>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</si>
  <si>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</si>
  <si>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</si>
  <si>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</si>
  <si>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</si>
  <si>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</si>
  <si>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</si>
  <si>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</si>
  <si>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</si>
  <si>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</si>
  <si>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</si>
  <si>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</si>
  <si>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</si>
  <si>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</si>
  <si>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</si>
  <si>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</si>
  <si>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</si>
  <si>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</si>
  <si>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</si>
  <si>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</si>
  <si>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</si>
  <si>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</si>
  <si>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</si>
  <si>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</si>
  <si>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</si>
  <si>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</si>
  <si>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</si>
  <si>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</si>
  <si>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</si>
  <si>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</si>
  <si>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</si>
  <si>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</si>
  <si>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</si>
  <si>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</si>
  <si>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</si>
  <si>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</si>
  <si>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</si>
  <si>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</si>
  <si>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</si>
  <si>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</si>
  <si>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</si>
  <si>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</si>
  <si>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</si>
  <si>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</si>
  <si>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</si>
  <si>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</si>
  <si>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</si>
  <si>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</si>
  <si>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</si>
  <si>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</si>
  <si>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</si>
  <si>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</si>
  <si>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</si>
  <si>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</si>
  <si>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</si>
  <si>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</si>
  <si>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</si>
  <si>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</si>
  <si>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</si>
  <si>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</si>
  <si>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</si>
  <si>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</si>
  <si>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</si>
  <si>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</si>
  <si>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</si>
  <si>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</si>
  <si>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</si>
  <si>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</si>
  <si>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</si>
  <si>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</si>
  <si>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</si>
  <si>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</si>
  <si>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</si>
  <si>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</si>
  <si>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</si>
  <si>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</si>
  <si>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</si>
  <si>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</si>
  <si>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</si>
  <si>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</si>
  <si>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</si>
  <si>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</si>
  <si>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</si>
  <si>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</si>
  <si>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</si>
  <si>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</si>
  <si>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</si>
  <si>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</si>
  <si>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</si>
  <si>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</si>
  <si>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</si>
  <si>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</si>
  <si>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</si>
  <si>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</si>
  <si>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</si>
  <si>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</si>
  <si>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</si>
  <si>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</si>
  <si>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</si>
  <si>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</si>
  <si>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</si>
  <si>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</si>
  <si>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</si>
  <si>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</si>
  <si>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</si>
  <si>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</si>
  <si>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</si>
  <si>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</si>
  <si>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</si>
  <si>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</si>
  <si>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</si>
  <si>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</si>
  <si>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</si>
  <si>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</si>
  <si>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</si>
  <si>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</si>
  <si>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</si>
  <si>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</si>
  <si>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</si>
  <si>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</si>
  <si>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</si>
  <si>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</si>
  <si>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</si>
  <si>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</si>
  <si>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</si>
  <si>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</si>
  <si>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</si>
  <si>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</si>
  <si>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</si>
  <si>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</si>
  <si>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</si>
  <si>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</si>
  <si>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</si>
  <si>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</si>
  <si>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</si>
  <si>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</si>
  <si>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</si>
  <si>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</si>
  <si>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</si>
  <si>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</si>
  <si>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</si>
  <si>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</si>
  <si>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</si>
  <si>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</si>
  <si>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</si>
  <si>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</si>
  <si>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</si>
  <si>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</si>
  <si>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</si>
  <si>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</si>
  <si>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</si>
  <si>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</si>
  <si>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</si>
  <si>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</si>
  <si>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</si>
  <si>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</si>
  <si>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</si>
  <si>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</si>
  <si>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</si>
  <si>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</si>
  <si>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</si>
  <si>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</si>
  <si>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</si>
  <si>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</si>
  <si>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</si>
  <si>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</si>
  <si>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</si>
  <si>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</si>
  <si>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</si>
  <si>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</si>
  <si>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</si>
  <si>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</si>
  <si>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</si>
  <si>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</si>
  <si>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</si>
  <si>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</si>
  <si>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</si>
  <si>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</si>
  <si>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</si>
  <si>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</si>
  <si>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</si>
  <si>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</si>
  <si>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</si>
  <si>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</si>
  <si>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</si>
  <si>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</si>
  <si>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</si>
  <si>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</si>
  <si>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</si>
  <si>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</si>
  <si>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</si>
  <si>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</si>
  <si>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</si>
  <si>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</si>
  <si>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</si>
  <si>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</si>
  <si>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</si>
  <si>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</si>
  <si>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</si>
  <si>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</si>
  <si>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</si>
  <si>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</si>
  <si>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</si>
  <si>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</si>
  <si>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</si>
  <si>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</si>
  <si>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</si>
  <si>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</si>
  <si>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</si>
  <si>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</si>
  <si>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</si>
  <si>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</si>
  <si>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</si>
  <si>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</si>
  <si>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</si>
  <si>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</si>
  <si>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</si>
  <si>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</si>
  <si>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</si>
  <si>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</si>
  <si>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</si>
  <si>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</si>
  <si>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</si>
  <si>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</si>
  <si>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</si>
  <si>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</si>
  <si>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</si>
  <si>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</si>
  <si>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</si>
  <si>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</si>
  <si>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</si>
  <si>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</si>
  <si>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</si>
  <si>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</si>
  <si>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</si>
  <si>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</si>
  <si>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</si>
  <si>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</si>
  <si>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</si>
  <si>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</si>
  <si>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</si>
  <si>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</si>
  <si>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</si>
  <si>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</si>
  <si>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</si>
  <si>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</si>
  <si>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</si>
  <si>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</si>
  <si>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</si>
  <si>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</si>
  <si>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</si>
  <si>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</si>
  <si>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</si>
  <si>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</si>
  <si>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</si>
  <si>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</si>
  <si>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</si>
  <si>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</si>
  <si>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</si>
  <si>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</si>
  <si>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</si>
  <si>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</si>
  <si>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</si>
  <si>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</si>
  <si>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</si>
  <si>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</si>
  <si>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</si>
  <si>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</si>
  <si>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</si>
  <si>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</si>
  <si>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</si>
  <si>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</si>
  <si>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</si>
  <si>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</si>
  <si>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</si>
  <si>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</si>
  <si>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</si>
  <si>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</si>
  <si>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</si>
  <si>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</si>
  <si>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</si>
  <si>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</si>
  <si>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</si>
  <si>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</si>
  <si>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</si>
  <si>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</si>
  <si>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</si>
  <si>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</si>
  <si>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</si>
  <si>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</si>
  <si>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</si>
  <si>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</si>
  <si>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</si>
  <si>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</si>
  <si>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</si>
  <si>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</si>
  <si>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</si>
  <si>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</si>
  <si>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</si>
  <si>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</si>
  <si>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</si>
  <si>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</si>
  <si>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</si>
  <si>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</si>
  <si>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</si>
  <si>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</si>
  <si>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</si>
  <si>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</si>
  <si>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</si>
  <si>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</si>
  <si>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</si>
  <si>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</si>
  <si>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</si>
  <si>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</si>
  <si>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</si>
  <si>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</si>
  <si>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</si>
  <si>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</si>
  <si>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</si>
  <si>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</si>
  <si>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</si>
  <si>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</si>
  <si>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</si>
  <si>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</si>
  <si>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</si>
  <si>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</si>
  <si>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</si>
  <si>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</si>
  <si>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</si>
  <si>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</si>
  <si>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</si>
  <si>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</si>
  <si>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</si>
  <si>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</si>
  <si>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</si>
  <si>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</si>
  <si>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</si>
  <si>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</si>
  <si>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</si>
  <si>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</si>
  <si>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</si>
  <si>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</si>
  <si>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</si>
  <si>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</si>
  <si>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</si>
  <si>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</si>
  <si>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</si>
  <si>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</si>
  <si>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</si>
  <si>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</si>
  <si>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</si>
  <si>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</si>
  <si>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</si>
  <si>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</si>
  <si>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</si>
  <si>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</si>
  <si>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</si>
  <si>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</si>
  <si>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</si>
  <si>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</si>
  <si>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</si>
  <si>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</si>
  <si>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</si>
  <si>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</si>
  <si>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</si>
  <si>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</si>
  <si>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</si>
  <si>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</si>
  <si>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</si>
  <si>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</si>
  <si>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</si>
  <si>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</si>
  <si>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</si>
  <si>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</si>
  <si>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</si>
  <si>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</si>
  <si>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</si>
  <si>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</si>
  <si>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</si>
  <si>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</si>
  <si>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</si>
  <si>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</si>
  <si>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</si>
  <si>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</si>
  <si>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</si>
  <si>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</si>
  <si>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</si>
  <si>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</si>
  <si>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</si>
  <si>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</si>
  <si>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</si>
  <si>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</si>
  <si>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</si>
  <si>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</si>
  <si>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</si>
  <si>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</si>
  <si>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</si>
  <si>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</si>
  <si>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</si>
  <si>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</si>
  <si>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</si>
  <si>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</si>
  <si>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</si>
  <si>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</si>
  <si>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</si>
  <si>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</si>
  <si>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</si>
  <si>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</si>
  <si>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</si>
  <si>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</si>
  <si>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</si>
  <si>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</si>
  <si>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</si>
  <si>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</si>
  <si>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</si>
  <si>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</si>
  <si>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</si>
  <si>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</si>
  <si>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</si>
  <si>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</si>
  <si>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</si>
  <si>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</si>
  <si>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</si>
  <si>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</si>
  <si>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</si>
  <si>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</si>
  <si>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</si>
  <si>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</si>
  <si>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</si>
  <si>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</si>
  <si>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</si>
  <si>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</si>
  <si>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</si>
  <si>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</si>
  <si>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</si>
  <si>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</si>
  <si>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</si>
  <si>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</si>
  <si>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</si>
  <si>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</si>
  <si>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</si>
  <si>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</si>
  <si>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</si>
  <si>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</si>
  <si>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</si>
  <si>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</si>
  <si>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</si>
  <si>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</si>
  <si>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</si>
  <si>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</si>
  <si>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</si>
  <si>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</si>
  <si>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</si>
  <si>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</si>
  <si>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</si>
  <si>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</si>
  <si>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</si>
  <si>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</si>
  <si>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</si>
  <si>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</si>
  <si>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</si>
  <si>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</si>
  <si>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</si>
  <si>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</si>
  <si>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</si>
  <si>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</si>
  <si>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</si>
  <si>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</si>
  <si>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</si>
  <si>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</si>
  <si>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</si>
  <si>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</si>
  <si>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</si>
  <si>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</si>
  <si>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</si>
  <si>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</si>
  <si>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</si>
  <si>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</si>
  <si>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</si>
  <si>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</si>
  <si>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</si>
  <si>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</si>
  <si>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</si>
  <si>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</si>
  <si>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</si>
  <si>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</si>
  <si>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</si>
  <si>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</si>
  <si>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</si>
  <si>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</si>
  <si>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</si>
  <si>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</si>
  <si>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</si>
  <si>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</si>
  <si>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</si>
  <si>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</si>
  <si>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</si>
  <si>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</si>
  <si>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</si>
  <si>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</si>
  <si>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</si>
  <si>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</si>
  <si>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</si>
  <si>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</si>
  <si>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</si>
  <si>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</si>
  <si>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</si>
  <si>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</si>
  <si>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</si>
  <si>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</si>
  <si>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</si>
  <si>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</si>
  <si>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</si>
  <si>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</si>
  <si>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</si>
  <si>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</si>
  <si>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</si>
  <si>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</si>
  <si>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</si>
  <si>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</si>
  <si>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</si>
  <si>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</si>
  <si>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</si>
  <si>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</si>
  <si>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</si>
  <si>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</si>
  <si>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</si>
  <si>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</si>
  <si>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</si>
  <si>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</si>
  <si>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</si>
  <si>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</si>
  <si>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</si>
  <si>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</si>
  <si>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</si>
  <si>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</si>
  <si>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</si>
  <si>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</si>
  <si>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</si>
  <si>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</si>
  <si>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</si>
  <si>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</si>
  <si>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</si>
  <si>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</si>
  <si>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</si>
  <si>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</si>
  <si>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</si>
  <si>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</si>
  <si>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</si>
  <si>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</si>
  <si>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</si>
  <si>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</si>
  <si>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</si>
  <si>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</si>
  <si>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</si>
  <si>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</si>
  <si>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</si>
  <si>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</si>
  <si>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</si>
  <si>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</si>
  <si>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</si>
  <si>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</si>
  <si>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</si>
  <si>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</si>
  <si>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</si>
  <si>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</si>
  <si>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</si>
  <si>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</si>
  <si>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</si>
  <si>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</si>
  <si>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</si>
  <si>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</si>
  <si>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</si>
  <si>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</si>
  <si>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</si>
  <si>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</si>
  <si>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</si>
  <si>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</si>
  <si>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</si>
  <si>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</si>
  <si>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</si>
  <si>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</si>
  <si>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</si>
  <si>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</si>
  <si>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</si>
  <si>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</si>
  <si>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</si>
  <si>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</si>
  <si>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</si>
  <si>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</si>
  <si>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</si>
  <si>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</si>
  <si>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</si>
  <si>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</si>
  <si>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</si>
  <si>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</si>
  <si>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</si>
  <si>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</si>
  <si>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</si>
  <si>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</si>
  <si>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</si>
  <si>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</si>
  <si>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</si>
  <si>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</si>
  <si>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</si>
  <si>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</si>
  <si>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</si>
  <si>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</si>
  <si>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</si>
  <si>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</si>
  <si>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</si>
  <si>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</si>
  <si>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</si>
  <si>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</si>
  <si>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</si>
  <si>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</si>
  <si>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</si>
  <si>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</si>
  <si>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</si>
  <si>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</si>
  <si>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</si>
  <si>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</si>
  <si>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</si>
  <si>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</si>
  <si>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</si>
  <si>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</si>
  <si>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</si>
  <si>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</si>
  <si>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</si>
  <si>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</si>
  <si>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</si>
  <si>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</si>
  <si>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</si>
  <si>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</si>
  <si>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</si>
  <si>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</si>
  <si>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</si>
  <si>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</si>
  <si>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</si>
  <si>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</si>
  <si>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</si>
  <si>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</si>
  <si>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</si>
  <si>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</si>
  <si>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</si>
  <si>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</si>
  <si>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</si>
  <si>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</si>
  <si>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</si>
  <si>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</si>
  <si>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</si>
  <si>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</si>
  <si>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</si>
  <si>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</si>
  <si>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</si>
  <si>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</si>
  <si>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</si>
  <si>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</si>
  <si>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</si>
  <si>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</si>
  <si>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</si>
  <si>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</si>
  <si>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</si>
  <si>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</si>
  <si>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</si>
  <si>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</si>
  <si>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</si>
  <si>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</si>
  <si>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</si>
  <si>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</si>
  <si>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</si>
  <si>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</si>
  <si>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</si>
  <si>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</si>
  <si>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</si>
  <si>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</si>
  <si>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</si>
  <si>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</si>
  <si>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</si>
  <si>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</si>
  <si>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</si>
  <si>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</si>
  <si>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</si>
  <si>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</si>
  <si>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</si>
  <si>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</si>
  <si>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</si>
  <si>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</si>
  <si>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</si>
  <si>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</si>
  <si>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</si>
  <si>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</si>
  <si>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</si>
  <si>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</si>
  <si>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</si>
  <si>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</si>
  <si>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</si>
  <si>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</si>
  <si>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</si>
  <si>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</si>
  <si>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</si>
  <si>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</si>
  <si>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</si>
  <si>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</si>
  <si>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</si>
  <si>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</si>
  <si>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</si>
  <si>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</si>
  <si>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</si>
  <si>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</si>
  <si>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</si>
  <si>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</si>
  <si>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</si>
  <si>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</si>
  <si>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</si>
  <si>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</si>
  <si>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</si>
  <si>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</si>
  <si>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</si>
  <si>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</si>
  <si>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</si>
  <si>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</si>
  <si>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</si>
  <si>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</si>
  <si>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</si>
  <si>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</si>
  <si>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</si>
  <si>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</si>
  <si>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</si>
  <si>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</si>
  <si>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</si>
  <si>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</si>
  <si>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</si>
  <si>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</si>
  <si>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</si>
  <si>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</si>
  <si>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</si>
  <si>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</si>
  <si>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</si>
  <si>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</si>
  <si>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</si>
  <si>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</si>
  <si>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</si>
  <si>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</si>
  <si>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</si>
  <si>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</si>
  <si>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</si>
  <si>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</si>
  <si>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</si>
  <si>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</si>
  <si>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</si>
  <si>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</si>
  <si>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</si>
  <si>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</si>
  <si>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</si>
  <si>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</si>
  <si>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</si>
  <si>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</si>
  <si>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</si>
  <si>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</si>
  <si>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</si>
  <si>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</si>
  <si>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</si>
  <si>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</si>
  <si>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</si>
  <si>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</si>
  <si>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</si>
  <si>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</si>
  <si>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</si>
  <si>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</si>
  <si>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</si>
  <si>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</si>
  <si>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</si>
  <si>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</si>
  <si>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</si>
  <si>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</si>
  <si>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</si>
  <si>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</si>
  <si>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</si>
  <si>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</si>
  <si>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</si>
  <si>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</si>
  <si>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</si>
  <si>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</si>
  <si>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</si>
  <si>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</si>
  <si>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</si>
  <si>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</si>
  <si>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</si>
  <si>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</si>
  <si>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</si>
  <si>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</si>
  <si>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</si>
  <si>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</si>
  <si>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</si>
  <si>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</si>
  <si>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</si>
  <si>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</si>
  <si>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</si>
  <si>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</si>
  <si>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</si>
  <si>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</si>
  <si>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</si>
  <si>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</si>
  <si>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</si>
  <si>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</si>
  <si>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</si>
  <si>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</si>
  <si>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</si>
  <si>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</si>
  <si>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</si>
  <si>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</si>
  <si>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</si>
  <si>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</si>
  <si>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</si>
  <si>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</si>
  <si>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</si>
  <si>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</si>
  <si>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</si>
  <si>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</si>
  <si>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</si>
  <si>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</si>
  <si>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</si>
  <si>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</si>
  <si>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</si>
  <si>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</si>
  <si>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</si>
  <si>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</si>
  <si>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</si>
  <si>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</si>
  <si>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</si>
  <si>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</si>
  <si>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</si>
  <si>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</si>
  <si>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</si>
  <si>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</si>
  <si>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</si>
  <si>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</si>
  <si>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</si>
  <si>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</si>
  <si>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</si>
  <si>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</si>
  <si>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</si>
  <si>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</si>
  <si>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</si>
  <si>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</si>
  <si>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</si>
  <si>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</si>
  <si>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</si>
  <si>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</si>
  <si>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</si>
  <si>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</si>
  <si>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</si>
  <si>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</si>
  <si>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</si>
  <si>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</si>
  <si>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</si>
  <si>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</si>
  <si>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</si>
  <si>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</si>
  <si>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</si>
  <si>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</si>
  <si>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</si>
  <si>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</si>
  <si>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</si>
  <si>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</si>
  <si>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</si>
  <si>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</si>
  <si>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</si>
  <si>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</si>
  <si>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</si>
  <si>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</si>
  <si>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</si>
  <si>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</si>
  <si>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</si>
  <si>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</si>
  <si>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</si>
  <si>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</si>
  <si>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</si>
  <si>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</si>
  <si>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</si>
  <si>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</si>
  <si>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</si>
  <si>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</si>
  <si>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</si>
  <si>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</si>
  <si>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</si>
  <si>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</si>
  <si>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</si>
  <si>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</si>
  <si>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</si>
  <si>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</si>
  <si>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</si>
  <si>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</si>
  <si>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</si>
  <si>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</si>
  <si>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</si>
  <si>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</si>
  <si>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</si>
  <si>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</si>
  <si>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</si>
  <si>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</si>
  <si>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</si>
  <si>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</si>
  <si>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</si>
  <si>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</si>
  <si>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</si>
  <si>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</si>
  <si>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</si>
  <si>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</si>
  <si>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</si>
  <si>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</si>
  <si>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</si>
  <si>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</si>
  <si>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</si>
  <si>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</si>
  <si>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</si>
  <si>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</si>
  <si>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</si>
  <si>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</si>
  <si>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</si>
  <si>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</si>
  <si>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</si>
  <si>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</si>
  <si>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</si>
  <si>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</si>
  <si>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</si>
  <si>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</si>
  <si>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</si>
  <si>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</si>
  <si>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</si>
  <si>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</si>
  <si>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</si>
  <si>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</si>
  <si>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</si>
  <si>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</si>
  <si>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</si>
  <si>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</si>
  <si>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</si>
  <si>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</si>
  <si>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</si>
  <si>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</si>
  <si>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</si>
  <si>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</si>
  <si>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</si>
  <si>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</si>
  <si>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</si>
  <si>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</si>
  <si>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</si>
  <si>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</si>
  <si>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</si>
  <si>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</si>
  <si>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</si>
  <si>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</si>
  <si>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</si>
  <si>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</si>
  <si>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</si>
  <si>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</si>
  <si>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</si>
  <si>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</si>
  <si>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</si>
  <si>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</si>
  <si>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</si>
  <si>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</si>
  <si>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</si>
  <si>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</si>
  <si>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</si>
  <si>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</si>
  <si>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</si>
  <si>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</si>
  <si>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</si>
  <si>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</si>
  <si>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</si>
  <si>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</si>
  <si>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</si>
  <si>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</si>
  <si>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</si>
  <si>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</si>
  <si>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</si>
  <si>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</si>
  <si>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</si>
  <si>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</si>
  <si>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</si>
  <si>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</si>
  <si>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</si>
  <si>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</si>
  <si>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</si>
  <si>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</si>
  <si>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</si>
  <si>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</si>
  <si>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</si>
  <si>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</si>
  <si>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</si>
  <si>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</si>
  <si>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</si>
  <si>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</si>
  <si>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</si>
  <si>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</si>
  <si>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</si>
  <si>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</si>
  <si>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</si>
  <si>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</si>
  <si>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</si>
  <si>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</si>
  <si>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</si>
  <si>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</si>
  <si>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</si>
  <si>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</si>
  <si>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</si>
  <si>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</si>
  <si>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</si>
  <si>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</si>
  <si>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</si>
  <si>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</si>
  <si>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</si>
  <si>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</si>
  <si>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</si>
  <si>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</si>
  <si>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</si>
  <si>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</si>
  <si>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</si>
  <si>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</si>
  <si>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</si>
  <si>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</si>
  <si>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</si>
  <si>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</si>
  <si>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</si>
  <si>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</si>
  <si>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</si>
  <si>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</si>
  <si>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</si>
  <si>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</si>
  <si>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</si>
  <si>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</si>
  <si>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</si>
  <si>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</si>
  <si>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</si>
  <si>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</si>
  <si>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</si>
  <si>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</si>
  <si>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</si>
  <si>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</si>
  <si>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</si>
  <si>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</si>
  <si>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</si>
  <si>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</si>
  <si>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</si>
  <si>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</si>
  <si>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</si>
  <si>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</si>
  <si>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</si>
  <si>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</si>
  <si>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</si>
  <si>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</si>
  <si>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</si>
  <si>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</si>
  <si>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</si>
  <si>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</si>
  <si>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</si>
  <si>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</si>
  <si>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</si>
  <si>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</si>
  <si>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</si>
  <si>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</si>
  <si>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</si>
  <si>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</si>
  <si>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</si>
  <si>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</si>
  <si>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</si>
  <si>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</si>
  <si>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</si>
  <si>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</si>
  <si>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</si>
  <si>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</si>
  <si>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</si>
  <si>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</si>
  <si>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</si>
  <si>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</si>
  <si>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</si>
  <si>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</si>
  <si>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</si>
  <si>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</si>
  <si>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</si>
  <si>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</si>
  <si>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</si>
  <si>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</si>
  <si>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</si>
  <si>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</si>
  <si>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</si>
  <si>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</si>
  <si>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</si>
  <si>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</si>
  <si>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</si>
  <si>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</si>
  <si>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</si>
  <si>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</si>
  <si>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</si>
  <si>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</si>
  <si>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</si>
  <si>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</si>
  <si>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</si>
  <si>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</si>
  <si>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</si>
  <si>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</si>
  <si>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</si>
  <si>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</si>
  <si>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</si>
  <si>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</si>
  <si>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</si>
  <si>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</si>
  <si>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</si>
  <si>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</si>
  <si>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</si>
  <si>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</si>
  <si>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</si>
  <si>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</si>
  <si>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</si>
  <si>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</si>
  <si>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</si>
  <si>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</si>
  <si>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</si>
  <si>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</si>
  <si>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</si>
  <si>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</si>
  <si>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</si>
  <si>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</si>
  <si>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</si>
  <si>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</si>
  <si>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</si>
  <si>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</si>
  <si>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</si>
  <si>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</si>
  <si>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</si>
  <si>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</si>
  <si>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</si>
  <si>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</si>
  <si>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</si>
  <si>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</si>
  <si>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</si>
  <si>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</si>
  <si>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</si>
  <si>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</si>
  <si>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</si>
  <si>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</si>
  <si>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</si>
  <si>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</si>
  <si>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</si>
  <si>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</si>
  <si>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</si>
  <si>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</si>
  <si>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</si>
  <si>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</si>
  <si>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</si>
  <si>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</si>
  <si>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</si>
  <si>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</si>
  <si>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</si>
  <si>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</si>
  <si>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</si>
  <si>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</si>
  <si>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</si>
  <si>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</si>
  <si>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</si>
  <si>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</si>
  <si>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</si>
  <si>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</si>
  <si>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</si>
  <si>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</si>
  <si>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</si>
  <si>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</si>
  <si>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</si>
  <si>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</si>
  <si>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</si>
  <si>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</si>
  <si>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</si>
  <si>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</si>
  <si>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</si>
  <si>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</si>
  <si>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</si>
  <si>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</si>
  <si>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</si>
  <si>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</si>
  <si>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</si>
  <si>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</si>
  <si>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</si>
  <si>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</si>
  <si>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</si>
  <si>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</si>
  <si>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</si>
  <si>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</si>
  <si>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</si>
  <si>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</si>
  <si>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</si>
  <si>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</si>
  <si>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</si>
  <si>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</si>
  <si>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</si>
  <si>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</si>
  <si>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</si>
  <si>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</si>
  <si>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</si>
  <si>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</si>
  <si>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</si>
  <si>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</si>
  <si>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</si>
  <si>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</si>
  <si>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</si>
  <si>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</si>
  <si>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</si>
  <si>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</si>
  <si>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</si>
  <si>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</si>
  <si>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</si>
  <si>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</si>
  <si>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</si>
  <si>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</si>
  <si>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</si>
  <si>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</si>
  <si>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</si>
  <si>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</si>
  <si>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</si>
  <si>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</si>
  <si>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</si>
  <si>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</si>
  <si>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</si>
  <si>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</si>
  <si>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</si>
  <si>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</si>
  <si>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</si>
  <si>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</si>
  <si>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</si>
  <si>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</si>
  <si>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</si>
  <si>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</si>
  <si>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</si>
  <si>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</si>
  <si>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</si>
  <si>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</si>
  <si>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</si>
  <si>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</si>
  <si>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</si>
  <si>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</si>
  <si>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</si>
  <si>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</si>
  <si>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</si>
  <si>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</si>
  <si>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</si>
  <si>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</si>
  <si>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</si>
  <si>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</si>
  <si>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</si>
  <si>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</si>
  <si>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</si>
  <si>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</si>
  <si>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</si>
  <si>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</si>
  <si>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</si>
  <si>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</si>
  <si>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</si>
  <si>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</si>
  <si>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</si>
  <si>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</si>
  <si>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</si>
  <si>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</si>
  <si>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</si>
  <si>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</si>
  <si>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</si>
  <si>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</si>
  <si>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</si>
  <si>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</si>
  <si>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</si>
  <si>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</si>
  <si>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</si>
  <si>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</si>
  <si>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</si>
  <si>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</si>
  <si>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</si>
  <si>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</si>
  <si>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</si>
  <si>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</si>
  <si>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</si>
  <si>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</si>
  <si>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</si>
  <si>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</si>
  <si>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</si>
  <si>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</si>
  <si>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</si>
  <si>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</si>
  <si>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</si>
  <si>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</si>
  <si>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</si>
  <si>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</si>
  <si>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</si>
  <si>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</si>
  <si>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</si>
  <si>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</si>
  <si>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</si>
  <si>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</si>
  <si>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</si>
  <si>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</si>
  <si>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</si>
  <si>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</si>
  <si>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</si>
  <si>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</si>
  <si>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</si>
  <si>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</si>
  <si>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</si>
  <si>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</si>
  <si>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</si>
  <si>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</si>
  <si>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</si>
  <si>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</si>
  <si>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</si>
  <si>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</si>
  <si>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</si>
  <si>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</si>
  <si>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</si>
  <si>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</si>
  <si>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</si>
  <si>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</si>
  <si>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</si>
  <si>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</si>
  <si>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</si>
  <si>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</si>
  <si>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</si>
  <si>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</si>
  <si>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</si>
  <si>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</si>
  <si>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</si>
  <si>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</si>
  <si>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</si>
  <si>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</si>
  <si>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</si>
  <si>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</si>
  <si>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</si>
  <si>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</si>
  <si>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</si>
  <si>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</si>
  <si>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</si>
  <si>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</si>
  <si>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</si>
  <si>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</si>
  <si>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</si>
  <si>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</si>
  <si>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</si>
  <si>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</si>
  <si>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</si>
  <si>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</si>
  <si>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</si>
  <si>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</si>
  <si>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</si>
  <si>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</si>
  <si>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</si>
  <si>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</si>
  <si>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</si>
  <si>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</si>
  <si>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</si>
  <si>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</si>
  <si>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</si>
  <si>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</si>
  <si>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</si>
  <si>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</si>
  <si>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</si>
  <si>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</si>
  <si>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</si>
  <si>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</si>
  <si>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</si>
  <si>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</si>
  <si>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</si>
  <si>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</si>
  <si>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</si>
  <si>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</si>
  <si>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</si>
  <si>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</si>
  <si>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</si>
  <si>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</si>
  <si>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</si>
  <si>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</si>
  <si>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</si>
  <si>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</si>
  <si>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</si>
  <si>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</si>
  <si>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</si>
  <si>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</si>
  <si>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</si>
  <si>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</si>
  <si>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</si>
  <si>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</si>
  <si>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</si>
  <si>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</si>
  <si>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</si>
  <si>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</si>
  <si>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</si>
  <si>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</si>
  <si>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</si>
  <si>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</si>
  <si>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</si>
  <si>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</si>
  <si>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</si>
  <si>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</si>
  <si>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</si>
  <si>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</si>
  <si>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</si>
  <si>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</si>
  <si>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</si>
  <si>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</si>
  <si>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</si>
  <si>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</si>
  <si>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</si>
  <si>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</si>
  <si>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</si>
  <si>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</si>
  <si>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</si>
  <si>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</si>
  <si>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</si>
  <si>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</si>
  <si>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</si>
  <si>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</si>
  <si>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</si>
  <si>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</si>
  <si>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</si>
  <si>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</si>
  <si>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</si>
  <si>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</si>
  <si>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</si>
  <si>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</si>
  <si>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</si>
  <si>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</si>
  <si>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</si>
  <si>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</si>
  <si>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</si>
  <si>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</si>
  <si>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</si>
  <si>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</si>
  <si>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</si>
  <si>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</si>
  <si>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</si>
  <si>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</si>
  <si>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</si>
  <si>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</si>
  <si>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</si>
  <si>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</si>
  <si>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</si>
  <si>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</si>
  <si>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</si>
  <si>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</si>
  <si>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</si>
  <si>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</si>
  <si>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</si>
  <si>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</si>
  <si>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</si>
  <si>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</si>
  <si>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</si>
  <si>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</si>
  <si>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</si>
  <si>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</si>
  <si>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</si>
  <si>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</si>
  <si>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</si>
  <si>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</si>
  <si>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</si>
  <si>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</si>
  <si>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</si>
  <si>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</si>
  <si>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</si>
  <si>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</si>
  <si>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</si>
  <si>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</si>
  <si>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</si>
  <si>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</si>
  <si>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</si>
  <si>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</si>
  <si>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</si>
  <si>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</si>
  <si>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</si>
  <si>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</si>
  <si>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</si>
  <si>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</si>
  <si>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</si>
  <si>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</si>
  <si>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</si>
  <si>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</si>
  <si>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</si>
  <si>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</si>
  <si>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</si>
  <si>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</si>
  <si>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</si>
  <si>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</si>
  <si>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</si>
  <si>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</si>
  <si>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</si>
  <si>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</si>
  <si>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</si>
  <si>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</si>
  <si>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</si>
  <si>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</si>
  <si>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</si>
  <si>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</si>
  <si>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</si>
  <si>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</si>
  <si>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</si>
  <si>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</si>
  <si>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</si>
  <si>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</si>
  <si>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</si>
  <si>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</si>
  <si>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</si>
  <si>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</si>
  <si>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</si>
  <si>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</si>
  <si>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</si>
  <si>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</si>
  <si>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</si>
  <si>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</si>
  <si>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</si>
  <si>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</si>
  <si>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</si>
  <si>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</si>
  <si>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</si>
  <si>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</si>
  <si>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</si>
  <si>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</si>
  <si>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</si>
  <si>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</si>
  <si>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</si>
  <si>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</si>
  <si>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</si>
  <si>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</si>
  <si>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</si>
  <si>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</si>
  <si>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</si>
  <si>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</si>
  <si>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</si>
  <si>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</si>
  <si>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</si>
  <si>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</si>
  <si>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</si>
  <si>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</si>
  <si>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</si>
  <si>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</si>
  <si>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</si>
  <si>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</si>
  <si>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</si>
  <si>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</si>
  <si>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</si>
  <si>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</si>
  <si>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</si>
  <si>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</si>
  <si>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</si>
  <si>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</si>
  <si>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</si>
  <si>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</si>
  <si>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</si>
  <si>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</si>
  <si>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</si>
  <si>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</si>
  <si>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</si>
  <si>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</si>
  <si>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</si>
  <si>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</si>
  <si>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</si>
  <si>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</si>
  <si>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</si>
  <si>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</si>
  <si>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</si>
  <si>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</si>
  <si>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</si>
  <si>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</si>
  <si>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</si>
  <si>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</si>
  <si>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</si>
  <si>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</si>
  <si>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</si>
  <si>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</si>
  <si>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</si>
  <si>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</si>
  <si>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</si>
  <si>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</si>
  <si>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</si>
  <si>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</si>
  <si>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</si>
  <si>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</si>
  <si>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</si>
  <si>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</si>
  <si>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</si>
  <si>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</si>
  <si>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</si>
  <si>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</si>
  <si>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</si>
  <si>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</si>
  <si>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</si>
  <si>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</si>
  <si>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</si>
  <si>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</si>
  <si>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</si>
  <si>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</si>
  <si>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</si>
  <si>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</si>
  <si>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</si>
  <si>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</si>
  <si>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</si>
  <si>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</si>
  <si>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</si>
  <si>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</si>
  <si>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</si>
  <si>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</si>
  <si>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</si>
  <si>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</si>
  <si>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</si>
  <si>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</si>
  <si>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</si>
  <si>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</si>
  <si>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</si>
  <si>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</si>
  <si>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</si>
  <si>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</si>
  <si>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</si>
  <si>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</si>
  <si>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</si>
  <si>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</si>
  <si>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</si>
  <si>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</si>
  <si>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</si>
  <si>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</si>
  <si>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</si>
  <si>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</si>
  <si>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</si>
  <si>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</si>
  <si>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</si>
  <si>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</si>
  <si>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</si>
  <si>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</si>
  <si>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</si>
  <si>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</si>
  <si>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</si>
  <si>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</si>
  <si>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</si>
  <si>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</si>
  <si>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</si>
  <si>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</si>
  <si>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</si>
  <si>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</si>
  <si>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</si>
  <si>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</si>
  <si>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</si>
  <si>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</si>
  <si>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</si>
  <si>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</si>
  <si>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</si>
  <si>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</si>
  <si>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</si>
  <si>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</si>
  <si>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</si>
  <si>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</si>
  <si>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</si>
  <si>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</si>
  <si>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</si>
  <si>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</si>
  <si>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</si>
  <si>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</si>
  <si>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</si>
  <si>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</si>
  <si>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</si>
  <si>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</si>
  <si>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</si>
  <si>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</si>
  <si>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</si>
  <si>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</si>
  <si>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</si>
  <si>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</si>
  <si>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</si>
  <si>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</si>
  <si>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</si>
  <si>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</si>
  <si>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</si>
  <si>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</si>
  <si>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</si>
  <si>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</si>
  <si>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</si>
  <si>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</si>
  <si>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</si>
  <si>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</si>
  <si>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</si>
  <si>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</si>
  <si>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</si>
  <si>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</si>
  <si>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</si>
  <si>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</si>
  <si>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</si>
  <si>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</si>
  <si>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</si>
  <si>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</si>
  <si>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</si>
  <si>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</si>
  <si>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</si>
  <si>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</si>
  <si>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</si>
  <si>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</si>
  <si>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</si>
  <si>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</si>
  <si>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</si>
  <si>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</si>
  <si>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</si>
  <si>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</si>
  <si>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</si>
  <si>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</si>
  <si>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</si>
  <si>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</si>
  <si>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</si>
  <si>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</si>
  <si>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</si>
  <si>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</si>
  <si>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</si>
  <si>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</si>
  <si>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</si>
  <si>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</si>
  <si>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</si>
  <si>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</si>
  <si>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</si>
  <si>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</si>
  <si>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</si>
  <si>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</si>
  <si>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</si>
  <si>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</si>
  <si>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</si>
  <si>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</si>
  <si>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</si>
  <si>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</si>
  <si>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</si>
  <si>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</si>
  <si>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</si>
  <si>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</si>
  <si>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</si>
  <si>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</si>
  <si>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</si>
  <si>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</si>
  <si>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</si>
  <si>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</si>
  <si>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</si>
  <si>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</si>
  <si>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</si>
  <si>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</si>
  <si>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</si>
  <si>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</si>
  <si>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</si>
  <si>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</si>
  <si>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</si>
  <si>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</si>
  <si>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</si>
  <si>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</si>
  <si>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</si>
  <si>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</si>
  <si>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</si>
  <si>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</si>
  <si>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</si>
  <si>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</si>
  <si>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</si>
  <si>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</si>
  <si>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</si>
  <si>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</si>
  <si>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</si>
  <si>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</si>
  <si>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</si>
  <si>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</si>
  <si>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</si>
  <si>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</si>
  <si>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</si>
  <si>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</si>
  <si>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</si>
  <si>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</si>
  <si>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</si>
  <si>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</si>
  <si>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</si>
  <si>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</si>
  <si>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</si>
  <si>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</si>
  <si>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</si>
  <si>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</si>
  <si>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</si>
  <si>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</si>
  <si>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</si>
  <si>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</si>
  <si>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</si>
  <si>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</si>
  <si>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</si>
  <si>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</si>
  <si>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</si>
  <si>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</si>
  <si>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</si>
  <si>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</si>
  <si>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</si>
  <si>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</si>
  <si>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</si>
  <si>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</si>
  <si>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</si>
  <si>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</si>
  <si>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</si>
  <si>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</si>
  <si>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</si>
  <si>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</si>
  <si>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</si>
  <si>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</si>
  <si>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</si>
  <si>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</si>
  <si>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</si>
  <si>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</si>
  <si>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</si>
  <si>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</si>
  <si>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</si>
  <si>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</si>
  <si>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</si>
  <si>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</si>
  <si>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</si>
  <si>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</si>
  <si>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</si>
  <si>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</si>
  <si>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</si>
  <si>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</si>
  <si>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</si>
  <si>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</si>
  <si>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</si>
  <si>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</si>
  <si>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</si>
  <si>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</si>
  <si>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</si>
  <si>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</si>
  <si>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</si>
  <si>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</si>
  <si>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</si>
  <si>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</si>
  <si>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</si>
  <si>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</si>
  <si>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</si>
  <si>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</si>
  <si>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</si>
  <si>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</si>
  <si>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</si>
  <si>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</si>
  <si>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</si>
  <si>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</si>
  <si>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</si>
  <si>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</si>
  <si>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</si>
  <si>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</si>
  <si>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</si>
  <si>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</si>
  <si>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</si>
  <si>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</si>
  <si>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</si>
  <si>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</si>
  <si>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</si>
  <si>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</si>
  <si>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</si>
  <si>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</si>
  <si>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</si>
  <si>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</si>
  <si>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</si>
  <si>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</si>
  <si>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</si>
  <si>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</si>
  <si>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</si>
  <si>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</si>
  <si>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</si>
  <si>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</si>
  <si>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</si>
  <si>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</si>
  <si>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</si>
  <si>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</si>
  <si>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</si>
  <si>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</si>
  <si>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</si>
  <si>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</si>
  <si>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</si>
  <si>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</si>
  <si>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</si>
  <si>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</si>
  <si>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</si>
  <si>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</si>
  <si>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</si>
  <si>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</si>
  <si>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</si>
  <si>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</si>
  <si>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</si>
  <si>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</si>
  <si>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</si>
  <si>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</si>
  <si>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</si>
  <si>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</si>
  <si>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</si>
  <si>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</si>
  <si>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</si>
  <si>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</si>
  <si>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</si>
  <si>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</si>
  <si>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</si>
  <si>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</si>
  <si>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</si>
  <si>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</si>
  <si>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</si>
  <si>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</si>
  <si>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</si>
  <si>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</si>
  <si>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</si>
  <si>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</si>
  <si>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</si>
  <si>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</si>
  <si>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</si>
  <si>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</si>
  <si>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</si>
  <si>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</si>
  <si>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</si>
  <si>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</si>
  <si>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</si>
  <si>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</si>
  <si>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</si>
  <si>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</si>
  <si>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</si>
  <si>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</si>
  <si>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</si>
  <si>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</si>
  <si>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</si>
  <si>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</si>
  <si>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</si>
  <si>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</si>
  <si>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</si>
  <si>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</si>
  <si>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</si>
  <si>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</si>
  <si>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</si>
  <si>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</si>
  <si>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</si>
  <si>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</si>
  <si>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</si>
  <si>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</si>
  <si>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</si>
  <si>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</si>
  <si>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</si>
  <si>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</si>
  <si>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</si>
  <si>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</si>
  <si>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</si>
  <si>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</si>
  <si>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</si>
  <si>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</si>
  <si>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</si>
  <si>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</si>
  <si>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</si>
  <si>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</si>
  <si>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</si>
  <si>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</si>
  <si>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</si>
  <si>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</si>
  <si>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</si>
  <si>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</si>
  <si>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</si>
  <si>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</si>
  <si>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</si>
  <si>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</si>
  <si>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</si>
  <si>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</si>
  <si>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</si>
  <si>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</si>
  <si>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</si>
  <si>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</si>
  <si>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</si>
  <si>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</si>
  <si>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</si>
  <si>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</si>
  <si>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</si>
  <si>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</si>
  <si>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</si>
  <si>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</si>
  <si>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</si>
  <si>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</si>
  <si>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</si>
  <si>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</si>
  <si>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</si>
  <si>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</si>
  <si>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</si>
  <si>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</si>
  <si>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</si>
  <si>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</si>
  <si>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</si>
  <si>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</si>
  <si>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</si>
  <si>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</si>
  <si>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</si>
  <si>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</si>
  <si>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</si>
  <si>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</si>
  <si>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</si>
  <si>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</si>
  <si>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</si>
  <si>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</si>
  <si>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</si>
  <si>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</si>
  <si>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</si>
  <si>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</si>
  <si>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</si>
  <si>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</si>
  <si>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</si>
  <si>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</si>
  <si>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</si>
  <si>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</si>
  <si>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</si>
  <si>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</si>
  <si>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</si>
  <si>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</si>
  <si>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</si>
  <si>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</si>
  <si>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</si>
  <si>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</si>
  <si>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</si>
  <si>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</si>
  <si>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</si>
  <si>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</si>
  <si>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</si>
  <si>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</si>
  <si>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</si>
  <si>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</si>
  <si>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</si>
  <si>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</si>
  <si>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</si>
  <si>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</si>
  <si>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</si>
  <si>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</si>
  <si>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</si>
  <si>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</si>
  <si>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</si>
  <si>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</si>
  <si>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</si>
  <si>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</si>
  <si>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</si>
  <si>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</si>
  <si>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</si>
  <si>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</si>
  <si>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</si>
  <si>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</si>
  <si>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</si>
  <si>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</si>
  <si>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</si>
  <si>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</si>
  <si>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</si>
  <si>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</si>
  <si>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</si>
  <si>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</si>
  <si>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</si>
  <si>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</si>
  <si>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</si>
  <si>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</si>
  <si>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</si>
  <si>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</si>
  <si>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</si>
  <si>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</si>
  <si>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</si>
  <si>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</si>
  <si>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</si>
  <si>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</si>
  <si>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</si>
  <si>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</si>
  <si>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</si>
  <si>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</si>
  <si>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</si>
  <si>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</si>
  <si>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</si>
  <si>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</si>
  <si>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</si>
  <si>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</si>
  <si>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</si>
  <si>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</si>
  <si>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</si>
  <si>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</si>
  <si>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</si>
  <si>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</si>
  <si>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</si>
  <si>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</si>
  <si>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</si>
  <si>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</si>
  <si>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</si>
  <si>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</si>
  <si>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</si>
  <si>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</si>
  <si>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</si>
  <si>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</si>
  <si>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</si>
  <si>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</si>
  <si>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</si>
  <si>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</si>
  <si>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</si>
  <si>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</si>
  <si>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</si>
  <si>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</si>
  <si>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</si>
  <si>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</si>
  <si>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</si>
  <si>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</si>
  <si>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</si>
  <si>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</si>
  <si>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</si>
  <si>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</si>
  <si>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</si>
  <si>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</si>
  <si>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</si>
  <si>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</si>
  <si>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</si>
  <si>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</si>
  <si>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</si>
  <si>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</si>
  <si>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</si>
  <si>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</si>
  <si>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</si>
  <si>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</si>
  <si>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</si>
  <si>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</si>
  <si>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</si>
  <si>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</si>
  <si>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</si>
  <si>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</si>
  <si>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</si>
  <si>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</si>
  <si>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</si>
  <si>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</si>
  <si>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</si>
  <si>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</si>
  <si>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</si>
  <si>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</si>
  <si>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</si>
  <si>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</si>
  <si>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</si>
  <si>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</si>
  <si>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</si>
  <si>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</si>
  <si>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</si>
  <si>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</si>
  <si>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</si>
  <si>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</si>
  <si>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</si>
  <si>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</si>
  <si>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</si>
  <si>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</si>
  <si>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</si>
  <si>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</si>
  <si>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</si>
  <si>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</si>
  <si>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</si>
  <si>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</si>
  <si>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</si>
  <si>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</si>
  <si>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</si>
  <si>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</si>
  <si>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</si>
  <si>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</si>
  <si>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</si>
  <si>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</si>
  <si>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</si>
  <si>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</si>
  <si>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</si>
  <si>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</si>
  <si>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</si>
  <si>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</si>
  <si>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</si>
  <si>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</si>
  <si>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</si>
  <si>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</si>
  <si>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</si>
  <si>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</si>
  <si>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</si>
  <si>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</si>
  <si>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</si>
  <si>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</si>
  <si>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</si>
  <si>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</si>
  <si>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</si>
  <si>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</si>
  <si>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</si>
  <si>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</si>
  <si>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</si>
  <si>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</si>
  <si>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</si>
  <si>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</si>
  <si>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</si>
  <si>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</si>
  <si>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</si>
  <si>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</si>
  <si>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</si>
  <si>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</si>
  <si>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</si>
  <si>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</si>
  <si>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</si>
  <si>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</si>
  <si>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</si>
  <si>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</si>
  <si>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</si>
  <si>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</si>
  <si>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</si>
  <si>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</si>
  <si>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</si>
  <si>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</si>
  <si>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</si>
  <si>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</si>
  <si>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</si>
  <si>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</si>
  <si>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</si>
  <si>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</si>
  <si>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</si>
  <si>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</si>
  <si>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</si>
  <si>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</si>
  <si>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</si>
  <si>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</si>
  <si>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</si>
  <si>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</si>
  <si>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</si>
  <si>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</si>
  <si>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</si>
  <si>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</si>
  <si>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</si>
  <si>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</si>
  <si>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</si>
  <si>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</si>
  <si>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</si>
  <si>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</si>
  <si>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</si>
  <si>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</si>
  <si>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</si>
  <si>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</si>
  <si>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</si>
  <si>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</si>
  <si>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</si>
  <si>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</si>
  <si>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</si>
  <si>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</si>
  <si>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</si>
  <si>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</si>
  <si>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</si>
  <si>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</si>
  <si>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</si>
  <si>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</si>
  <si>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</si>
  <si>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</si>
  <si>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</si>
  <si>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</si>
  <si>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</si>
  <si>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</si>
  <si>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</si>
  <si>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</si>
  <si>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</si>
  <si>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</si>
  <si>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</si>
  <si>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</si>
  <si>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</si>
  <si>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</si>
  <si>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</si>
  <si>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</si>
  <si>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</si>
  <si>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</si>
  <si>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</si>
  <si>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</si>
  <si>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</si>
  <si>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</si>
  <si>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</si>
  <si>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</si>
  <si>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</si>
  <si>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</si>
  <si>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</si>
  <si>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</si>
  <si>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</si>
  <si>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</si>
  <si>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</si>
  <si>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</si>
  <si>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</si>
  <si>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</si>
  <si>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</si>
  <si>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</si>
  <si>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</si>
  <si>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</si>
  <si>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</si>
  <si>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</si>
  <si>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</si>
  <si>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</si>
  <si>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</si>
  <si>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</si>
  <si>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</si>
  <si>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</si>
  <si>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</si>
  <si>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</si>
  <si>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</si>
  <si>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</si>
  <si>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</si>
  <si>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</si>
  <si>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</si>
  <si>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</si>
  <si>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</si>
  <si>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</si>
  <si>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</si>
  <si>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</si>
  <si>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</si>
  <si>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</si>
  <si>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</si>
  <si>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</si>
  <si>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</si>
  <si>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</si>
  <si>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</si>
  <si>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</si>
  <si>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</si>
  <si>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</si>
  <si>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</si>
  <si>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</si>
  <si>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</si>
  <si>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</si>
  <si>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</si>
  <si>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</si>
  <si>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</si>
  <si>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</si>
  <si>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</si>
  <si>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</si>
  <si>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</si>
  <si>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</si>
  <si>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</si>
  <si>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</si>
  <si>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</si>
  <si>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</si>
  <si>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</si>
  <si>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</si>
  <si>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</si>
  <si>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</si>
  <si>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</si>
  <si>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</si>
  <si>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</si>
  <si>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</si>
  <si>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</si>
  <si>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</si>
  <si>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</si>
  <si>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</si>
  <si>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</si>
  <si>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</si>
  <si>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</si>
  <si>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</si>
  <si>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</si>
  <si>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</si>
  <si>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</si>
  <si>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</si>
  <si>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</si>
  <si>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</si>
  <si>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</si>
  <si>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</si>
  <si>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</si>
  <si>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</si>
  <si>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</si>
  <si>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</si>
  <si>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</si>
  <si>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</si>
  <si>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</si>
  <si>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</si>
  <si>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</si>
  <si>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</si>
  <si>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</si>
  <si>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</si>
  <si>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</si>
  <si>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</si>
  <si>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</si>
  <si>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</si>
  <si>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</si>
  <si>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</si>
  <si>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</si>
  <si>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</si>
  <si>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</si>
  <si>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</si>
  <si>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</si>
  <si>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</si>
  <si>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</si>
  <si>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</si>
  <si>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</si>
  <si>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</si>
  <si>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</si>
  <si>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</si>
  <si>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</si>
  <si>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</si>
  <si>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</si>
  <si>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</si>
  <si>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</si>
  <si>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</si>
  <si>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</si>
  <si>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</si>
  <si>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</si>
  <si>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</si>
  <si>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</si>
  <si>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</si>
  <si>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</si>
  <si>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</si>
  <si>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</si>
  <si>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</si>
  <si>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</si>
  <si>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</si>
  <si>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</si>
  <si>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</si>
  <si>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</si>
  <si>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</si>
  <si>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</si>
  <si>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</si>
  <si>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</si>
  <si>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</si>
  <si>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</si>
  <si>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</si>
  <si>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</si>
  <si>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</si>
  <si>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</si>
  <si>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</si>
  <si>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</si>
  <si>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</si>
  <si>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</si>
  <si>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</si>
  <si>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</si>
  <si>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</si>
  <si>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</si>
  <si>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</si>
  <si>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</si>
  <si>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</si>
  <si>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</si>
  <si>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</si>
  <si>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</si>
  <si>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</si>
  <si>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</si>
  <si>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</si>
  <si>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</si>
  <si>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</si>
  <si>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</si>
  <si>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</si>
  <si>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</si>
  <si>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</si>
  <si>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</si>
  <si>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</si>
  <si>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</si>
  <si>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</si>
  <si>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</si>
  <si>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</si>
  <si>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</si>
  <si>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</si>
  <si>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</si>
  <si>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</si>
  <si>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</si>
  <si>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</si>
  <si>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</si>
  <si>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</si>
  <si>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</si>
  <si>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</si>
  <si>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</si>
  <si>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</si>
  <si>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</si>
  <si>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</si>
  <si>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</si>
  <si>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</si>
  <si>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</si>
  <si>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</si>
  <si>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</si>
  <si>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</si>
  <si>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</si>
  <si>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</si>
  <si>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</si>
  <si>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</si>
  <si>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</si>
  <si>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</si>
  <si>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</si>
  <si>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</si>
  <si>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</si>
  <si>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</si>
  <si>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</si>
  <si>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</si>
  <si>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</si>
  <si>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</si>
  <si>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</si>
  <si>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</si>
  <si>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</si>
  <si>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</si>
  <si>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</si>
  <si>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</si>
  <si>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</si>
  <si>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</si>
  <si>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</si>
  <si>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</si>
  <si>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</si>
  <si>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</si>
  <si>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</si>
  <si>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</si>
  <si>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</si>
  <si>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</si>
  <si>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</si>
  <si>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</si>
  <si>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</si>
  <si>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</si>
  <si>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</si>
  <si>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</si>
  <si>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</si>
  <si>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</si>
  <si>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</si>
  <si>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</si>
  <si>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</si>
  <si>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</si>
  <si>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</si>
  <si>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</si>
  <si>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</si>
  <si>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</si>
  <si>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</si>
  <si>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</si>
  <si>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</si>
  <si>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</si>
  <si>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</si>
  <si>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</si>
  <si>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</si>
  <si>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</si>
  <si>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</si>
  <si>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</si>
  <si>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</si>
  <si>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</si>
  <si>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</si>
  <si>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</si>
  <si>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</si>
  <si>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</si>
  <si>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</si>
  <si>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</si>
  <si>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</si>
  <si>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</si>
  <si>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</si>
  <si>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</si>
  <si>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</si>
  <si>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</si>
  <si>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</si>
  <si>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</si>
  <si>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</si>
  <si>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</si>
  <si>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</si>
  <si>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</si>
  <si>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</si>
  <si>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</si>
  <si>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</si>
  <si>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</si>
  <si>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</si>
  <si>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</si>
  <si>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</si>
  <si>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</si>
  <si>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</si>
  <si>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</si>
  <si>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</si>
  <si>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</si>
  <si>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</si>
  <si>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</si>
  <si>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</si>
  <si>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</si>
  <si>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</si>
  <si>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</si>
  <si>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</si>
  <si>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</si>
  <si>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</si>
  <si>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</si>
  <si>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</si>
  <si>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</si>
  <si>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</si>
  <si>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</si>
  <si>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</si>
  <si>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</si>
  <si>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</si>
  <si>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</si>
  <si>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</si>
  <si>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</si>
  <si>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</si>
  <si>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</si>
  <si>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</si>
  <si>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</si>
  <si>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</si>
  <si>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</si>
  <si>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</si>
  <si>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</si>
  <si>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</si>
  <si>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</si>
  <si>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</si>
  <si>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</si>
  <si>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</si>
  <si>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</si>
  <si>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</si>
  <si>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</si>
  <si>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</si>
  <si>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</si>
  <si>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</si>
  <si>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</si>
  <si>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</si>
  <si>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</si>
  <si>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</si>
  <si>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</si>
  <si>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</si>
  <si>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</si>
  <si>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</si>
  <si>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</si>
  <si>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</si>
  <si>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</si>
  <si>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</si>
  <si>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</si>
  <si>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</si>
  <si>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</si>
  <si>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</si>
  <si>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</si>
  <si>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</si>
  <si>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</si>
  <si>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</si>
  <si>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</si>
  <si>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</si>
  <si>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</si>
  <si>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</si>
  <si>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</si>
  <si>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</si>
  <si>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</si>
  <si>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</si>
  <si>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</si>
  <si>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</si>
  <si>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</si>
  <si>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</si>
  <si>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</si>
  <si>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</si>
  <si>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</si>
  <si>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</si>
  <si>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</si>
  <si>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</si>
  <si>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</si>
  <si>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</si>
  <si>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</si>
  <si>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</si>
  <si>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</si>
  <si>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</si>
  <si>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</si>
  <si>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</si>
  <si>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</si>
  <si>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</si>
  <si>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</si>
  <si>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</si>
  <si>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</si>
  <si>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</si>
  <si>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</si>
  <si>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</si>
  <si>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</si>
  <si>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</si>
  <si>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</si>
  <si>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</si>
  <si>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</si>
  <si>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</si>
  <si>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</si>
  <si>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</si>
  <si>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</si>
  <si>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</si>
  <si>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</si>
  <si>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</si>
  <si>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</si>
  <si>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</si>
  <si>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</si>
  <si>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</si>
  <si>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</si>
  <si>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</si>
  <si>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</si>
  <si>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</si>
  <si>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</si>
  <si>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</si>
  <si>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</si>
  <si>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</si>
  <si>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</si>
  <si>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</si>
  <si>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</si>
  <si>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</si>
  <si>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</si>
  <si>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</si>
  <si>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</si>
  <si>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</si>
  <si>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</si>
  <si>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</si>
  <si>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</si>
  <si>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</si>
  <si>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</si>
  <si>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</si>
  <si>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</si>
  <si>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</si>
  <si>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</si>
  <si>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</si>
  <si>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</si>
  <si>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</si>
  <si>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</si>
  <si>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</si>
  <si>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</si>
  <si>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</si>
  <si>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</si>
  <si>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</si>
  <si>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</si>
  <si>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</si>
  <si>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</si>
  <si>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</si>
  <si>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</si>
  <si>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</si>
  <si>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</si>
  <si>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</si>
  <si>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</si>
  <si>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</si>
  <si>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</si>
  <si>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</si>
  <si>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</si>
  <si>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</si>
  <si>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</si>
  <si>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</si>
  <si>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</si>
  <si>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</si>
  <si>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</si>
  <si>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</si>
  <si>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</si>
  <si>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</si>
  <si>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</si>
  <si>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</si>
  <si>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</si>
  <si>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</si>
  <si>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</si>
  <si>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</si>
  <si>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</si>
  <si>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</si>
  <si>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</si>
  <si>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</si>
  <si>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</si>
  <si>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</si>
  <si>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</si>
  <si>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</si>
  <si>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</si>
  <si>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</si>
  <si>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</si>
  <si>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</si>
  <si>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</si>
  <si>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</si>
  <si>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</si>
  <si>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</si>
  <si>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</si>
  <si>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</si>
  <si>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</si>
  <si>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</si>
  <si>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</si>
  <si>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</si>
  <si>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</si>
  <si>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</si>
  <si>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</si>
  <si>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</si>
  <si>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</si>
  <si>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</si>
  <si>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</si>
  <si>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</si>
  <si>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</si>
  <si>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</si>
  <si>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</si>
  <si>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</si>
  <si>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</si>
  <si>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</si>
  <si>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</si>
  <si>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</si>
  <si>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</si>
  <si>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</si>
  <si>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</si>
  <si>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</si>
  <si>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</si>
  <si>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</si>
  <si>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</si>
  <si>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</si>
  <si>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</si>
  <si>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</si>
  <si>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</si>
  <si>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</si>
  <si>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</si>
  <si>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</si>
  <si>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</si>
  <si>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</si>
  <si>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</si>
  <si>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</si>
  <si>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</si>
  <si>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</si>
  <si>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</si>
  <si>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</si>
  <si>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</si>
  <si>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</si>
  <si>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</si>
  <si>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</si>
  <si>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</si>
  <si>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</si>
  <si>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</si>
  <si>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</si>
  <si>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</si>
  <si>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</si>
  <si>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</si>
  <si>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</si>
  <si>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</si>
  <si>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</si>
  <si>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</si>
  <si>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</si>
  <si>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</si>
  <si>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</si>
  <si>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</si>
  <si>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</si>
  <si>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</si>
  <si>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</si>
  <si>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</si>
  <si>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</si>
  <si>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</si>
  <si>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</si>
  <si>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</si>
  <si>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</si>
  <si>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</si>
  <si>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</si>
  <si>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</si>
  <si>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</si>
  <si>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</si>
  <si>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</si>
  <si>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</si>
  <si>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</si>
  <si>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</si>
  <si>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</si>
  <si>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</si>
  <si>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</si>
  <si>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</si>
  <si>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</si>
  <si>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</si>
  <si>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</si>
  <si>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</si>
  <si>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</si>
  <si>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</si>
  <si>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</si>
  <si>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</si>
  <si>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</si>
  <si>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</si>
  <si>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</si>
  <si>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</si>
  <si>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</si>
  <si>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</si>
  <si>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</si>
  <si>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</si>
  <si>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</si>
  <si>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</si>
  <si>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</si>
  <si>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</si>
  <si>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</si>
  <si>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</si>
  <si>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</si>
  <si>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</si>
  <si>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</si>
  <si>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</si>
  <si>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</si>
  <si>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</si>
  <si>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</si>
  <si>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</si>
  <si>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</si>
  <si>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</si>
  <si>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</si>
  <si>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</si>
  <si>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</si>
  <si>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</si>
  <si>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</si>
  <si>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</si>
  <si>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</si>
  <si>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</si>
  <si>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</si>
  <si>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</si>
  <si>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</si>
  <si>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</si>
  <si>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</si>
  <si>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</si>
  <si>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</si>
  <si>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</si>
  <si>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</si>
  <si>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</si>
  <si>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</si>
  <si>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</si>
  <si>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</si>
  <si>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</si>
  <si>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</si>
  <si>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</si>
  <si>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</si>
  <si>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</si>
  <si>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</si>
  <si>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</si>
  <si>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</si>
  <si>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</si>
  <si>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</si>
  <si>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</si>
  <si>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</si>
  <si>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</si>
  <si>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</si>
  <si>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</si>
  <si>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</si>
  <si>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</si>
  <si>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</si>
  <si>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</si>
  <si>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</si>
  <si>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</si>
  <si>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</si>
  <si>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</si>
  <si>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</si>
  <si>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</si>
  <si>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</si>
  <si>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</si>
  <si>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</si>
  <si>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</si>
  <si>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</si>
  <si>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</si>
  <si>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</si>
  <si>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</si>
  <si>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</si>
  <si>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</si>
  <si>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</si>
  <si>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</si>
  <si>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</si>
  <si>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</si>
  <si>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</si>
  <si>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</si>
  <si>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</si>
  <si>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</si>
  <si>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</si>
  <si>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</si>
  <si>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</si>
  <si>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</si>
  <si>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</si>
  <si>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</si>
  <si>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</si>
  <si>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</si>
  <si>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</si>
  <si>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</si>
  <si>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</si>
  <si>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</si>
  <si>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</si>
  <si>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</si>
  <si>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</si>
  <si>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</si>
  <si>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</si>
  <si>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</si>
  <si>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</si>
  <si>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</si>
  <si>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</si>
  <si>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</si>
  <si>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</si>
  <si>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</si>
  <si>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</si>
  <si>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</si>
  <si>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</si>
  <si>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</si>
  <si>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</si>
  <si>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</si>
  <si>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</si>
  <si>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</si>
  <si>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</si>
  <si>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</si>
  <si>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</si>
  <si>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</si>
  <si>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</si>
  <si>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</si>
  <si>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r>
      <t xml:space="preserve">GFL KR Battle Sim - JSON Creator </t>
    </r>
    <r>
      <rPr>
        <b/>
        <sz val="12"/>
        <rFont val="Calibri"/>
        <family val="2"/>
        <scheme val="minor"/>
      </rPr>
      <t>(last updated September 7, 2024)</t>
    </r>
  </si>
  <si>
    <t>G41GZ</t>
  </si>
  <si>
    <t>M500ModGZ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</si>
</sst>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40625" defaultRowHeight="15" outlineLevelRow="2" x14ac:dyDescent="0.25"/>
  <cols>
    <col min="1" max="1" width="13.7109375" style="134" customWidth="1"/>
    <col min="2" max="2" width="13.140625" style="134" customWidth="1"/>
    <col min="3" max="3" width="11.42578125" style="134" bestFit="1" customWidth="1"/>
    <col min="4" max="4" width="15.140625" style="134" bestFit="1" customWidth="1"/>
    <col min="5" max="5" width="10.85546875" style="134" bestFit="1" customWidth="1"/>
    <col min="6" max="6" width="12.42578125" style="134" customWidth="1"/>
    <col min="7" max="7" width="9.28515625" style="134" bestFit="1" customWidth="1"/>
    <col min="8" max="8" width="10" style="134" customWidth="1"/>
    <col min="9" max="10" width="9.140625" style="134"/>
    <col min="11" max="14" width="13.5703125" style="134" customWidth="1"/>
    <col min="15" max="15" width="9.140625" style="134"/>
    <col min="16" max="16" width="11.7109375" style="134" customWidth="1"/>
    <col min="17" max="17" width="11.140625" style="134" customWidth="1"/>
    <col min="18" max="16384" width="9.140625" style="134"/>
  </cols>
  <sheetData>
    <row r="1" spans="1:5" ht="26.25" x14ac:dyDescent="0.4">
      <c r="A1" s="133" t="s">
        <v>9074</v>
      </c>
    </row>
    <row r="2" spans="1:5" x14ac:dyDescent="0.25">
      <c r="A2" s="134" t="s">
        <v>853</v>
      </c>
    </row>
    <row r="3" spans="1:5" x14ac:dyDescent="0.25">
      <c r="A3" s="134" t="s">
        <v>5633</v>
      </c>
    </row>
    <row r="4" spans="1:5" x14ac:dyDescent="0.25">
      <c r="A4" s="134" t="s">
        <v>8062</v>
      </c>
    </row>
    <row r="5" spans="1:5" x14ac:dyDescent="0.25">
      <c r="A5" s="134" t="s">
        <v>6516</v>
      </c>
      <c r="B5" s="135" t="s">
        <v>925</v>
      </c>
    </row>
    <row r="7" spans="1:5" x14ac:dyDescent="0.25">
      <c r="A7" s="136" t="s">
        <v>1042</v>
      </c>
      <c r="B7" s="140" t="s">
        <v>1742</v>
      </c>
      <c r="D7" s="136" t="s">
        <v>1698</v>
      </c>
      <c r="E7" s="187" t="s">
        <v>8203</v>
      </c>
    </row>
    <row r="8" spans="1:5" x14ac:dyDescent="0.25">
      <c r="A8" s="137" t="s">
        <v>6515</v>
      </c>
      <c r="B8" s="138" t="s">
        <v>9045</v>
      </c>
      <c r="D8" s="137" t="s">
        <v>847</v>
      </c>
      <c r="E8" s="138">
        <v>220000</v>
      </c>
    </row>
    <row r="9" spans="1:5" x14ac:dyDescent="0.25">
      <c r="A9" s="137" t="s">
        <v>6514</v>
      </c>
      <c r="B9" s="138" t="s">
        <v>955</v>
      </c>
      <c r="D9" s="137" t="s">
        <v>7316</v>
      </c>
      <c r="E9" s="138">
        <v>100</v>
      </c>
    </row>
    <row r="10" spans="1:5" x14ac:dyDescent="0.25">
      <c r="A10" s="137" t="s">
        <v>1699</v>
      </c>
      <c r="B10" s="138">
        <v>1</v>
      </c>
      <c r="D10" s="137" t="s">
        <v>848</v>
      </c>
      <c r="E10" s="138" t="b">
        <v>1</v>
      </c>
    </row>
    <row r="11" spans="1:5" x14ac:dyDescent="0.25">
      <c r="A11" s="137" t="s">
        <v>6513</v>
      </c>
      <c r="B11" s="138">
        <v>1234</v>
      </c>
      <c r="D11" s="137" t="s">
        <v>849</v>
      </c>
      <c r="E11" s="138" t="b">
        <v>1</v>
      </c>
    </row>
    <row r="12" spans="1:5" x14ac:dyDescent="0.25">
      <c r="A12" s="137" t="s">
        <v>8240</v>
      </c>
      <c r="B12" s="138" t="s">
        <v>8290</v>
      </c>
    </row>
    <row r="14" spans="1:5" ht="18.75" x14ac:dyDescent="0.3">
      <c r="A14" s="141" t="s">
        <v>1040</v>
      </c>
      <c r="B14" s="142"/>
    </row>
    <row r="15" spans="1:5" outlineLevel="1" x14ac:dyDescent="0.25">
      <c r="A15" s="139"/>
      <c r="B15" s="142"/>
    </row>
    <row r="16" spans="1:5" outlineLevel="1" x14ac:dyDescent="0.25">
      <c r="A16" s="139" t="s">
        <v>958</v>
      </c>
      <c r="B16" s="279" t="s">
        <v>6860</v>
      </c>
      <c r="C16" s="280"/>
    </row>
    <row r="17" spans="1:29" outlineLevel="1" x14ac:dyDescent="0.25">
      <c r="A17" s="139"/>
      <c r="B17" s="142"/>
    </row>
    <row r="18" spans="1:29" outlineLevel="1" x14ac:dyDescent="0.25">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25">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25">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25">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25">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25">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25">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25">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25"/>
    <row r="27" spans="1:29" outlineLevel="1" x14ac:dyDescent="0.25">
      <c r="A27" s="143" t="s">
        <v>8254</v>
      </c>
      <c r="B27" s="143"/>
      <c r="C27" s="143"/>
      <c r="D27" s="143"/>
      <c r="E27" s="143"/>
      <c r="F27" s="143"/>
      <c r="H27" s="143" t="s">
        <v>945</v>
      </c>
      <c r="I27" s="143"/>
      <c r="J27" s="143"/>
      <c r="L27" s="139" t="s">
        <v>6449</v>
      </c>
    </row>
    <row r="28" spans="1:29" outlineLevel="1" x14ac:dyDescent="0.25">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25">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25">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25">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25">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25">
      <c r="L33" s="197"/>
      <c r="M33" s="197"/>
      <c r="N33" s="197"/>
      <c r="O33" s="238"/>
      <c r="P33" s="197"/>
      <c r="Q33" s="197"/>
      <c r="R33" s="197"/>
      <c r="S33" s="238"/>
      <c r="T33" s="197"/>
      <c r="U33" s="197"/>
      <c r="V33" s="197"/>
      <c r="W33" s="238"/>
    </row>
    <row r="34" spans="1:29" s="221" customFormat="1" outlineLevel="1" x14ac:dyDescent="0.25">
      <c r="A34" s="222" t="s">
        <v>8256</v>
      </c>
    </row>
    <row r="35" spans="1:29" outlineLevel="2" x14ac:dyDescent="0.25">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25">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25">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25">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25">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25">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25">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25">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25">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25">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25">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25">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25">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25">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25">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25"/>
    <row r="51" spans="1:29" x14ac:dyDescent="0.25">
      <c r="L51" s="197"/>
      <c r="M51" s="197"/>
      <c r="N51" s="197"/>
      <c r="O51" s="238"/>
      <c r="P51" s="197"/>
      <c r="Q51" s="197"/>
      <c r="R51" s="197"/>
      <c r="S51" s="238"/>
      <c r="T51" s="197"/>
      <c r="U51" s="197"/>
      <c r="V51" s="197"/>
      <c r="W51" s="238"/>
    </row>
    <row r="52" spans="1:29" ht="18.75" x14ac:dyDescent="0.3">
      <c r="A52" s="141" t="s">
        <v>1041</v>
      </c>
      <c r="B52" s="141"/>
      <c r="C52" s="141"/>
      <c r="D52" s="141"/>
      <c r="E52" s="141"/>
      <c r="F52" s="141"/>
      <c r="G52" s="141"/>
      <c r="H52" s="141"/>
      <c r="I52" s="141"/>
      <c r="J52" s="141"/>
    </row>
    <row r="53" spans="1:29" outlineLevel="1" x14ac:dyDescent="0.25">
      <c r="A53" s="139"/>
      <c r="B53" s="142"/>
    </row>
    <row r="54" spans="1:29" outlineLevel="1" x14ac:dyDescent="0.25">
      <c r="A54" s="139" t="s">
        <v>958</v>
      </c>
      <c r="B54" s="279" t="s">
        <v>5671</v>
      </c>
      <c r="C54" s="280"/>
    </row>
    <row r="55" spans="1:29" outlineLevel="1" x14ac:dyDescent="0.25">
      <c r="A55" s="139"/>
      <c r="B55" s="142"/>
    </row>
    <row r="56" spans="1:29" ht="15" customHeight="1" outlineLevel="1" x14ac:dyDescent="0.3">
      <c r="A56" s="139" t="s">
        <v>8257</v>
      </c>
      <c r="B56" s="141"/>
      <c r="C56" s="141"/>
      <c r="D56" s="141"/>
      <c r="E56" s="141"/>
      <c r="F56" s="141"/>
      <c r="G56" s="141"/>
      <c r="H56" s="141"/>
      <c r="I56" s="155"/>
      <c r="J56" s="155"/>
      <c r="K56" s="155"/>
      <c r="L56" s="141"/>
      <c r="M56" s="141"/>
    </row>
    <row r="57" spans="1:29" outlineLevel="1" x14ac:dyDescent="0.25">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25">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25">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25">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25">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25">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25">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25">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25">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25">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25">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25"/>
    <row r="70" spans="1:19" ht="18.75" x14ac:dyDescent="0.3">
      <c r="A70" s="141" t="s">
        <v>8241</v>
      </c>
      <c r="B70" s="142"/>
    </row>
    <row r="71" spans="1:19" outlineLevel="1" x14ac:dyDescent="0.25">
      <c r="A71" s="139" t="s">
        <v>8272</v>
      </c>
    </row>
    <row r="72" spans="1:19" outlineLevel="1" x14ac:dyDescent="0.25">
      <c r="A72" s="143" t="s">
        <v>8273</v>
      </c>
    </row>
    <row r="73" spans="1:19" outlineLevel="1" x14ac:dyDescent="0.25">
      <c r="A73" s="242" t="s">
        <v>8242</v>
      </c>
      <c r="B73" s="167"/>
      <c r="C73" s="146" t="s">
        <v>8242</v>
      </c>
      <c r="D73" s="248" t="s">
        <v>8245</v>
      </c>
      <c r="E73" s="241"/>
      <c r="F73" s="248" t="s">
        <v>8246</v>
      </c>
      <c r="G73" s="241"/>
      <c r="H73" s="248" t="s">
        <v>8247</v>
      </c>
      <c r="I73" s="241"/>
      <c r="J73" s="248" t="s">
        <v>8248</v>
      </c>
      <c r="K73" s="240"/>
      <c r="L73" s="240"/>
      <c r="M73" s="241"/>
    </row>
    <row r="74" spans="1:19" outlineLevel="1" x14ac:dyDescent="0.25">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25">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25">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25"/>
    <row r="78" spans="1:19" outlineLevel="1" x14ac:dyDescent="0.25">
      <c r="A78" s="139" t="s">
        <v>8258</v>
      </c>
      <c r="K78" s="258"/>
      <c r="M78" s="135"/>
    </row>
    <row r="79" spans="1:19" outlineLevel="1" x14ac:dyDescent="0.25">
      <c r="A79" s="139" t="s">
        <v>8322</v>
      </c>
    </row>
    <row r="80" spans="1:19" outlineLevel="1" x14ac:dyDescent="0.25">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25">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25">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25">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25">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25">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25"/>
    <row r="87" spans="1:19" s="221" customFormat="1" outlineLevel="1" x14ac:dyDescent="0.25">
      <c r="A87" s="242" t="s">
        <v>8244</v>
      </c>
      <c r="B87" s="240" t="s">
        <v>8722</v>
      </c>
      <c r="C87" s="241"/>
      <c r="D87" s="240" t="s">
        <v>8723</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25">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25">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25">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25">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25">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25"/>
    <row r="95" spans="1:19" ht="18.75" x14ac:dyDescent="0.3">
      <c r="A95" s="141" t="s">
        <v>8354</v>
      </c>
    </row>
    <row r="96" spans="1:19" outlineLevel="1" x14ac:dyDescent="0.25">
      <c r="A96" s="143" t="s">
        <v>1772</v>
      </c>
      <c r="B96" s="143"/>
      <c r="C96" s="143"/>
      <c r="D96" s="143"/>
      <c r="E96" s="143"/>
      <c r="F96" s="143"/>
      <c r="G96" s="143"/>
      <c r="H96" s="143"/>
      <c r="I96" s="143"/>
      <c r="J96" s="143"/>
    </row>
    <row r="97" spans="1:19" outlineLevel="1" x14ac:dyDescent="0.25">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25">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25">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25">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25">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25">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25">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25">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25">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25">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25">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25">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25">
      <c r="A109" s="156"/>
      <c r="B109" s="198">
        <v>11</v>
      </c>
      <c r="C109" s="204" t="s">
        <v>9052</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25">
      <c r="A110" s="160"/>
      <c r="B110" s="151">
        <v>12</v>
      </c>
      <c r="C110" s="150" t="s">
        <v>8000</v>
      </c>
      <c r="D110" s="217"/>
      <c r="E110" s="217"/>
      <c r="F110" s="218"/>
      <c r="G110" s="217"/>
      <c r="H110" s="217"/>
      <c r="I110" s="218"/>
      <c r="J110" s="275"/>
      <c r="K110" s="217"/>
      <c r="L110" s="217"/>
      <c r="M110" s="217"/>
      <c r="N110" s="217"/>
      <c r="O110" s="217"/>
      <c r="P110" s="217"/>
      <c r="Q110" s="217"/>
      <c r="R110" s="217"/>
      <c r="S110" s="218"/>
    </row>
    <row r="111" spans="1:19" outlineLevel="1" x14ac:dyDescent="0.25"/>
    <row r="112" spans="1:19" outlineLevel="1" x14ac:dyDescent="0.25">
      <c r="A112" s="143" t="s">
        <v>1773</v>
      </c>
    </row>
    <row r="113" spans="1:16" outlineLevel="1" x14ac:dyDescent="0.25">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25">
      <c r="A114" s="148" t="s">
        <v>852</v>
      </c>
      <c r="B114" s="151" t="s">
        <v>1030</v>
      </c>
      <c r="C114" s="150" t="s">
        <v>8</v>
      </c>
      <c r="D114" s="149" t="s">
        <v>18</v>
      </c>
      <c r="E114" s="149" t="s">
        <v>6873</v>
      </c>
      <c r="F114" s="149" t="s">
        <v>6874</v>
      </c>
      <c r="G114" s="150" t="s">
        <v>60</v>
      </c>
      <c r="H114" s="149">
        <v>1</v>
      </c>
      <c r="I114" s="149">
        <v>2</v>
      </c>
      <c r="J114" s="149">
        <v>3</v>
      </c>
      <c r="K114" s="150">
        <v>4</v>
      </c>
      <c r="L114" s="149">
        <v>1</v>
      </c>
      <c r="M114" s="150">
        <v>2</v>
      </c>
      <c r="N114" s="182" t="s">
        <v>1771</v>
      </c>
    </row>
    <row r="115" spans="1:16" outlineLevel="1" x14ac:dyDescent="0.25">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25">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25">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25">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25">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25">
      <c r="A120" s="177"/>
      <c r="B120" s="149">
        <v>6</v>
      </c>
      <c r="C120" s="150" t="s">
        <v>6922</v>
      </c>
      <c r="D120" s="161">
        <v>100</v>
      </c>
      <c r="E120" s="161">
        <v>5</v>
      </c>
      <c r="F120" s="161">
        <v>4</v>
      </c>
      <c r="G120" s="138">
        <v>100</v>
      </c>
      <c r="H120" s="160">
        <v>10</v>
      </c>
      <c r="I120" s="161">
        <v>10</v>
      </c>
      <c r="J120" s="161">
        <v>5</v>
      </c>
      <c r="K120" s="138">
        <v>5</v>
      </c>
      <c r="L120" s="161"/>
      <c r="M120" s="138"/>
      <c r="N120" s="214">
        <v>101</v>
      </c>
    </row>
    <row r="121" spans="1:16" s="170" customFormat="1" outlineLevel="1" x14ac:dyDescent="0.25"/>
    <row r="122" spans="1:16" s="170" customFormat="1" x14ac:dyDescent="0.25"/>
    <row r="123" spans="1:16" ht="18.75" x14ac:dyDescent="0.3">
      <c r="A123" s="141" t="s">
        <v>8355</v>
      </c>
    </row>
    <row r="124" spans="1:16" outlineLevel="1" x14ac:dyDescent="0.25">
      <c r="A124" s="143" t="s">
        <v>8548</v>
      </c>
      <c r="B124" s="143"/>
      <c r="C124" s="143"/>
      <c r="E124" s="183"/>
    </row>
    <row r="125" spans="1:16" outlineLevel="1" x14ac:dyDescent="0.25">
      <c r="A125" s="173" t="s">
        <v>8546</v>
      </c>
      <c r="B125" s="165" t="s">
        <v>782</v>
      </c>
      <c r="C125" s="166" t="s">
        <v>768</v>
      </c>
      <c r="D125" s="165" t="s">
        <v>6590</v>
      </c>
      <c r="E125" s="166" t="s">
        <v>768</v>
      </c>
      <c r="F125" s="165" t="s">
        <v>7094</v>
      </c>
      <c r="G125" s="166" t="s">
        <v>1766</v>
      </c>
      <c r="H125" s="165" t="s">
        <v>8547</v>
      </c>
      <c r="I125" s="166" t="s">
        <v>1766</v>
      </c>
    </row>
    <row r="126" spans="1:16" outlineLevel="1" x14ac:dyDescent="0.25">
      <c r="A126" s="198">
        <v>1</v>
      </c>
      <c r="B126" s="174"/>
      <c r="C126" s="159"/>
      <c r="D126" s="174"/>
      <c r="E126" s="159"/>
      <c r="F126" s="174"/>
      <c r="G126" s="159"/>
      <c r="H126" s="174"/>
      <c r="I126" s="159"/>
    </row>
    <row r="127" spans="1:16" outlineLevel="1" x14ac:dyDescent="0.25">
      <c r="A127" s="198">
        <v>2</v>
      </c>
      <c r="B127" s="175"/>
      <c r="C127" s="159"/>
      <c r="D127" s="175"/>
      <c r="E127" s="159"/>
      <c r="F127" s="175"/>
      <c r="G127" s="159"/>
      <c r="H127" s="175"/>
      <c r="I127" s="159"/>
    </row>
    <row r="128" spans="1:16" outlineLevel="1" x14ac:dyDescent="0.25">
      <c r="A128" s="151">
        <v>3</v>
      </c>
      <c r="B128" s="176"/>
      <c r="C128" s="138"/>
      <c r="D128" s="176"/>
      <c r="E128" s="138"/>
      <c r="F128" s="176"/>
      <c r="G128" s="138"/>
      <c r="H128" s="176"/>
      <c r="I128" s="138"/>
    </row>
    <row r="129" spans="1:3" outlineLevel="1" x14ac:dyDescent="0.25">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7687</v>
      </c>
      <c r="B1" s="10" t="s">
        <v>699</v>
      </c>
      <c r="C1" s="10" t="s">
        <v>8</v>
      </c>
      <c r="D1" s="10" t="s">
        <v>700</v>
      </c>
      <c r="E1" s="10" t="s">
        <v>7957</v>
      </c>
      <c r="F1" s="10" t="s">
        <v>7958</v>
      </c>
      <c r="H1" s="10" t="s">
        <v>7959</v>
      </c>
    </row>
    <row r="2" spans="1:8" x14ac:dyDescent="0.25">
      <c r="A2" t="s">
        <v>7688</v>
      </c>
      <c r="B2">
        <v>1</v>
      </c>
      <c r="C2" t="s">
        <v>7317</v>
      </c>
      <c r="D2" t="s">
        <v>7318</v>
      </c>
      <c r="H2" s="9" t="str">
        <f>IF(A2="Y",B2,"")</f>
        <v/>
      </c>
    </row>
    <row r="3" spans="1:8" x14ac:dyDescent="0.25">
      <c r="A3" t="s">
        <v>7688</v>
      </c>
      <c r="B3">
        <v>2</v>
      </c>
      <c r="C3" t="s">
        <v>7319</v>
      </c>
      <c r="D3" t="s">
        <v>7320</v>
      </c>
      <c r="H3" s="9" t="str">
        <f>IF(A3="N",H2,IF(H2="",B3,H2&amp;";"&amp;B3))</f>
        <v/>
      </c>
    </row>
    <row r="4" spans="1:8" x14ac:dyDescent="0.25">
      <c r="A4" t="s">
        <v>7688</v>
      </c>
      <c r="B4">
        <v>3</v>
      </c>
      <c r="C4" t="s">
        <v>7321</v>
      </c>
      <c r="D4" t="s">
        <v>7322</v>
      </c>
      <c r="H4" s="9" t="str">
        <f t="shared" ref="H4:H67" si="0">IF(A4="N",H3,IF(H3="",B4,H3&amp;";"&amp;B4))</f>
        <v/>
      </c>
    </row>
    <row r="5" spans="1:8" x14ac:dyDescent="0.25">
      <c r="A5" t="s">
        <v>7688</v>
      </c>
      <c r="B5">
        <v>4</v>
      </c>
      <c r="C5" t="s">
        <v>7323</v>
      </c>
      <c r="D5" t="s">
        <v>7324</v>
      </c>
      <c r="H5" s="9" t="str">
        <f t="shared" si="0"/>
        <v/>
      </c>
    </row>
    <row r="6" spans="1:8" x14ac:dyDescent="0.25">
      <c r="A6" t="s">
        <v>7688</v>
      </c>
      <c r="B6">
        <v>5</v>
      </c>
      <c r="C6" t="s">
        <v>7325</v>
      </c>
      <c r="D6" t="s">
        <v>7326</v>
      </c>
      <c r="H6" s="9" t="str">
        <f t="shared" si="0"/>
        <v/>
      </c>
    </row>
    <row r="7" spans="1:8" x14ac:dyDescent="0.25">
      <c r="A7" t="s">
        <v>7688</v>
      </c>
      <c r="B7">
        <v>6</v>
      </c>
      <c r="C7" t="s">
        <v>7327</v>
      </c>
      <c r="D7" t="s">
        <v>7328</v>
      </c>
      <c r="H7" s="9" t="str">
        <f t="shared" si="0"/>
        <v/>
      </c>
    </row>
    <row r="8" spans="1:8" x14ac:dyDescent="0.25">
      <c r="A8" t="s">
        <v>7688</v>
      </c>
      <c r="B8">
        <v>7</v>
      </c>
      <c r="C8" t="s">
        <v>7329</v>
      </c>
      <c r="D8" t="s">
        <v>7330</v>
      </c>
      <c r="H8" s="9" t="str">
        <f t="shared" si="0"/>
        <v/>
      </c>
    </row>
    <row r="9" spans="1:8" x14ac:dyDescent="0.25">
      <c r="A9" t="s">
        <v>7688</v>
      </c>
      <c r="B9">
        <v>8</v>
      </c>
      <c r="C9" t="s">
        <v>7331</v>
      </c>
      <c r="D9" t="s">
        <v>7332</v>
      </c>
      <c r="H9" s="9" t="str">
        <f t="shared" si="0"/>
        <v/>
      </c>
    </row>
    <row r="10" spans="1:8" x14ac:dyDescent="0.25">
      <c r="A10" t="s">
        <v>7688</v>
      </c>
      <c r="B10">
        <v>701</v>
      </c>
      <c r="C10" t="s">
        <v>7333</v>
      </c>
      <c r="D10" t="s">
        <v>7334</v>
      </c>
      <c r="H10" s="9" t="str">
        <f t="shared" si="0"/>
        <v/>
      </c>
    </row>
    <row r="11" spans="1:8" x14ac:dyDescent="0.25">
      <c r="A11" t="s">
        <v>7688</v>
      </c>
      <c r="B11">
        <v>702</v>
      </c>
      <c r="C11" t="s">
        <v>7335</v>
      </c>
      <c r="D11" t="s">
        <v>7336</v>
      </c>
      <c r="H11" s="9" t="str">
        <f t="shared" si="0"/>
        <v/>
      </c>
    </row>
    <row r="12" spans="1:8" x14ac:dyDescent="0.25">
      <c r="A12" t="s">
        <v>7688</v>
      </c>
      <c r="B12">
        <v>703</v>
      </c>
      <c r="C12" t="s">
        <v>7337</v>
      </c>
      <c r="D12" t="s">
        <v>7338</v>
      </c>
      <c r="H12" s="9" t="str">
        <f t="shared" si="0"/>
        <v/>
      </c>
    </row>
    <row r="13" spans="1:8" x14ac:dyDescent="0.25">
      <c r="A13" t="s">
        <v>7688</v>
      </c>
      <c r="B13">
        <v>704</v>
      </c>
      <c r="C13" t="s">
        <v>7339</v>
      </c>
      <c r="D13" t="s">
        <v>7340</v>
      </c>
      <c r="H13" s="9" t="str">
        <f t="shared" si="0"/>
        <v/>
      </c>
    </row>
    <row r="14" spans="1:8" x14ac:dyDescent="0.25">
      <c r="A14" t="s">
        <v>7688</v>
      </c>
      <c r="B14">
        <v>705</v>
      </c>
      <c r="C14" t="s">
        <v>7341</v>
      </c>
      <c r="D14" t="s">
        <v>7342</v>
      </c>
      <c r="H14" s="9" t="str">
        <f t="shared" si="0"/>
        <v/>
      </c>
    </row>
    <row r="15" spans="1:8" x14ac:dyDescent="0.25">
      <c r="A15" t="s">
        <v>7688</v>
      </c>
      <c r="B15">
        <v>706</v>
      </c>
      <c r="C15" t="s">
        <v>7343</v>
      </c>
      <c r="D15" t="s">
        <v>7344</v>
      </c>
      <c r="H15" s="9" t="str">
        <f t="shared" si="0"/>
        <v/>
      </c>
    </row>
    <row r="16" spans="1:8" x14ac:dyDescent="0.25">
      <c r="A16" t="s">
        <v>7688</v>
      </c>
      <c r="B16">
        <v>707</v>
      </c>
      <c r="C16" t="s">
        <v>7345</v>
      </c>
      <c r="D16" t="s">
        <v>7346</v>
      </c>
      <c r="H16" s="9" t="str">
        <f t="shared" si="0"/>
        <v/>
      </c>
    </row>
    <row r="17" spans="1:8" x14ac:dyDescent="0.25">
      <c r="A17" t="s">
        <v>7688</v>
      </c>
      <c r="B17">
        <v>708</v>
      </c>
      <c r="C17" t="s">
        <v>7347</v>
      </c>
      <c r="D17" t="s">
        <v>7348</v>
      </c>
      <c r="H17" s="9" t="str">
        <f t="shared" si="0"/>
        <v/>
      </c>
    </row>
    <row r="18" spans="1:8" x14ac:dyDescent="0.25">
      <c r="A18" t="s">
        <v>7688</v>
      </c>
      <c r="B18">
        <v>709</v>
      </c>
      <c r="C18" t="s">
        <v>7349</v>
      </c>
      <c r="D18" t="s">
        <v>7350</v>
      </c>
      <c r="H18" s="9" t="str">
        <f t="shared" si="0"/>
        <v/>
      </c>
    </row>
    <row r="19" spans="1:8" x14ac:dyDescent="0.25">
      <c r="A19" t="s">
        <v>7688</v>
      </c>
      <c r="B19">
        <v>710</v>
      </c>
      <c r="C19" t="s">
        <v>7351</v>
      </c>
      <c r="D19" t="s">
        <v>7352</v>
      </c>
      <c r="H19" s="9" t="str">
        <f t="shared" si="0"/>
        <v/>
      </c>
    </row>
    <row r="20" spans="1:8" x14ac:dyDescent="0.25">
      <c r="A20" t="s">
        <v>7688</v>
      </c>
      <c r="B20">
        <v>711</v>
      </c>
      <c r="C20" t="s">
        <v>7353</v>
      </c>
      <c r="D20" t="s">
        <v>7354</v>
      </c>
      <c r="H20" s="9" t="str">
        <f t="shared" si="0"/>
        <v/>
      </c>
    </row>
    <row r="21" spans="1:8" x14ac:dyDescent="0.25">
      <c r="A21" t="s">
        <v>7688</v>
      </c>
      <c r="B21">
        <v>712</v>
      </c>
      <c r="C21" t="s">
        <v>7355</v>
      </c>
      <c r="D21" t="s">
        <v>7356</v>
      </c>
      <c r="H21" s="9" t="str">
        <f t="shared" si="0"/>
        <v/>
      </c>
    </row>
    <row r="22" spans="1:8" x14ac:dyDescent="0.25">
      <c r="A22" t="s">
        <v>7688</v>
      </c>
      <c r="B22">
        <v>713</v>
      </c>
      <c r="C22" t="s">
        <v>7357</v>
      </c>
      <c r="D22" t="s">
        <v>7358</v>
      </c>
      <c r="H22" s="9" t="str">
        <f t="shared" si="0"/>
        <v/>
      </c>
    </row>
    <row r="23" spans="1:8" x14ac:dyDescent="0.25">
      <c r="A23" t="s">
        <v>7688</v>
      </c>
      <c r="B23">
        <v>714</v>
      </c>
      <c r="C23" t="s">
        <v>7359</v>
      </c>
      <c r="D23" t="s">
        <v>7360</v>
      </c>
      <c r="H23" s="9" t="str">
        <f t="shared" si="0"/>
        <v/>
      </c>
    </row>
    <row r="24" spans="1:8" x14ac:dyDescent="0.25">
      <c r="A24" t="s">
        <v>7688</v>
      </c>
      <c r="B24">
        <v>715</v>
      </c>
      <c r="C24" t="s">
        <v>7361</v>
      </c>
      <c r="D24" t="s">
        <v>7362</v>
      </c>
      <c r="H24" s="9" t="str">
        <f t="shared" si="0"/>
        <v/>
      </c>
    </row>
    <row r="25" spans="1:8" x14ac:dyDescent="0.25">
      <c r="A25" t="s">
        <v>7688</v>
      </c>
      <c r="B25">
        <v>716</v>
      </c>
      <c r="C25" t="s">
        <v>7363</v>
      </c>
      <c r="D25" t="s">
        <v>7364</v>
      </c>
      <c r="H25" s="9" t="str">
        <f t="shared" si="0"/>
        <v/>
      </c>
    </row>
    <row r="26" spans="1:8" x14ac:dyDescent="0.25">
      <c r="A26" t="s">
        <v>7688</v>
      </c>
      <c r="B26">
        <v>717</v>
      </c>
      <c r="C26" t="s">
        <v>7365</v>
      </c>
      <c r="D26" t="s">
        <v>7366</v>
      </c>
      <c r="H26" s="9" t="str">
        <f t="shared" si="0"/>
        <v/>
      </c>
    </row>
    <row r="27" spans="1:8" x14ac:dyDescent="0.25">
      <c r="A27" t="s">
        <v>7688</v>
      </c>
      <c r="B27">
        <v>718</v>
      </c>
      <c r="C27" t="s">
        <v>7367</v>
      </c>
      <c r="D27" t="s">
        <v>7368</v>
      </c>
      <c r="H27" s="9" t="str">
        <f t="shared" si="0"/>
        <v/>
      </c>
    </row>
    <row r="28" spans="1:8" x14ac:dyDescent="0.25">
      <c r="A28" t="s">
        <v>7688</v>
      </c>
      <c r="B28">
        <v>719</v>
      </c>
      <c r="C28" t="s">
        <v>7369</v>
      </c>
      <c r="D28" t="s">
        <v>7370</v>
      </c>
      <c r="H28" s="9" t="str">
        <f t="shared" si="0"/>
        <v/>
      </c>
    </row>
    <row r="29" spans="1:8" x14ac:dyDescent="0.25">
      <c r="A29" t="s">
        <v>7688</v>
      </c>
      <c r="B29">
        <v>720</v>
      </c>
      <c r="C29" t="s">
        <v>7371</v>
      </c>
      <c r="D29" t="s">
        <v>7372</v>
      </c>
      <c r="H29" s="9" t="str">
        <f t="shared" si="0"/>
        <v/>
      </c>
    </row>
    <row r="30" spans="1:8" x14ac:dyDescent="0.25">
      <c r="A30" t="s">
        <v>7688</v>
      </c>
      <c r="B30">
        <v>721</v>
      </c>
      <c r="C30" t="s">
        <v>7373</v>
      </c>
      <c r="D30" t="s">
        <v>7374</v>
      </c>
      <c r="H30" s="9" t="str">
        <f t="shared" si="0"/>
        <v/>
      </c>
    </row>
    <row r="31" spans="1:8" x14ac:dyDescent="0.25">
      <c r="A31" t="s">
        <v>7688</v>
      </c>
      <c r="B31">
        <v>722</v>
      </c>
      <c r="C31" t="s">
        <v>7375</v>
      </c>
      <c r="D31" t="s">
        <v>7376</v>
      </c>
      <c r="H31" s="9" t="str">
        <f t="shared" si="0"/>
        <v/>
      </c>
    </row>
    <row r="32" spans="1:8" x14ac:dyDescent="0.25">
      <c r="A32" t="s">
        <v>7688</v>
      </c>
      <c r="B32">
        <v>723</v>
      </c>
      <c r="C32" t="s">
        <v>7377</v>
      </c>
      <c r="D32" t="s">
        <v>7378</v>
      </c>
      <c r="H32" s="9" t="str">
        <f t="shared" si="0"/>
        <v/>
      </c>
    </row>
    <row r="33" spans="1:8" x14ac:dyDescent="0.25">
      <c r="A33" t="s">
        <v>7688</v>
      </c>
      <c r="B33">
        <v>724</v>
      </c>
      <c r="C33" t="s">
        <v>7379</v>
      </c>
      <c r="D33" t="s">
        <v>7380</v>
      </c>
      <c r="H33" s="9" t="str">
        <f t="shared" si="0"/>
        <v/>
      </c>
    </row>
    <row r="34" spans="1:8" x14ac:dyDescent="0.25">
      <c r="A34" t="s">
        <v>7688</v>
      </c>
      <c r="B34">
        <v>725</v>
      </c>
      <c r="C34" t="s">
        <v>7381</v>
      </c>
      <c r="D34" t="s">
        <v>7382</v>
      </c>
      <c r="H34" s="9" t="str">
        <f t="shared" si="0"/>
        <v/>
      </c>
    </row>
    <row r="35" spans="1:8" x14ac:dyDescent="0.25">
      <c r="A35" t="s">
        <v>7688</v>
      </c>
      <c r="B35">
        <v>726</v>
      </c>
      <c r="C35" t="s">
        <v>7383</v>
      </c>
      <c r="D35" t="s">
        <v>7384</v>
      </c>
      <c r="H35" s="9" t="str">
        <f t="shared" si="0"/>
        <v/>
      </c>
    </row>
    <row r="36" spans="1:8" x14ac:dyDescent="0.25">
      <c r="A36" t="s">
        <v>7688</v>
      </c>
      <c r="B36">
        <v>727</v>
      </c>
      <c r="C36" t="s">
        <v>7385</v>
      </c>
      <c r="D36" t="s">
        <v>7386</v>
      </c>
      <c r="H36" s="9" t="str">
        <f t="shared" si="0"/>
        <v/>
      </c>
    </row>
    <row r="37" spans="1:8" x14ac:dyDescent="0.25">
      <c r="A37" t="s">
        <v>7688</v>
      </c>
      <c r="B37">
        <v>728</v>
      </c>
      <c r="C37" t="s">
        <v>7387</v>
      </c>
      <c r="D37" t="s">
        <v>7388</v>
      </c>
      <c r="H37" s="9" t="str">
        <f t="shared" si="0"/>
        <v/>
      </c>
    </row>
    <row r="38" spans="1:8" x14ac:dyDescent="0.25">
      <c r="A38" t="s">
        <v>7688</v>
      </c>
      <c r="B38">
        <v>729</v>
      </c>
      <c r="C38" t="s">
        <v>7379</v>
      </c>
      <c r="D38" t="s">
        <v>7389</v>
      </c>
      <c r="H38" s="9" t="str">
        <f t="shared" si="0"/>
        <v/>
      </c>
    </row>
    <row r="39" spans="1:8" x14ac:dyDescent="0.25">
      <c r="A39" t="s">
        <v>7688</v>
      </c>
      <c r="B39">
        <v>730</v>
      </c>
      <c r="C39" t="s">
        <v>7390</v>
      </c>
      <c r="D39" t="s">
        <v>7391</v>
      </c>
      <c r="H39" s="9" t="str">
        <f t="shared" si="0"/>
        <v/>
      </c>
    </row>
    <row r="40" spans="1:8" x14ac:dyDescent="0.25">
      <c r="A40" t="s">
        <v>7688</v>
      </c>
      <c r="B40">
        <v>731</v>
      </c>
      <c r="C40" t="s">
        <v>7392</v>
      </c>
      <c r="D40" t="s">
        <v>7393</v>
      </c>
      <c r="H40" s="9" t="str">
        <f t="shared" si="0"/>
        <v/>
      </c>
    </row>
    <row r="41" spans="1:8" x14ac:dyDescent="0.25">
      <c r="A41" t="s">
        <v>7688</v>
      </c>
      <c r="B41">
        <v>732</v>
      </c>
      <c r="C41" t="s">
        <v>7394</v>
      </c>
      <c r="D41" t="s">
        <v>7395</v>
      </c>
      <c r="H41" s="9" t="str">
        <f t="shared" si="0"/>
        <v/>
      </c>
    </row>
    <row r="42" spans="1:8" x14ac:dyDescent="0.25">
      <c r="A42" t="s">
        <v>7688</v>
      </c>
      <c r="B42">
        <v>733</v>
      </c>
      <c r="C42" t="s">
        <v>7396</v>
      </c>
      <c r="D42" t="s">
        <v>7397</v>
      </c>
      <c r="H42" s="9" t="str">
        <f t="shared" si="0"/>
        <v/>
      </c>
    </row>
    <row r="43" spans="1:8" x14ac:dyDescent="0.25">
      <c r="A43" t="s">
        <v>7688</v>
      </c>
      <c r="B43">
        <v>734</v>
      </c>
      <c r="C43" t="s">
        <v>7398</v>
      </c>
      <c r="D43" t="s">
        <v>7399</v>
      </c>
      <c r="H43" s="9" t="str">
        <f t="shared" si="0"/>
        <v/>
      </c>
    </row>
    <row r="44" spans="1:8" x14ac:dyDescent="0.25">
      <c r="A44" t="s">
        <v>7688</v>
      </c>
      <c r="B44">
        <v>735</v>
      </c>
      <c r="C44" t="s">
        <v>7400</v>
      </c>
      <c r="D44" t="s">
        <v>7401</v>
      </c>
      <c r="H44" s="9" t="str">
        <f t="shared" si="0"/>
        <v/>
      </c>
    </row>
    <row r="45" spans="1:8" x14ac:dyDescent="0.25">
      <c r="A45" t="s">
        <v>7688</v>
      </c>
      <c r="B45">
        <v>736</v>
      </c>
      <c r="C45" t="s">
        <v>7402</v>
      </c>
      <c r="D45" t="s">
        <v>7403</v>
      </c>
      <c r="H45" s="9" t="str">
        <f t="shared" si="0"/>
        <v/>
      </c>
    </row>
    <row r="46" spans="1:8" x14ac:dyDescent="0.25">
      <c r="A46" t="s">
        <v>7688</v>
      </c>
      <c r="B46">
        <v>737</v>
      </c>
      <c r="C46" t="s">
        <v>7404</v>
      </c>
      <c r="D46" t="s">
        <v>7405</v>
      </c>
      <c r="H46" s="9" t="str">
        <f t="shared" si="0"/>
        <v/>
      </c>
    </row>
    <row r="47" spans="1:8" x14ac:dyDescent="0.25">
      <c r="A47" t="s">
        <v>7688</v>
      </c>
      <c r="B47">
        <v>738</v>
      </c>
      <c r="C47" t="s">
        <v>7406</v>
      </c>
      <c r="D47" t="s">
        <v>7407</v>
      </c>
      <c r="H47" s="9" t="str">
        <f t="shared" si="0"/>
        <v/>
      </c>
    </row>
    <row r="48" spans="1:8" x14ac:dyDescent="0.25">
      <c r="A48" t="s">
        <v>7688</v>
      </c>
      <c r="B48">
        <v>739</v>
      </c>
      <c r="C48" t="s">
        <v>7408</v>
      </c>
      <c r="D48" t="s">
        <v>7409</v>
      </c>
      <c r="H48" s="9" t="str">
        <f t="shared" si="0"/>
        <v/>
      </c>
    </row>
    <row r="49" spans="1:8" x14ac:dyDescent="0.25">
      <c r="A49" t="s">
        <v>7688</v>
      </c>
      <c r="B49">
        <v>740</v>
      </c>
      <c r="C49" t="s">
        <v>7410</v>
      </c>
      <c r="D49" t="s">
        <v>7411</v>
      </c>
      <c r="H49" s="9" t="str">
        <f t="shared" si="0"/>
        <v/>
      </c>
    </row>
    <row r="50" spans="1:8" x14ac:dyDescent="0.25">
      <c r="A50" t="s">
        <v>7688</v>
      </c>
      <c r="B50">
        <v>741</v>
      </c>
      <c r="C50" t="s">
        <v>7412</v>
      </c>
      <c r="D50" t="s">
        <v>7413</v>
      </c>
      <c r="H50" s="9" t="str">
        <f t="shared" si="0"/>
        <v/>
      </c>
    </row>
    <row r="51" spans="1:8" x14ac:dyDescent="0.25">
      <c r="A51" t="s">
        <v>7688</v>
      </c>
      <c r="B51">
        <v>742</v>
      </c>
      <c r="C51" t="s">
        <v>7414</v>
      </c>
      <c r="D51" t="s">
        <v>7415</v>
      </c>
      <c r="H51" s="9" t="str">
        <f t="shared" si="0"/>
        <v/>
      </c>
    </row>
    <row r="52" spans="1:8" x14ac:dyDescent="0.25">
      <c r="A52" t="s">
        <v>7688</v>
      </c>
      <c r="B52">
        <v>743</v>
      </c>
      <c r="C52" t="s">
        <v>7416</v>
      </c>
      <c r="D52" t="s">
        <v>7417</v>
      </c>
      <c r="H52" s="9" t="str">
        <f t="shared" si="0"/>
        <v/>
      </c>
    </row>
    <row r="53" spans="1:8" x14ac:dyDescent="0.25">
      <c r="A53" t="s">
        <v>7688</v>
      </c>
      <c r="B53">
        <v>901</v>
      </c>
      <c r="C53" t="s">
        <v>7689</v>
      </c>
      <c r="D53" t="s">
        <v>7823</v>
      </c>
      <c r="E53" t="s">
        <v>7418</v>
      </c>
      <c r="F53" t="s">
        <v>7419</v>
      </c>
      <c r="H53" s="9" t="str">
        <f t="shared" si="0"/>
        <v/>
      </c>
    </row>
    <row r="54" spans="1:8" x14ac:dyDescent="0.25">
      <c r="A54" t="s">
        <v>7688</v>
      </c>
      <c r="B54">
        <v>902</v>
      </c>
      <c r="C54" t="s">
        <v>7690</v>
      </c>
      <c r="D54" t="s">
        <v>7824</v>
      </c>
      <c r="E54" t="s">
        <v>7420</v>
      </c>
      <c r="F54" t="s">
        <v>7421</v>
      </c>
      <c r="H54" s="9" t="str">
        <f t="shared" si="0"/>
        <v/>
      </c>
    </row>
    <row r="55" spans="1:8" x14ac:dyDescent="0.25">
      <c r="A55" t="s">
        <v>7688</v>
      </c>
      <c r="B55">
        <v>903</v>
      </c>
      <c r="C55" t="s">
        <v>7691</v>
      </c>
      <c r="D55" t="s">
        <v>7825</v>
      </c>
      <c r="E55" t="s">
        <v>7422</v>
      </c>
      <c r="F55" t="s">
        <v>7423</v>
      </c>
      <c r="H55" s="9" t="str">
        <f t="shared" si="0"/>
        <v/>
      </c>
    </row>
    <row r="56" spans="1:8" x14ac:dyDescent="0.25">
      <c r="A56" t="s">
        <v>7688</v>
      </c>
      <c r="B56">
        <v>904</v>
      </c>
      <c r="C56" t="s">
        <v>7692</v>
      </c>
      <c r="D56" t="s">
        <v>7826</v>
      </c>
      <c r="E56" t="s">
        <v>7424</v>
      </c>
      <c r="F56" t="s">
        <v>7425</v>
      </c>
      <c r="H56" s="9" t="str">
        <f t="shared" si="0"/>
        <v/>
      </c>
    </row>
    <row r="57" spans="1:8" x14ac:dyDescent="0.25">
      <c r="A57" t="s">
        <v>7688</v>
      </c>
      <c r="B57">
        <v>905</v>
      </c>
      <c r="C57" t="s">
        <v>7693</v>
      </c>
      <c r="D57" t="s">
        <v>7827</v>
      </c>
      <c r="E57" t="s">
        <v>7426</v>
      </c>
      <c r="F57" t="s">
        <v>7427</v>
      </c>
      <c r="H57" s="9" t="str">
        <f t="shared" si="0"/>
        <v/>
      </c>
    </row>
    <row r="58" spans="1:8" x14ac:dyDescent="0.25">
      <c r="A58" t="s">
        <v>7688</v>
      </c>
      <c r="B58">
        <v>906</v>
      </c>
      <c r="C58" t="s">
        <v>7694</v>
      </c>
      <c r="D58" t="s">
        <v>7828</v>
      </c>
      <c r="E58" t="s">
        <v>7428</v>
      </c>
      <c r="F58" t="s">
        <v>7429</v>
      </c>
      <c r="H58" s="9" t="str">
        <f t="shared" si="0"/>
        <v/>
      </c>
    </row>
    <row r="59" spans="1:8" ht="30" x14ac:dyDescent="0.25">
      <c r="A59" t="s">
        <v>7688</v>
      </c>
      <c r="B59">
        <v>1101</v>
      </c>
      <c r="C59" t="s">
        <v>7695</v>
      </c>
      <c r="D59" s="216" t="s">
        <v>7829</v>
      </c>
      <c r="E59" t="s">
        <v>7430</v>
      </c>
      <c r="F59" t="s">
        <v>7431</v>
      </c>
      <c r="H59" s="9" t="str">
        <f t="shared" si="0"/>
        <v/>
      </c>
    </row>
    <row r="60" spans="1:8" ht="30" x14ac:dyDescent="0.25">
      <c r="A60" t="s">
        <v>7688</v>
      </c>
      <c r="B60">
        <v>1102</v>
      </c>
      <c r="C60" t="s">
        <v>7696</v>
      </c>
      <c r="D60" s="216" t="s">
        <v>7830</v>
      </c>
      <c r="E60" t="s">
        <v>7432</v>
      </c>
      <c r="F60" t="s">
        <v>7433</v>
      </c>
      <c r="H60" s="9" t="str">
        <f t="shared" si="0"/>
        <v/>
      </c>
    </row>
    <row r="61" spans="1:8" ht="30" x14ac:dyDescent="0.25">
      <c r="A61" t="s">
        <v>7688</v>
      </c>
      <c r="B61">
        <v>1103</v>
      </c>
      <c r="C61" t="s">
        <v>7697</v>
      </c>
      <c r="D61" s="216" t="s">
        <v>7831</v>
      </c>
      <c r="E61" t="s">
        <v>7434</v>
      </c>
      <c r="F61" t="s">
        <v>7435</v>
      </c>
      <c r="H61" s="9" t="str">
        <f t="shared" si="0"/>
        <v/>
      </c>
    </row>
    <row r="62" spans="1:8" ht="30" x14ac:dyDescent="0.25">
      <c r="A62" t="s">
        <v>7688</v>
      </c>
      <c r="B62">
        <v>1104</v>
      </c>
      <c r="C62" t="s">
        <v>7698</v>
      </c>
      <c r="D62" s="216" t="s">
        <v>7832</v>
      </c>
      <c r="E62" t="s">
        <v>7436</v>
      </c>
      <c r="F62" t="s">
        <v>7437</v>
      </c>
      <c r="H62" s="9" t="str">
        <f t="shared" si="0"/>
        <v/>
      </c>
    </row>
    <row r="63" spans="1:8" ht="30" x14ac:dyDescent="0.25">
      <c r="A63" t="s">
        <v>7688</v>
      </c>
      <c r="B63">
        <v>1105</v>
      </c>
      <c r="C63" t="s">
        <v>7699</v>
      </c>
      <c r="D63" s="216" t="s">
        <v>7833</v>
      </c>
      <c r="E63" t="s">
        <v>7438</v>
      </c>
      <c r="F63" t="s">
        <v>7439</v>
      </c>
      <c r="H63" s="9" t="str">
        <f t="shared" si="0"/>
        <v/>
      </c>
    </row>
    <row r="64" spans="1:8" ht="30" x14ac:dyDescent="0.25">
      <c r="A64" t="s">
        <v>7688</v>
      </c>
      <c r="B64">
        <v>1106</v>
      </c>
      <c r="C64" t="s">
        <v>7700</v>
      </c>
      <c r="D64" s="216" t="s">
        <v>7834</v>
      </c>
      <c r="E64" t="s">
        <v>7440</v>
      </c>
      <c r="F64" t="s">
        <v>7441</v>
      </c>
      <c r="H64" s="9" t="str">
        <f t="shared" si="0"/>
        <v/>
      </c>
    </row>
    <row r="65" spans="1:8" ht="30" x14ac:dyDescent="0.25">
      <c r="A65" t="s">
        <v>7688</v>
      </c>
      <c r="B65">
        <v>1107</v>
      </c>
      <c r="C65" t="s">
        <v>7701</v>
      </c>
      <c r="D65" s="216" t="s">
        <v>7835</v>
      </c>
      <c r="E65" t="s">
        <v>7442</v>
      </c>
      <c r="F65" t="s">
        <v>7443</v>
      </c>
      <c r="H65" s="9" t="str">
        <f t="shared" si="0"/>
        <v/>
      </c>
    </row>
    <row r="66" spans="1:8" ht="30" x14ac:dyDescent="0.25">
      <c r="A66" t="s">
        <v>7688</v>
      </c>
      <c r="B66">
        <v>1108</v>
      </c>
      <c r="C66" t="s">
        <v>7702</v>
      </c>
      <c r="D66" s="216" t="s">
        <v>7836</v>
      </c>
      <c r="E66" t="s">
        <v>7444</v>
      </c>
      <c r="F66" t="s">
        <v>7445</v>
      </c>
      <c r="H66" s="9" t="str">
        <f t="shared" si="0"/>
        <v/>
      </c>
    </row>
    <row r="67" spans="1:8" ht="30" x14ac:dyDescent="0.25">
      <c r="A67" t="s">
        <v>7688</v>
      </c>
      <c r="B67">
        <v>1109</v>
      </c>
      <c r="C67" t="s">
        <v>7703</v>
      </c>
      <c r="D67" s="216" t="s">
        <v>7837</v>
      </c>
      <c r="E67" t="s">
        <v>7446</v>
      </c>
      <c r="F67" t="s">
        <v>7447</v>
      </c>
      <c r="H67" s="9" t="str">
        <f t="shared" si="0"/>
        <v/>
      </c>
    </row>
    <row r="68" spans="1:8" x14ac:dyDescent="0.25">
      <c r="A68" t="s">
        <v>7688</v>
      </c>
      <c r="B68">
        <v>1133001</v>
      </c>
      <c r="C68" t="s">
        <v>7704</v>
      </c>
      <c r="D68" t="s">
        <v>7838</v>
      </c>
      <c r="E68" t="s">
        <v>7448</v>
      </c>
      <c r="F68" t="s">
        <v>7449</v>
      </c>
      <c r="H68" s="9" t="str">
        <f t="shared" ref="H68:H131" si="1">IF(A68="N",H67,IF(H67="",B68,H67&amp;";"&amp;B68))</f>
        <v/>
      </c>
    </row>
    <row r="69" spans="1:8" x14ac:dyDescent="0.25">
      <c r="A69" t="s">
        <v>7688</v>
      </c>
      <c r="B69">
        <v>1133002</v>
      </c>
      <c r="C69" t="s">
        <v>7705</v>
      </c>
      <c r="D69" t="s">
        <v>7839</v>
      </c>
      <c r="E69" t="s">
        <v>7450</v>
      </c>
      <c r="F69" t="s">
        <v>7451</v>
      </c>
      <c r="H69" s="9" t="str">
        <f t="shared" si="1"/>
        <v/>
      </c>
    </row>
    <row r="70" spans="1:8" x14ac:dyDescent="0.25">
      <c r="A70" t="s">
        <v>7688</v>
      </c>
      <c r="B70">
        <v>1133003</v>
      </c>
      <c r="C70" t="s">
        <v>7706</v>
      </c>
      <c r="D70" t="s">
        <v>7840</v>
      </c>
      <c r="E70" t="s">
        <v>7452</v>
      </c>
      <c r="F70" t="s">
        <v>7453</v>
      </c>
      <c r="H70" s="9" t="str">
        <f t="shared" si="1"/>
        <v/>
      </c>
    </row>
    <row r="71" spans="1:8" x14ac:dyDescent="0.25">
      <c r="A71" t="s">
        <v>7688</v>
      </c>
      <c r="B71">
        <v>1133004</v>
      </c>
      <c r="C71" t="s">
        <v>7707</v>
      </c>
      <c r="D71" t="s">
        <v>7841</v>
      </c>
      <c r="E71" t="s">
        <v>7454</v>
      </c>
      <c r="F71" t="s">
        <v>7455</v>
      </c>
      <c r="H71" s="9" t="str">
        <f t="shared" si="1"/>
        <v/>
      </c>
    </row>
    <row r="72" spans="1:8" x14ac:dyDescent="0.25">
      <c r="A72" t="s">
        <v>7688</v>
      </c>
      <c r="B72">
        <v>1133005</v>
      </c>
      <c r="C72" t="s">
        <v>7708</v>
      </c>
      <c r="D72" t="s">
        <v>7842</v>
      </c>
      <c r="E72" t="s">
        <v>7456</v>
      </c>
      <c r="F72" t="s">
        <v>7457</v>
      </c>
      <c r="H72" s="9" t="str">
        <f t="shared" si="1"/>
        <v/>
      </c>
    </row>
    <row r="73" spans="1:8" x14ac:dyDescent="0.25">
      <c r="A73" t="s">
        <v>7688</v>
      </c>
      <c r="B73">
        <v>1133006</v>
      </c>
      <c r="C73" t="s">
        <v>7709</v>
      </c>
      <c r="D73" t="s">
        <v>7843</v>
      </c>
      <c r="E73" t="s">
        <v>7458</v>
      </c>
      <c r="F73" t="s">
        <v>7459</v>
      </c>
      <c r="H73" s="9" t="str">
        <f t="shared" si="1"/>
        <v/>
      </c>
    </row>
    <row r="74" spans="1:8" x14ac:dyDescent="0.25">
      <c r="A74" t="s">
        <v>7688</v>
      </c>
      <c r="B74">
        <v>1133007</v>
      </c>
      <c r="C74" t="s">
        <v>7710</v>
      </c>
      <c r="D74" t="s">
        <v>7844</v>
      </c>
      <c r="E74" t="s">
        <v>7460</v>
      </c>
      <c r="F74" t="s">
        <v>7461</v>
      </c>
      <c r="H74" s="9" t="str">
        <f t="shared" si="1"/>
        <v/>
      </c>
    </row>
    <row r="75" spans="1:8" x14ac:dyDescent="0.25">
      <c r="A75" t="s">
        <v>7688</v>
      </c>
      <c r="B75">
        <v>1133008</v>
      </c>
      <c r="C75" t="s">
        <v>7711</v>
      </c>
      <c r="D75" t="s">
        <v>7845</v>
      </c>
      <c r="E75" t="s">
        <v>7462</v>
      </c>
      <c r="F75" t="s">
        <v>7463</v>
      </c>
      <c r="H75" s="9" t="str">
        <f t="shared" si="1"/>
        <v/>
      </c>
    </row>
    <row r="76" spans="1:8" x14ac:dyDescent="0.25">
      <c r="A76" t="s">
        <v>7688</v>
      </c>
      <c r="B76">
        <v>1133009</v>
      </c>
      <c r="C76" t="s">
        <v>7712</v>
      </c>
      <c r="D76" t="s">
        <v>7846</v>
      </c>
      <c r="E76" t="s">
        <v>7464</v>
      </c>
      <c r="F76" t="s">
        <v>7465</v>
      </c>
      <c r="H76" s="9" t="str">
        <f t="shared" si="1"/>
        <v/>
      </c>
    </row>
    <row r="77" spans="1:8" x14ac:dyDescent="0.25">
      <c r="A77" t="s">
        <v>7688</v>
      </c>
      <c r="B77">
        <v>1133010</v>
      </c>
      <c r="C77" t="s">
        <v>7713</v>
      </c>
      <c r="D77" t="s">
        <v>7847</v>
      </c>
      <c r="E77" t="s">
        <v>7466</v>
      </c>
      <c r="F77" t="s">
        <v>7467</v>
      </c>
      <c r="H77" s="9" t="str">
        <f t="shared" si="1"/>
        <v/>
      </c>
    </row>
    <row r="78" spans="1:8" x14ac:dyDescent="0.25">
      <c r="A78" t="s">
        <v>7688</v>
      </c>
      <c r="B78">
        <v>1133011</v>
      </c>
      <c r="C78" t="s">
        <v>7714</v>
      </c>
      <c r="D78" t="s">
        <v>7848</v>
      </c>
      <c r="E78" t="s">
        <v>7468</v>
      </c>
      <c r="F78" t="s">
        <v>7469</v>
      </c>
      <c r="H78" s="9" t="str">
        <f t="shared" si="1"/>
        <v/>
      </c>
    </row>
    <row r="79" spans="1:8" x14ac:dyDescent="0.25">
      <c r="A79" t="s">
        <v>7688</v>
      </c>
      <c r="B79">
        <v>1133012</v>
      </c>
      <c r="C79" t="s">
        <v>7715</v>
      </c>
      <c r="D79" t="s">
        <v>7849</v>
      </c>
      <c r="E79" t="s">
        <v>7470</v>
      </c>
      <c r="F79" t="s">
        <v>7471</v>
      </c>
      <c r="H79" s="9" t="str">
        <f t="shared" si="1"/>
        <v/>
      </c>
    </row>
    <row r="80" spans="1:8" x14ac:dyDescent="0.25">
      <c r="A80" t="s">
        <v>7688</v>
      </c>
      <c r="B80">
        <v>1133013</v>
      </c>
      <c r="C80" t="s">
        <v>7716</v>
      </c>
      <c r="D80" t="s">
        <v>7850</v>
      </c>
      <c r="E80" t="s">
        <v>7472</v>
      </c>
      <c r="F80" t="s">
        <v>7473</v>
      </c>
      <c r="H80" s="9" t="str">
        <f t="shared" si="1"/>
        <v/>
      </c>
    </row>
    <row r="81" spans="1:8" x14ac:dyDescent="0.25">
      <c r="A81" t="s">
        <v>7688</v>
      </c>
      <c r="B81">
        <v>1133014</v>
      </c>
      <c r="C81" t="s">
        <v>7717</v>
      </c>
      <c r="D81" t="s">
        <v>7851</v>
      </c>
      <c r="E81" t="s">
        <v>7474</v>
      </c>
      <c r="F81" t="s">
        <v>7475</v>
      </c>
      <c r="H81" s="9" t="str">
        <f t="shared" si="1"/>
        <v/>
      </c>
    </row>
    <row r="82" spans="1:8" x14ac:dyDescent="0.25">
      <c r="A82" t="s">
        <v>7688</v>
      </c>
      <c r="B82">
        <v>1133015</v>
      </c>
      <c r="C82" t="s">
        <v>7718</v>
      </c>
      <c r="D82" t="s">
        <v>7852</v>
      </c>
      <c r="E82" t="s">
        <v>7476</v>
      </c>
      <c r="F82" t="s">
        <v>7477</v>
      </c>
      <c r="H82" s="9" t="str">
        <f t="shared" si="1"/>
        <v/>
      </c>
    </row>
    <row r="83" spans="1:8" x14ac:dyDescent="0.25">
      <c r="A83" t="s">
        <v>7688</v>
      </c>
      <c r="B83">
        <v>1133016</v>
      </c>
      <c r="C83" t="s">
        <v>7719</v>
      </c>
      <c r="D83" t="s">
        <v>7853</v>
      </c>
      <c r="E83" t="s">
        <v>7478</v>
      </c>
      <c r="F83" t="s">
        <v>7479</v>
      </c>
      <c r="H83" s="9" t="str">
        <f t="shared" si="1"/>
        <v/>
      </c>
    </row>
    <row r="84" spans="1:8" x14ac:dyDescent="0.25">
      <c r="A84" t="s">
        <v>7688</v>
      </c>
      <c r="B84">
        <v>1133017</v>
      </c>
      <c r="C84" t="s">
        <v>7720</v>
      </c>
      <c r="D84" t="s">
        <v>7854</v>
      </c>
      <c r="E84" t="s">
        <v>7480</v>
      </c>
      <c r="F84" t="s">
        <v>7481</v>
      </c>
      <c r="H84" s="9" t="str">
        <f t="shared" si="1"/>
        <v/>
      </c>
    </row>
    <row r="85" spans="1:8" x14ac:dyDescent="0.25">
      <c r="A85" t="s">
        <v>7688</v>
      </c>
      <c r="B85">
        <v>1133018</v>
      </c>
      <c r="C85" t="s">
        <v>7721</v>
      </c>
      <c r="D85" t="s">
        <v>7855</v>
      </c>
      <c r="E85" t="s">
        <v>7482</v>
      </c>
      <c r="F85" t="s">
        <v>7483</v>
      </c>
      <c r="H85" s="9" t="str">
        <f t="shared" si="1"/>
        <v/>
      </c>
    </row>
    <row r="86" spans="1:8" x14ac:dyDescent="0.25">
      <c r="A86" t="s">
        <v>7688</v>
      </c>
      <c r="B86">
        <v>1133019</v>
      </c>
      <c r="C86" t="s">
        <v>7722</v>
      </c>
      <c r="D86" t="s">
        <v>7856</v>
      </c>
      <c r="E86" t="s">
        <v>7484</v>
      </c>
      <c r="F86" t="s">
        <v>7485</v>
      </c>
      <c r="H86" s="9" t="str">
        <f t="shared" si="1"/>
        <v/>
      </c>
    </row>
    <row r="87" spans="1:8" x14ac:dyDescent="0.25">
      <c r="A87" t="s">
        <v>7688</v>
      </c>
      <c r="B87">
        <v>1133020</v>
      </c>
      <c r="C87" t="s">
        <v>7723</v>
      </c>
      <c r="D87" t="s">
        <v>7857</v>
      </c>
      <c r="E87" t="s">
        <v>7486</v>
      </c>
      <c r="F87" t="s">
        <v>7487</v>
      </c>
      <c r="H87" s="9" t="str">
        <f t="shared" si="1"/>
        <v/>
      </c>
    </row>
    <row r="88" spans="1:8" x14ac:dyDescent="0.25">
      <c r="A88" t="s">
        <v>7688</v>
      </c>
      <c r="B88">
        <v>1133021</v>
      </c>
      <c r="C88" t="s">
        <v>7724</v>
      </c>
      <c r="D88" t="s">
        <v>7858</v>
      </c>
      <c r="E88" t="s">
        <v>7488</v>
      </c>
      <c r="F88" t="s">
        <v>7489</v>
      </c>
      <c r="H88" s="9" t="str">
        <f t="shared" si="1"/>
        <v/>
      </c>
    </row>
    <row r="89" spans="1:8" x14ac:dyDescent="0.25">
      <c r="A89" t="s">
        <v>7688</v>
      </c>
      <c r="B89">
        <v>1133022</v>
      </c>
      <c r="C89" t="s">
        <v>7725</v>
      </c>
      <c r="D89" t="s">
        <v>7859</v>
      </c>
      <c r="E89" t="s">
        <v>7490</v>
      </c>
      <c r="F89" t="s">
        <v>7491</v>
      </c>
      <c r="H89" s="9" t="str">
        <f t="shared" si="1"/>
        <v/>
      </c>
    </row>
    <row r="90" spans="1:8" x14ac:dyDescent="0.25">
      <c r="A90" t="s">
        <v>7688</v>
      </c>
      <c r="B90">
        <v>1133023</v>
      </c>
      <c r="C90" t="s">
        <v>7726</v>
      </c>
      <c r="D90" t="s">
        <v>7860</v>
      </c>
      <c r="E90" t="s">
        <v>7492</v>
      </c>
      <c r="F90" t="s">
        <v>7493</v>
      </c>
      <c r="H90" s="9" t="str">
        <f t="shared" si="1"/>
        <v/>
      </c>
    </row>
    <row r="91" spans="1:8" x14ac:dyDescent="0.25">
      <c r="A91" t="s">
        <v>7688</v>
      </c>
      <c r="B91">
        <v>1133024</v>
      </c>
      <c r="C91" t="s">
        <v>7727</v>
      </c>
      <c r="D91" t="s">
        <v>7861</v>
      </c>
      <c r="E91" t="s">
        <v>7494</v>
      </c>
      <c r="F91" t="s">
        <v>7495</v>
      </c>
      <c r="H91" s="9" t="str">
        <f t="shared" si="1"/>
        <v/>
      </c>
    </row>
    <row r="92" spans="1:8" x14ac:dyDescent="0.25">
      <c r="A92" t="s">
        <v>7688</v>
      </c>
      <c r="B92">
        <v>1133025</v>
      </c>
      <c r="C92" t="s">
        <v>7728</v>
      </c>
      <c r="D92" t="s">
        <v>7862</v>
      </c>
      <c r="E92" t="s">
        <v>7496</v>
      </c>
      <c r="F92" t="s">
        <v>7497</v>
      </c>
      <c r="H92" s="9" t="str">
        <f t="shared" si="1"/>
        <v/>
      </c>
    </row>
    <row r="93" spans="1:8" x14ac:dyDescent="0.25">
      <c r="A93" t="s">
        <v>7688</v>
      </c>
      <c r="B93">
        <v>1133026</v>
      </c>
      <c r="C93" t="s">
        <v>7729</v>
      </c>
      <c r="D93" t="s">
        <v>7863</v>
      </c>
      <c r="E93" t="s">
        <v>7498</v>
      </c>
      <c r="F93" t="s">
        <v>7499</v>
      </c>
      <c r="H93" s="9" t="str">
        <f t="shared" si="1"/>
        <v/>
      </c>
    </row>
    <row r="94" spans="1:8" x14ac:dyDescent="0.25">
      <c r="A94" t="s">
        <v>7688</v>
      </c>
      <c r="B94">
        <v>1133027</v>
      </c>
      <c r="C94" t="s">
        <v>7730</v>
      </c>
      <c r="D94" t="s">
        <v>7864</v>
      </c>
      <c r="E94" t="s">
        <v>7500</v>
      </c>
      <c r="F94" t="s">
        <v>7501</v>
      </c>
      <c r="H94" s="9" t="str">
        <f t="shared" si="1"/>
        <v/>
      </c>
    </row>
    <row r="95" spans="1:8" x14ac:dyDescent="0.25">
      <c r="A95" t="s">
        <v>7688</v>
      </c>
      <c r="B95">
        <v>1133028</v>
      </c>
      <c r="C95" t="s">
        <v>7731</v>
      </c>
      <c r="D95" t="s">
        <v>7865</v>
      </c>
      <c r="E95" t="s">
        <v>7502</v>
      </c>
      <c r="F95" t="s">
        <v>7503</v>
      </c>
      <c r="H95" s="9" t="str">
        <f t="shared" si="1"/>
        <v/>
      </c>
    </row>
    <row r="96" spans="1:8" x14ac:dyDescent="0.25">
      <c r="A96" t="s">
        <v>7688</v>
      </c>
      <c r="B96">
        <v>1133029</v>
      </c>
      <c r="C96" t="s">
        <v>7732</v>
      </c>
      <c r="D96" t="s">
        <v>7866</v>
      </c>
      <c r="E96" t="s">
        <v>7504</v>
      </c>
      <c r="F96" t="s">
        <v>7505</v>
      </c>
      <c r="H96" s="9" t="str">
        <f t="shared" si="1"/>
        <v/>
      </c>
    </row>
    <row r="97" spans="1:8" x14ac:dyDescent="0.25">
      <c r="A97" t="s">
        <v>7688</v>
      </c>
      <c r="B97">
        <v>1133030</v>
      </c>
      <c r="C97" t="s">
        <v>7733</v>
      </c>
      <c r="D97" t="s">
        <v>7867</v>
      </c>
      <c r="E97" t="s">
        <v>7506</v>
      </c>
      <c r="F97" t="s">
        <v>7507</v>
      </c>
      <c r="H97" s="9" t="str">
        <f t="shared" si="1"/>
        <v/>
      </c>
    </row>
    <row r="98" spans="1:8" x14ac:dyDescent="0.25">
      <c r="A98" t="s">
        <v>7688</v>
      </c>
      <c r="B98">
        <v>1133031</v>
      </c>
      <c r="C98" t="s">
        <v>7734</v>
      </c>
      <c r="D98" t="s">
        <v>7868</v>
      </c>
      <c r="E98" t="s">
        <v>7508</v>
      </c>
      <c r="F98" t="s">
        <v>7509</v>
      </c>
      <c r="H98" s="9" t="str">
        <f t="shared" si="1"/>
        <v/>
      </c>
    </row>
    <row r="99" spans="1:8" x14ac:dyDescent="0.25">
      <c r="A99" t="s">
        <v>7688</v>
      </c>
      <c r="B99">
        <v>1133032</v>
      </c>
      <c r="C99" t="s">
        <v>7735</v>
      </c>
      <c r="D99" t="s">
        <v>7869</v>
      </c>
      <c r="E99" t="s">
        <v>7510</v>
      </c>
      <c r="F99" t="s">
        <v>7511</v>
      </c>
      <c r="H99" s="9" t="str">
        <f t="shared" si="1"/>
        <v/>
      </c>
    </row>
    <row r="100" spans="1:8" x14ac:dyDescent="0.25">
      <c r="A100" t="s">
        <v>7688</v>
      </c>
      <c r="B100">
        <v>1133033</v>
      </c>
      <c r="C100" t="s">
        <v>7736</v>
      </c>
      <c r="D100" t="s">
        <v>7870</v>
      </c>
      <c r="E100" t="s">
        <v>7512</v>
      </c>
      <c r="F100" t="s">
        <v>7513</v>
      </c>
      <c r="H100" s="9" t="str">
        <f t="shared" si="1"/>
        <v/>
      </c>
    </row>
    <row r="101" spans="1:8" x14ac:dyDescent="0.25">
      <c r="A101" t="s">
        <v>7688</v>
      </c>
      <c r="B101">
        <v>1133034</v>
      </c>
      <c r="C101" t="s">
        <v>7737</v>
      </c>
      <c r="D101" t="s">
        <v>7871</v>
      </c>
      <c r="E101" t="s">
        <v>7514</v>
      </c>
      <c r="F101" t="s">
        <v>7515</v>
      </c>
      <c r="H101" s="9" t="str">
        <f t="shared" si="1"/>
        <v/>
      </c>
    </row>
    <row r="102" spans="1:8" x14ac:dyDescent="0.25">
      <c r="A102" t="s">
        <v>7688</v>
      </c>
      <c r="B102">
        <v>1133035</v>
      </c>
      <c r="C102" t="s">
        <v>7738</v>
      </c>
      <c r="D102" t="s">
        <v>7872</v>
      </c>
      <c r="E102" t="s">
        <v>7516</v>
      </c>
      <c r="F102" t="s">
        <v>7517</v>
      </c>
      <c r="H102" s="9" t="str">
        <f t="shared" si="1"/>
        <v/>
      </c>
    </row>
    <row r="103" spans="1:8" x14ac:dyDescent="0.25">
      <c r="A103" t="s">
        <v>7688</v>
      </c>
      <c r="B103">
        <v>1133036</v>
      </c>
      <c r="C103" t="s">
        <v>7739</v>
      </c>
      <c r="D103" t="s">
        <v>7873</v>
      </c>
      <c r="E103" t="s">
        <v>7518</v>
      </c>
      <c r="F103" t="s">
        <v>7519</v>
      </c>
      <c r="H103" s="9" t="str">
        <f t="shared" si="1"/>
        <v/>
      </c>
    </row>
    <row r="104" spans="1:8" x14ac:dyDescent="0.25">
      <c r="A104" t="s">
        <v>7688</v>
      </c>
      <c r="B104">
        <v>1133037</v>
      </c>
      <c r="C104" t="s">
        <v>7740</v>
      </c>
      <c r="D104" t="s">
        <v>7874</v>
      </c>
      <c r="E104" t="s">
        <v>7520</v>
      </c>
      <c r="F104" t="s">
        <v>7521</v>
      </c>
      <c r="H104" s="9" t="str">
        <f t="shared" si="1"/>
        <v/>
      </c>
    </row>
    <row r="105" spans="1:8" x14ac:dyDescent="0.25">
      <c r="A105" t="s">
        <v>7688</v>
      </c>
      <c r="B105">
        <v>1133038</v>
      </c>
      <c r="C105" t="s">
        <v>7741</v>
      </c>
      <c r="D105" t="s">
        <v>7875</v>
      </c>
      <c r="E105" t="s">
        <v>7522</v>
      </c>
      <c r="F105" t="s">
        <v>7523</v>
      </c>
      <c r="H105" s="9" t="str">
        <f t="shared" si="1"/>
        <v/>
      </c>
    </row>
    <row r="106" spans="1:8" x14ac:dyDescent="0.25">
      <c r="A106" t="s">
        <v>7688</v>
      </c>
      <c r="B106">
        <v>1133039</v>
      </c>
      <c r="C106" t="s">
        <v>7742</v>
      </c>
      <c r="D106" t="s">
        <v>7876</v>
      </c>
      <c r="E106" t="s">
        <v>7524</v>
      </c>
      <c r="F106" t="s">
        <v>7525</v>
      </c>
      <c r="H106" s="9" t="str">
        <f t="shared" si="1"/>
        <v/>
      </c>
    </row>
    <row r="107" spans="1:8" x14ac:dyDescent="0.25">
      <c r="A107" t="s">
        <v>7688</v>
      </c>
      <c r="B107">
        <v>1133040</v>
      </c>
      <c r="C107" t="s">
        <v>7743</v>
      </c>
      <c r="D107" t="s">
        <v>7877</v>
      </c>
      <c r="E107" t="s">
        <v>7526</v>
      </c>
      <c r="F107" t="s">
        <v>7527</v>
      </c>
      <c r="H107" s="9" t="str">
        <f t="shared" si="1"/>
        <v/>
      </c>
    </row>
    <row r="108" spans="1:8" x14ac:dyDescent="0.25">
      <c r="A108" t="s">
        <v>7688</v>
      </c>
      <c r="B108">
        <v>1133041</v>
      </c>
      <c r="C108" t="s">
        <v>7744</v>
      </c>
      <c r="D108" t="s">
        <v>7878</v>
      </c>
      <c r="E108" t="s">
        <v>7528</v>
      </c>
      <c r="F108" t="s">
        <v>7529</v>
      </c>
      <c r="H108" s="9" t="str">
        <f t="shared" si="1"/>
        <v/>
      </c>
    </row>
    <row r="109" spans="1:8" x14ac:dyDescent="0.25">
      <c r="A109" t="s">
        <v>7688</v>
      </c>
      <c r="B109">
        <v>1133042</v>
      </c>
      <c r="C109" t="s">
        <v>7745</v>
      </c>
      <c r="D109" t="s">
        <v>7879</v>
      </c>
      <c r="E109" t="s">
        <v>7530</v>
      </c>
      <c r="F109" t="s">
        <v>7531</v>
      </c>
      <c r="H109" s="9" t="str">
        <f t="shared" si="1"/>
        <v/>
      </c>
    </row>
    <row r="110" spans="1:8" x14ac:dyDescent="0.25">
      <c r="A110" t="s">
        <v>7688</v>
      </c>
      <c r="B110">
        <v>1133043</v>
      </c>
      <c r="C110" t="s">
        <v>7746</v>
      </c>
      <c r="D110" t="s">
        <v>7880</v>
      </c>
      <c r="E110" t="s">
        <v>7532</v>
      </c>
      <c r="F110" t="s">
        <v>7533</v>
      </c>
      <c r="H110" s="9" t="str">
        <f t="shared" si="1"/>
        <v/>
      </c>
    </row>
    <row r="111" spans="1:8" x14ac:dyDescent="0.25">
      <c r="A111" t="s">
        <v>7688</v>
      </c>
      <c r="B111">
        <v>1133044</v>
      </c>
      <c r="C111" t="s">
        <v>7747</v>
      </c>
      <c r="D111" t="s">
        <v>7881</v>
      </c>
      <c r="E111" t="s">
        <v>7534</v>
      </c>
      <c r="F111" t="s">
        <v>7535</v>
      </c>
      <c r="H111" s="9" t="str">
        <f t="shared" si="1"/>
        <v/>
      </c>
    </row>
    <row r="112" spans="1:8" x14ac:dyDescent="0.25">
      <c r="A112" t="s">
        <v>7688</v>
      </c>
      <c r="B112">
        <v>1133045</v>
      </c>
      <c r="C112" t="s">
        <v>7748</v>
      </c>
      <c r="D112" t="s">
        <v>7882</v>
      </c>
      <c r="E112" t="s">
        <v>7536</v>
      </c>
      <c r="F112" t="s">
        <v>7537</v>
      </c>
      <c r="H112" s="9" t="str">
        <f t="shared" si="1"/>
        <v/>
      </c>
    </row>
    <row r="113" spans="1:8" x14ac:dyDescent="0.25">
      <c r="A113" t="s">
        <v>7688</v>
      </c>
      <c r="B113">
        <v>1133046</v>
      </c>
      <c r="C113" t="s">
        <v>7749</v>
      </c>
      <c r="D113" t="s">
        <v>7883</v>
      </c>
      <c r="E113" t="s">
        <v>7538</v>
      </c>
      <c r="F113" t="s">
        <v>7539</v>
      </c>
      <c r="H113" s="9" t="str">
        <f t="shared" si="1"/>
        <v/>
      </c>
    </row>
    <row r="114" spans="1:8" x14ac:dyDescent="0.25">
      <c r="A114" t="s">
        <v>7688</v>
      </c>
      <c r="B114">
        <v>1133047</v>
      </c>
      <c r="C114" t="s">
        <v>7750</v>
      </c>
      <c r="D114" t="s">
        <v>7884</v>
      </c>
      <c r="E114" t="s">
        <v>7540</v>
      </c>
      <c r="F114" t="s">
        <v>7541</v>
      </c>
      <c r="H114" s="9" t="str">
        <f t="shared" si="1"/>
        <v/>
      </c>
    </row>
    <row r="115" spans="1:8" x14ac:dyDescent="0.25">
      <c r="A115" t="s">
        <v>7688</v>
      </c>
      <c r="B115">
        <v>1133048</v>
      </c>
      <c r="C115" t="s">
        <v>7751</v>
      </c>
      <c r="D115" t="s">
        <v>7885</v>
      </c>
      <c r="E115" t="s">
        <v>7542</v>
      </c>
      <c r="F115" t="s">
        <v>7543</v>
      </c>
      <c r="H115" s="9" t="str">
        <f t="shared" si="1"/>
        <v/>
      </c>
    </row>
    <row r="116" spans="1:8" x14ac:dyDescent="0.25">
      <c r="A116" t="s">
        <v>7688</v>
      </c>
      <c r="B116">
        <v>1133049</v>
      </c>
      <c r="C116" t="s">
        <v>7752</v>
      </c>
      <c r="D116" t="s">
        <v>7886</v>
      </c>
      <c r="E116" t="s">
        <v>7544</v>
      </c>
      <c r="F116" t="s">
        <v>7545</v>
      </c>
      <c r="H116" s="9" t="str">
        <f t="shared" si="1"/>
        <v/>
      </c>
    </row>
    <row r="117" spans="1:8" x14ac:dyDescent="0.25">
      <c r="A117" t="s">
        <v>7688</v>
      </c>
      <c r="B117">
        <v>1133050</v>
      </c>
      <c r="C117" t="s">
        <v>7753</v>
      </c>
      <c r="D117" t="s">
        <v>7887</v>
      </c>
      <c r="E117" t="s">
        <v>7546</v>
      </c>
      <c r="F117" t="s">
        <v>7547</v>
      </c>
      <c r="H117" s="9" t="str">
        <f t="shared" si="1"/>
        <v/>
      </c>
    </row>
    <row r="118" spans="1:8" x14ac:dyDescent="0.25">
      <c r="A118" t="s">
        <v>7688</v>
      </c>
      <c r="B118">
        <v>1133051</v>
      </c>
      <c r="C118" t="s">
        <v>7754</v>
      </c>
      <c r="D118" t="s">
        <v>7888</v>
      </c>
      <c r="E118" t="s">
        <v>7548</v>
      </c>
      <c r="F118" t="s">
        <v>7549</v>
      </c>
      <c r="H118" s="9" t="str">
        <f t="shared" si="1"/>
        <v/>
      </c>
    </row>
    <row r="119" spans="1:8" x14ac:dyDescent="0.25">
      <c r="A119" t="s">
        <v>7688</v>
      </c>
      <c r="B119">
        <v>1133052</v>
      </c>
      <c r="C119" t="s">
        <v>7755</v>
      </c>
      <c r="D119" t="s">
        <v>7889</v>
      </c>
      <c r="E119" t="s">
        <v>7550</v>
      </c>
      <c r="F119" t="s">
        <v>7551</v>
      </c>
      <c r="H119" s="9" t="str">
        <f t="shared" si="1"/>
        <v/>
      </c>
    </row>
    <row r="120" spans="1:8" x14ac:dyDescent="0.25">
      <c r="A120" t="s">
        <v>7688</v>
      </c>
      <c r="B120">
        <v>1133053</v>
      </c>
      <c r="C120" t="s">
        <v>7756</v>
      </c>
      <c r="D120" t="s">
        <v>7890</v>
      </c>
      <c r="E120" t="s">
        <v>7552</v>
      </c>
      <c r="F120" t="s">
        <v>7553</v>
      </c>
      <c r="H120" s="9" t="str">
        <f t="shared" si="1"/>
        <v/>
      </c>
    </row>
    <row r="121" spans="1:8" x14ac:dyDescent="0.25">
      <c r="A121" t="s">
        <v>7688</v>
      </c>
      <c r="B121">
        <v>1133054</v>
      </c>
      <c r="C121" t="s">
        <v>7757</v>
      </c>
      <c r="D121" t="s">
        <v>7891</v>
      </c>
      <c r="E121" t="s">
        <v>7554</v>
      </c>
      <c r="F121" t="s">
        <v>7555</v>
      </c>
      <c r="H121" s="9" t="str">
        <f t="shared" si="1"/>
        <v/>
      </c>
    </row>
    <row r="122" spans="1:8" x14ac:dyDescent="0.25">
      <c r="A122" t="s">
        <v>7688</v>
      </c>
      <c r="B122">
        <v>1133055</v>
      </c>
      <c r="C122" t="s">
        <v>7758</v>
      </c>
      <c r="D122" t="s">
        <v>7892</v>
      </c>
      <c r="E122" t="s">
        <v>7556</v>
      </c>
      <c r="F122" t="s">
        <v>7557</v>
      </c>
      <c r="H122" s="9" t="str">
        <f t="shared" si="1"/>
        <v/>
      </c>
    </row>
    <row r="123" spans="1:8" x14ac:dyDescent="0.25">
      <c r="A123" t="s">
        <v>7688</v>
      </c>
      <c r="B123">
        <v>1133056</v>
      </c>
      <c r="C123" t="s">
        <v>7759</v>
      </c>
      <c r="D123" t="s">
        <v>7893</v>
      </c>
      <c r="E123" t="s">
        <v>7558</v>
      </c>
      <c r="F123" t="s">
        <v>7559</v>
      </c>
      <c r="H123" s="9" t="str">
        <f t="shared" si="1"/>
        <v/>
      </c>
    </row>
    <row r="124" spans="1:8" x14ac:dyDescent="0.25">
      <c r="A124" t="s">
        <v>7688</v>
      </c>
      <c r="B124">
        <v>1133057</v>
      </c>
      <c r="C124" t="s">
        <v>7760</v>
      </c>
      <c r="D124" t="s">
        <v>7894</v>
      </c>
      <c r="E124" t="s">
        <v>7560</v>
      </c>
      <c r="F124" t="s">
        <v>7561</v>
      </c>
      <c r="H124" s="9" t="str">
        <f t="shared" si="1"/>
        <v/>
      </c>
    </row>
    <row r="125" spans="1:8" x14ac:dyDescent="0.25">
      <c r="A125" t="s">
        <v>7688</v>
      </c>
      <c r="B125">
        <v>1133058</v>
      </c>
      <c r="C125" t="s">
        <v>7761</v>
      </c>
      <c r="D125" t="s">
        <v>7895</v>
      </c>
      <c r="E125" t="s">
        <v>7562</v>
      </c>
      <c r="F125" t="s">
        <v>7563</v>
      </c>
      <c r="H125" s="9" t="str">
        <f t="shared" si="1"/>
        <v/>
      </c>
    </row>
    <row r="126" spans="1:8" x14ac:dyDescent="0.25">
      <c r="A126" t="s">
        <v>7688</v>
      </c>
      <c r="B126">
        <v>1133059</v>
      </c>
      <c r="C126" t="s">
        <v>7762</v>
      </c>
      <c r="D126" t="s">
        <v>7896</v>
      </c>
      <c r="E126" t="s">
        <v>7564</v>
      </c>
      <c r="F126" t="s">
        <v>7565</v>
      </c>
      <c r="H126" s="9" t="str">
        <f t="shared" si="1"/>
        <v/>
      </c>
    </row>
    <row r="127" spans="1:8" x14ac:dyDescent="0.25">
      <c r="A127" t="s">
        <v>7688</v>
      </c>
      <c r="B127">
        <v>1133060</v>
      </c>
      <c r="C127" t="s">
        <v>7763</v>
      </c>
      <c r="D127" t="s">
        <v>7897</v>
      </c>
      <c r="E127" t="s">
        <v>7566</v>
      </c>
      <c r="F127" t="s">
        <v>7567</v>
      </c>
      <c r="H127" s="9" t="str">
        <f t="shared" si="1"/>
        <v/>
      </c>
    </row>
    <row r="128" spans="1:8" x14ac:dyDescent="0.25">
      <c r="A128" t="s">
        <v>7688</v>
      </c>
      <c r="B128">
        <v>1133061</v>
      </c>
      <c r="C128" t="s">
        <v>7764</v>
      </c>
      <c r="D128" t="s">
        <v>7898</v>
      </c>
      <c r="E128" t="s">
        <v>7568</v>
      </c>
      <c r="F128" t="s">
        <v>7569</v>
      </c>
      <c r="H128" s="9" t="str">
        <f t="shared" si="1"/>
        <v/>
      </c>
    </row>
    <row r="129" spans="1:8" x14ac:dyDescent="0.25">
      <c r="A129" t="s">
        <v>7688</v>
      </c>
      <c r="B129">
        <v>1133062</v>
      </c>
      <c r="C129" t="s">
        <v>7765</v>
      </c>
      <c r="D129" t="s">
        <v>7899</v>
      </c>
      <c r="E129" t="s">
        <v>7570</v>
      </c>
      <c r="F129" t="s">
        <v>7571</v>
      </c>
      <c r="H129" s="9" t="str">
        <f t="shared" si="1"/>
        <v/>
      </c>
    </row>
    <row r="130" spans="1:8" x14ac:dyDescent="0.25">
      <c r="A130" t="s">
        <v>7688</v>
      </c>
      <c r="B130">
        <v>1133063</v>
      </c>
      <c r="C130" t="s">
        <v>7766</v>
      </c>
      <c r="D130" t="s">
        <v>7900</v>
      </c>
      <c r="E130" t="s">
        <v>7572</v>
      </c>
      <c r="F130" t="s">
        <v>7573</v>
      </c>
      <c r="H130" s="9" t="str">
        <f t="shared" si="1"/>
        <v/>
      </c>
    </row>
    <row r="131" spans="1:8" x14ac:dyDescent="0.25">
      <c r="A131" t="s">
        <v>7688</v>
      </c>
      <c r="B131">
        <v>1133064</v>
      </c>
      <c r="C131" t="s">
        <v>7767</v>
      </c>
      <c r="D131" t="s">
        <v>7901</v>
      </c>
      <c r="E131" t="s">
        <v>7574</v>
      </c>
      <c r="F131" t="s">
        <v>7575</v>
      </c>
      <c r="H131" s="9" t="str">
        <f t="shared" si="1"/>
        <v/>
      </c>
    </row>
    <row r="132" spans="1:8" x14ac:dyDescent="0.25">
      <c r="A132" t="s">
        <v>7688</v>
      </c>
      <c r="B132">
        <v>1133065</v>
      </c>
      <c r="C132" t="s">
        <v>7768</v>
      </c>
      <c r="D132" t="s">
        <v>7902</v>
      </c>
      <c r="E132" t="s">
        <v>7576</v>
      </c>
      <c r="F132" t="s">
        <v>7577</v>
      </c>
      <c r="H132" s="9" t="str">
        <f t="shared" ref="H132:H187" si="2">IF(A132="N",H131,IF(H131="",B132,H131&amp;";"&amp;B132))</f>
        <v/>
      </c>
    </row>
    <row r="133" spans="1:8" x14ac:dyDescent="0.25">
      <c r="A133" t="s">
        <v>7688</v>
      </c>
      <c r="B133">
        <v>1133066</v>
      </c>
      <c r="C133" t="s">
        <v>7769</v>
      </c>
      <c r="D133" t="s">
        <v>7903</v>
      </c>
      <c r="E133" t="s">
        <v>7578</v>
      </c>
      <c r="F133" t="s">
        <v>7579</v>
      </c>
      <c r="H133" s="9" t="str">
        <f t="shared" si="2"/>
        <v/>
      </c>
    </row>
    <row r="134" spans="1:8" x14ac:dyDescent="0.25">
      <c r="A134" t="s">
        <v>7688</v>
      </c>
      <c r="B134">
        <v>1133067</v>
      </c>
      <c r="C134" t="s">
        <v>7770</v>
      </c>
      <c r="D134" t="s">
        <v>7904</v>
      </c>
      <c r="E134" t="s">
        <v>7580</v>
      </c>
      <c r="F134" t="s">
        <v>7581</v>
      </c>
      <c r="H134" s="9" t="str">
        <f t="shared" si="2"/>
        <v/>
      </c>
    </row>
    <row r="135" spans="1:8" x14ac:dyDescent="0.25">
      <c r="A135" t="s">
        <v>7688</v>
      </c>
      <c r="B135">
        <v>1133068</v>
      </c>
      <c r="C135" t="s">
        <v>7771</v>
      </c>
      <c r="D135" t="s">
        <v>7905</v>
      </c>
      <c r="E135" t="s">
        <v>7582</v>
      </c>
      <c r="F135" t="s">
        <v>7583</v>
      </c>
      <c r="H135" s="9" t="str">
        <f t="shared" si="2"/>
        <v/>
      </c>
    </row>
    <row r="136" spans="1:8" x14ac:dyDescent="0.25">
      <c r="A136" t="s">
        <v>7688</v>
      </c>
      <c r="B136">
        <v>1133069</v>
      </c>
      <c r="C136" t="s">
        <v>7772</v>
      </c>
      <c r="D136" t="s">
        <v>7906</v>
      </c>
      <c r="E136" t="s">
        <v>7584</v>
      </c>
      <c r="F136" t="s">
        <v>7585</v>
      </c>
      <c r="H136" s="9" t="str">
        <f t="shared" si="2"/>
        <v/>
      </c>
    </row>
    <row r="137" spans="1:8" x14ac:dyDescent="0.25">
      <c r="A137" t="s">
        <v>7688</v>
      </c>
      <c r="B137">
        <v>1133070</v>
      </c>
      <c r="C137" t="s">
        <v>7773</v>
      </c>
      <c r="D137" t="s">
        <v>7907</v>
      </c>
      <c r="E137" t="s">
        <v>7586</v>
      </c>
      <c r="F137" t="s">
        <v>7587</v>
      </c>
      <c r="H137" s="9" t="str">
        <f t="shared" si="2"/>
        <v/>
      </c>
    </row>
    <row r="138" spans="1:8" x14ac:dyDescent="0.25">
      <c r="A138" t="s">
        <v>7688</v>
      </c>
      <c r="B138">
        <v>1133071</v>
      </c>
      <c r="C138" t="s">
        <v>7774</v>
      </c>
      <c r="D138" t="s">
        <v>7908</v>
      </c>
      <c r="E138" t="s">
        <v>7588</v>
      </c>
      <c r="F138" t="s">
        <v>7589</v>
      </c>
      <c r="H138" s="9" t="str">
        <f t="shared" si="2"/>
        <v/>
      </c>
    </row>
    <row r="139" spans="1:8" x14ac:dyDescent="0.25">
      <c r="A139" t="s">
        <v>7688</v>
      </c>
      <c r="B139">
        <v>1133072</v>
      </c>
      <c r="C139" t="s">
        <v>7775</v>
      </c>
      <c r="D139" t="s">
        <v>7909</v>
      </c>
      <c r="E139" t="s">
        <v>7590</v>
      </c>
      <c r="F139" t="s">
        <v>7591</v>
      </c>
      <c r="H139" s="9" t="str">
        <f t="shared" si="2"/>
        <v/>
      </c>
    </row>
    <row r="140" spans="1:8" x14ac:dyDescent="0.25">
      <c r="A140" t="s">
        <v>7688</v>
      </c>
      <c r="B140">
        <v>1133073</v>
      </c>
      <c r="C140" t="s">
        <v>7776</v>
      </c>
      <c r="D140" t="s">
        <v>7910</v>
      </c>
      <c r="E140" t="s">
        <v>7592</v>
      </c>
      <c r="F140" t="s">
        <v>7593</v>
      </c>
      <c r="H140" s="9" t="str">
        <f t="shared" si="2"/>
        <v/>
      </c>
    </row>
    <row r="141" spans="1:8" x14ac:dyDescent="0.25">
      <c r="A141" t="s">
        <v>7688</v>
      </c>
      <c r="B141">
        <v>1133074</v>
      </c>
      <c r="C141" t="s">
        <v>7777</v>
      </c>
      <c r="D141" t="s">
        <v>7911</v>
      </c>
      <c r="E141" t="s">
        <v>7594</v>
      </c>
      <c r="F141" t="s">
        <v>7595</v>
      </c>
      <c r="H141" s="9" t="str">
        <f t="shared" si="2"/>
        <v/>
      </c>
    </row>
    <row r="142" spans="1:8" x14ac:dyDescent="0.25">
      <c r="A142" t="s">
        <v>7688</v>
      </c>
      <c r="B142">
        <v>1133075</v>
      </c>
      <c r="C142" t="s">
        <v>7778</v>
      </c>
      <c r="D142" t="s">
        <v>7912</v>
      </c>
      <c r="E142" t="s">
        <v>7596</v>
      </c>
      <c r="F142" t="s">
        <v>7597</v>
      </c>
      <c r="H142" s="9" t="str">
        <f t="shared" si="2"/>
        <v/>
      </c>
    </row>
    <row r="143" spans="1:8" x14ac:dyDescent="0.25">
      <c r="A143" t="s">
        <v>7688</v>
      </c>
      <c r="B143">
        <v>1133076</v>
      </c>
      <c r="C143" t="s">
        <v>7779</v>
      </c>
      <c r="D143" t="s">
        <v>7913</v>
      </c>
      <c r="E143" t="s">
        <v>7598</v>
      </c>
      <c r="F143" t="s">
        <v>7599</v>
      </c>
      <c r="H143" s="9" t="str">
        <f t="shared" si="2"/>
        <v/>
      </c>
    </row>
    <row r="144" spans="1:8" x14ac:dyDescent="0.25">
      <c r="A144" t="s">
        <v>7688</v>
      </c>
      <c r="B144">
        <v>1133077</v>
      </c>
      <c r="C144" t="s">
        <v>7780</v>
      </c>
      <c r="D144" t="s">
        <v>7914</v>
      </c>
      <c r="E144" t="s">
        <v>7600</v>
      </c>
      <c r="F144" t="s">
        <v>7601</v>
      </c>
      <c r="H144" s="9" t="str">
        <f t="shared" si="2"/>
        <v/>
      </c>
    </row>
    <row r="145" spans="1:8" x14ac:dyDescent="0.25">
      <c r="A145" t="s">
        <v>7688</v>
      </c>
      <c r="B145">
        <v>1133078</v>
      </c>
      <c r="C145" t="s">
        <v>7781</v>
      </c>
      <c r="D145" t="s">
        <v>7915</v>
      </c>
      <c r="E145" t="s">
        <v>7602</v>
      </c>
      <c r="F145" t="s">
        <v>7603</v>
      </c>
      <c r="H145" s="9" t="str">
        <f t="shared" si="2"/>
        <v/>
      </c>
    </row>
    <row r="146" spans="1:8" x14ac:dyDescent="0.25">
      <c r="A146" t="s">
        <v>7688</v>
      </c>
      <c r="B146">
        <v>1133079</v>
      </c>
      <c r="C146" t="s">
        <v>7782</v>
      </c>
      <c r="D146" t="s">
        <v>7916</v>
      </c>
      <c r="E146" t="s">
        <v>7604</v>
      </c>
      <c r="F146" t="s">
        <v>7605</v>
      </c>
      <c r="H146" s="9" t="str">
        <f t="shared" si="2"/>
        <v/>
      </c>
    </row>
    <row r="147" spans="1:8" x14ac:dyDescent="0.25">
      <c r="A147" t="s">
        <v>7688</v>
      </c>
      <c r="B147">
        <v>1133080</v>
      </c>
      <c r="C147" t="s">
        <v>7783</v>
      </c>
      <c r="D147" t="s">
        <v>7917</v>
      </c>
      <c r="E147" t="s">
        <v>7606</v>
      </c>
      <c r="F147" t="s">
        <v>7607</v>
      </c>
      <c r="H147" s="9" t="str">
        <f t="shared" si="2"/>
        <v/>
      </c>
    </row>
    <row r="148" spans="1:8" x14ac:dyDescent="0.25">
      <c r="A148" t="s">
        <v>7688</v>
      </c>
      <c r="B148">
        <v>1133081</v>
      </c>
      <c r="C148" t="s">
        <v>7784</v>
      </c>
      <c r="D148" t="s">
        <v>7918</v>
      </c>
      <c r="E148" t="s">
        <v>7608</v>
      </c>
      <c r="F148" t="s">
        <v>7609</v>
      </c>
      <c r="H148" s="9" t="str">
        <f t="shared" si="2"/>
        <v/>
      </c>
    </row>
    <row r="149" spans="1:8" x14ac:dyDescent="0.25">
      <c r="A149" t="s">
        <v>7688</v>
      </c>
      <c r="B149">
        <v>1133082</v>
      </c>
      <c r="C149" t="s">
        <v>7785</v>
      </c>
      <c r="D149" t="s">
        <v>7919</v>
      </c>
      <c r="E149" t="s">
        <v>7610</v>
      </c>
      <c r="F149" t="s">
        <v>7611</v>
      </c>
      <c r="H149" s="9" t="str">
        <f t="shared" si="2"/>
        <v/>
      </c>
    </row>
    <row r="150" spans="1:8" x14ac:dyDescent="0.25">
      <c r="A150" t="s">
        <v>7688</v>
      </c>
      <c r="B150">
        <v>1133083</v>
      </c>
      <c r="C150" t="s">
        <v>7786</v>
      </c>
      <c r="D150" t="s">
        <v>7920</v>
      </c>
      <c r="E150" t="s">
        <v>7612</v>
      </c>
      <c r="F150" t="s">
        <v>7613</v>
      </c>
      <c r="H150" s="9" t="str">
        <f t="shared" si="2"/>
        <v/>
      </c>
    </row>
    <row r="151" spans="1:8" x14ac:dyDescent="0.25">
      <c r="A151" t="s">
        <v>7688</v>
      </c>
      <c r="B151">
        <v>1133084</v>
      </c>
      <c r="C151" t="s">
        <v>7787</v>
      </c>
      <c r="D151" t="s">
        <v>7921</v>
      </c>
      <c r="E151" t="s">
        <v>7614</v>
      </c>
      <c r="F151" t="s">
        <v>7615</v>
      </c>
      <c r="H151" s="9" t="str">
        <f t="shared" si="2"/>
        <v/>
      </c>
    </row>
    <row r="152" spans="1:8" x14ac:dyDescent="0.25">
      <c r="A152" t="s">
        <v>7688</v>
      </c>
      <c r="B152">
        <v>1133085</v>
      </c>
      <c r="C152" t="s">
        <v>7788</v>
      </c>
      <c r="D152" t="s">
        <v>7922</v>
      </c>
      <c r="E152" t="s">
        <v>7616</v>
      </c>
      <c r="F152" t="s">
        <v>7617</v>
      </c>
      <c r="H152" s="9" t="str">
        <f t="shared" si="2"/>
        <v/>
      </c>
    </row>
    <row r="153" spans="1:8" x14ac:dyDescent="0.25">
      <c r="A153" t="s">
        <v>7688</v>
      </c>
      <c r="B153">
        <v>12020101</v>
      </c>
      <c r="C153" t="s">
        <v>7789</v>
      </c>
      <c r="D153" t="s">
        <v>7923</v>
      </c>
      <c r="E153" t="s">
        <v>7618</v>
      </c>
      <c r="F153" t="s">
        <v>7619</v>
      </c>
      <c r="H153" s="9" t="str">
        <f t="shared" si="2"/>
        <v/>
      </c>
    </row>
    <row r="154" spans="1:8" x14ac:dyDescent="0.25">
      <c r="A154" t="s">
        <v>7688</v>
      </c>
      <c r="B154">
        <v>12020201</v>
      </c>
      <c r="C154" t="s">
        <v>7790</v>
      </c>
      <c r="D154" t="s">
        <v>7924</v>
      </c>
      <c r="E154" t="s">
        <v>7620</v>
      </c>
      <c r="F154" t="s">
        <v>7621</v>
      </c>
      <c r="H154" s="9" t="str">
        <f t="shared" si="2"/>
        <v/>
      </c>
    </row>
    <row r="155" spans="1:8" x14ac:dyDescent="0.25">
      <c r="A155" t="s">
        <v>7688</v>
      </c>
      <c r="B155">
        <v>12020301</v>
      </c>
      <c r="C155" t="s">
        <v>7791</v>
      </c>
      <c r="D155" t="s">
        <v>7925</v>
      </c>
      <c r="E155" t="s">
        <v>7622</v>
      </c>
      <c r="F155" t="s">
        <v>7623</v>
      </c>
      <c r="H155" s="9" t="str">
        <f t="shared" si="2"/>
        <v/>
      </c>
    </row>
    <row r="156" spans="1:8" x14ac:dyDescent="0.25">
      <c r="A156" t="s">
        <v>7688</v>
      </c>
      <c r="B156">
        <v>12020401</v>
      </c>
      <c r="C156" t="s">
        <v>7792</v>
      </c>
      <c r="D156" t="s">
        <v>7926</v>
      </c>
      <c r="E156" t="s">
        <v>7624</v>
      </c>
      <c r="F156" t="s">
        <v>7625</v>
      </c>
      <c r="H156" s="9" t="str">
        <f t="shared" si="2"/>
        <v/>
      </c>
    </row>
    <row r="157" spans="1:8" x14ac:dyDescent="0.25">
      <c r="A157" t="s">
        <v>7688</v>
      </c>
      <c r="B157">
        <v>12020501</v>
      </c>
      <c r="C157" t="s">
        <v>7724</v>
      </c>
      <c r="D157" t="s">
        <v>7927</v>
      </c>
      <c r="E157" t="s">
        <v>7626</v>
      </c>
      <c r="F157" t="s">
        <v>7627</v>
      </c>
      <c r="H157" s="9" t="str">
        <f t="shared" si="2"/>
        <v/>
      </c>
    </row>
    <row r="158" spans="1:8" x14ac:dyDescent="0.25">
      <c r="A158" t="s">
        <v>7688</v>
      </c>
      <c r="B158">
        <v>12020601</v>
      </c>
      <c r="C158" t="s">
        <v>7793</v>
      </c>
      <c r="D158" t="s">
        <v>7928</v>
      </c>
      <c r="E158" t="s">
        <v>7628</v>
      </c>
      <c r="F158" t="s">
        <v>7629</v>
      </c>
      <c r="H158" s="9" t="str">
        <f t="shared" si="2"/>
        <v/>
      </c>
    </row>
    <row r="159" spans="1:8" x14ac:dyDescent="0.25">
      <c r="A159" t="s">
        <v>7688</v>
      </c>
      <c r="B159">
        <v>12020701</v>
      </c>
      <c r="C159" t="s">
        <v>7794</v>
      </c>
      <c r="D159" t="s">
        <v>7929</v>
      </c>
      <c r="E159" t="s">
        <v>7630</v>
      </c>
      <c r="F159" t="s">
        <v>7631</v>
      </c>
      <c r="H159" s="9" t="str">
        <f t="shared" si="2"/>
        <v/>
      </c>
    </row>
    <row r="160" spans="1:8" x14ac:dyDescent="0.25">
      <c r="A160" t="s">
        <v>7688</v>
      </c>
      <c r="B160">
        <v>12020801</v>
      </c>
      <c r="C160" t="s">
        <v>7795</v>
      </c>
      <c r="D160" t="s">
        <v>7930</v>
      </c>
      <c r="E160" t="s">
        <v>7632</v>
      </c>
      <c r="F160" t="s">
        <v>7633</v>
      </c>
      <c r="H160" s="9" t="str">
        <f t="shared" si="2"/>
        <v/>
      </c>
    </row>
    <row r="161" spans="1:8" x14ac:dyDescent="0.25">
      <c r="A161" t="s">
        <v>7688</v>
      </c>
      <c r="B161">
        <v>12020901</v>
      </c>
      <c r="C161" t="s">
        <v>7796</v>
      </c>
      <c r="D161" t="s">
        <v>7931</v>
      </c>
      <c r="E161" t="s">
        <v>7634</v>
      </c>
      <c r="F161" t="s">
        <v>7635</v>
      </c>
      <c r="H161" s="9" t="str">
        <f t="shared" si="2"/>
        <v/>
      </c>
    </row>
    <row r="162" spans="1:8" x14ac:dyDescent="0.25">
      <c r="A162" t="s">
        <v>7688</v>
      </c>
      <c r="B162">
        <v>12021001</v>
      </c>
      <c r="C162" t="s">
        <v>7797</v>
      </c>
      <c r="D162" t="s">
        <v>7932</v>
      </c>
      <c r="E162" t="s">
        <v>7636</v>
      </c>
      <c r="F162" t="s">
        <v>7637</v>
      </c>
      <c r="H162" s="9" t="str">
        <f t="shared" si="2"/>
        <v/>
      </c>
    </row>
    <row r="163" spans="1:8" x14ac:dyDescent="0.25">
      <c r="A163" t="s">
        <v>7688</v>
      </c>
      <c r="B163">
        <v>12021101</v>
      </c>
      <c r="C163" t="s">
        <v>7798</v>
      </c>
      <c r="D163" t="s">
        <v>7933</v>
      </c>
      <c r="E163" t="s">
        <v>7638</v>
      </c>
      <c r="F163" t="s">
        <v>7639</v>
      </c>
      <c r="H163" s="9" t="str">
        <f t="shared" si="2"/>
        <v/>
      </c>
    </row>
    <row r="164" spans="1:8" x14ac:dyDescent="0.25">
      <c r="A164" t="s">
        <v>7688</v>
      </c>
      <c r="B164">
        <v>12021201</v>
      </c>
      <c r="C164" t="s">
        <v>7799</v>
      </c>
      <c r="D164" t="s">
        <v>7934</v>
      </c>
      <c r="E164" t="s">
        <v>7640</v>
      </c>
      <c r="F164" t="s">
        <v>7641</v>
      </c>
      <c r="H164" s="9" t="str">
        <f t="shared" si="2"/>
        <v/>
      </c>
    </row>
    <row r="165" spans="1:8" x14ac:dyDescent="0.25">
      <c r="A165" t="s">
        <v>7688</v>
      </c>
      <c r="B165">
        <v>12021301</v>
      </c>
      <c r="C165" t="s">
        <v>7800</v>
      </c>
      <c r="D165" t="s">
        <v>7935</v>
      </c>
      <c r="E165" t="s">
        <v>7642</v>
      </c>
      <c r="F165" t="s">
        <v>7643</v>
      </c>
      <c r="H165" s="9" t="str">
        <f t="shared" si="2"/>
        <v/>
      </c>
    </row>
    <row r="166" spans="1:8" x14ac:dyDescent="0.25">
      <c r="A166" t="s">
        <v>7688</v>
      </c>
      <c r="B166">
        <v>12021401</v>
      </c>
      <c r="C166" t="s">
        <v>7801</v>
      </c>
      <c r="D166" t="s">
        <v>7936</v>
      </c>
      <c r="E166" t="s">
        <v>7644</v>
      </c>
      <c r="F166" t="s">
        <v>7645</v>
      </c>
      <c r="H166" s="9" t="str">
        <f t="shared" si="2"/>
        <v/>
      </c>
    </row>
    <row r="167" spans="1:8" x14ac:dyDescent="0.25">
      <c r="A167" t="s">
        <v>7688</v>
      </c>
      <c r="B167">
        <v>12021501</v>
      </c>
      <c r="C167" t="s">
        <v>7802</v>
      </c>
      <c r="D167" t="s">
        <v>7937</v>
      </c>
      <c r="E167" t="s">
        <v>7646</v>
      </c>
      <c r="F167" t="s">
        <v>7647</v>
      </c>
      <c r="H167" s="9" t="str">
        <f t="shared" si="2"/>
        <v/>
      </c>
    </row>
    <row r="168" spans="1:8" x14ac:dyDescent="0.25">
      <c r="A168" t="s">
        <v>7688</v>
      </c>
      <c r="B168">
        <v>12021601</v>
      </c>
      <c r="C168" t="s">
        <v>7803</v>
      </c>
      <c r="D168" t="s">
        <v>7938</v>
      </c>
      <c r="E168" t="s">
        <v>7648</v>
      </c>
      <c r="F168" t="s">
        <v>7649</v>
      </c>
      <c r="H168" s="9" t="str">
        <f t="shared" si="2"/>
        <v/>
      </c>
    </row>
    <row r="169" spans="1:8" x14ac:dyDescent="0.25">
      <c r="A169" t="s">
        <v>7688</v>
      </c>
      <c r="B169">
        <v>12021701</v>
      </c>
      <c r="C169" t="s">
        <v>7804</v>
      </c>
      <c r="D169" t="s">
        <v>7939</v>
      </c>
      <c r="E169" t="s">
        <v>7650</v>
      </c>
      <c r="F169" t="s">
        <v>7651</v>
      </c>
      <c r="H169" s="9" t="str">
        <f t="shared" si="2"/>
        <v/>
      </c>
    </row>
    <row r="170" spans="1:8" x14ac:dyDescent="0.25">
      <c r="A170" t="s">
        <v>7688</v>
      </c>
      <c r="B170">
        <v>12021801</v>
      </c>
      <c r="C170" t="s">
        <v>7805</v>
      </c>
      <c r="D170" t="s">
        <v>7940</v>
      </c>
      <c r="E170" t="s">
        <v>7652</v>
      </c>
      <c r="F170" t="s">
        <v>7653</v>
      </c>
      <c r="H170" s="9" t="str">
        <f t="shared" si="2"/>
        <v/>
      </c>
    </row>
    <row r="171" spans="1:8" x14ac:dyDescent="0.25">
      <c r="A171" t="s">
        <v>7688</v>
      </c>
      <c r="B171">
        <v>12021901</v>
      </c>
      <c r="C171" t="s">
        <v>7806</v>
      </c>
      <c r="D171" t="s">
        <v>7941</v>
      </c>
      <c r="E171" t="s">
        <v>7654</v>
      </c>
      <c r="F171" t="s">
        <v>7655</v>
      </c>
      <c r="H171" s="9" t="str">
        <f t="shared" si="2"/>
        <v/>
      </c>
    </row>
    <row r="172" spans="1:8" x14ac:dyDescent="0.25">
      <c r="A172" t="s">
        <v>7688</v>
      </c>
      <c r="B172">
        <v>12022001</v>
      </c>
      <c r="C172" t="s">
        <v>7807</v>
      </c>
      <c r="D172" t="s">
        <v>7942</v>
      </c>
      <c r="E172" t="s">
        <v>7656</v>
      </c>
      <c r="F172" t="s">
        <v>7657</v>
      </c>
      <c r="H172" s="9" t="str">
        <f t="shared" si="2"/>
        <v/>
      </c>
    </row>
    <row r="173" spans="1:8" x14ac:dyDescent="0.25">
      <c r="A173" t="s">
        <v>7688</v>
      </c>
      <c r="B173">
        <v>12022101</v>
      </c>
      <c r="C173" t="s">
        <v>7808</v>
      </c>
      <c r="D173" t="s">
        <v>7943</v>
      </c>
      <c r="E173" t="s">
        <v>7658</v>
      </c>
      <c r="F173" t="s">
        <v>7659</v>
      </c>
      <c r="H173" s="9" t="str">
        <f t="shared" si="2"/>
        <v/>
      </c>
    </row>
    <row r="174" spans="1:8" x14ac:dyDescent="0.25">
      <c r="A174" t="s">
        <v>7688</v>
      </c>
      <c r="B174">
        <v>12022201</v>
      </c>
      <c r="C174" t="s">
        <v>7809</v>
      </c>
      <c r="D174" t="s">
        <v>7944</v>
      </c>
      <c r="E174" t="s">
        <v>7660</v>
      </c>
      <c r="F174" t="s">
        <v>7661</v>
      </c>
      <c r="H174" s="9" t="str">
        <f t="shared" si="2"/>
        <v/>
      </c>
    </row>
    <row r="175" spans="1:8" x14ac:dyDescent="0.25">
      <c r="A175" t="s">
        <v>7688</v>
      </c>
      <c r="B175">
        <v>12022301</v>
      </c>
      <c r="C175" t="s">
        <v>7810</v>
      </c>
      <c r="D175" t="s">
        <v>7945</v>
      </c>
      <c r="E175" t="s">
        <v>7662</v>
      </c>
      <c r="F175" t="s">
        <v>7663</v>
      </c>
      <c r="H175" s="9" t="str">
        <f t="shared" si="2"/>
        <v/>
      </c>
    </row>
    <row r="176" spans="1:8" x14ac:dyDescent="0.25">
      <c r="A176" t="s">
        <v>7688</v>
      </c>
      <c r="B176">
        <v>12022401</v>
      </c>
      <c r="C176" t="s">
        <v>7811</v>
      </c>
      <c r="D176" t="s">
        <v>7946</v>
      </c>
      <c r="E176" t="s">
        <v>7664</v>
      </c>
      <c r="F176" t="s">
        <v>7665</v>
      </c>
      <c r="H176" s="9" t="str">
        <f t="shared" si="2"/>
        <v/>
      </c>
    </row>
    <row r="177" spans="1:8" x14ac:dyDescent="0.25">
      <c r="A177" t="s">
        <v>7688</v>
      </c>
      <c r="B177">
        <v>12022501</v>
      </c>
      <c r="C177" t="s">
        <v>7812</v>
      </c>
      <c r="D177" t="s">
        <v>7947</v>
      </c>
      <c r="E177" t="s">
        <v>7666</v>
      </c>
      <c r="F177" t="s">
        <v>7667</v>
      </c>
      <c r="H177" s="9" t="str">
        <f t="shared" si="2"/>
        <v/>
      </c>
    </row>
    <row r="178" spans="1:8" x14ac:dyDescent="0.25">
      <c r="A178" t="s">
        <v>7688</v>
      </c>
      <c r="B178">
        <v>12022601</v>
      </c>
      <c r="C178" t="s">
        <v>7813</v>
      </c>
      <c r="D178" t="s">
        <v>7948</v>
      </c>
      <c r="E178" t="s">
        <v>7668</v>
      </c>
      <c r="F178" t="s">
        <v>7669</v>
      </c>
      <c r="H178" s="9" t="str">
        <f t="shared" si="2"/>
        <v/>
      </c>
    </row>
    <row r="179" spans="1:8" x14ac:dyDescent="0.25">
      <c r="A179" t="s">
        <v>7688</v>
      </c>
      <c r="B179">
        <v>12022701</v>
      </c>
      <c r="C179" t="s">
        <v>7814</v>
      </c>
      <c r="D179" t="s">
        <v>7949</v>
      </c>
      <c r="E179" t="s">
        <v>7670</v>
      </c>
      <c r="F179" t="s">
        <v>7671</v>
      </c>
      <c r="H179" s="9" t="str">
        <f t="shared" si="2"/>
        <v/>
      </c>
    </row>
    <row r="180" spans="1:8" x14ac:dyDescent="0.25">
      <c r="A180" t="s">
        <v>7688</v>
      </c>
      <c r="B180">
        <v>12022801</v>
      </c>
      <c r="C180" t="s">
        <v>7815</v>
      </c>
      <c r="D180" t="s">
        <v>7950</v>
      </c>
      <c r="E180" t="s">
        <v>7672</v>
      </c>
      <c r="F180" t="s">
        <v>7673</v>
      </c>
      <c r="H180" s="9" t="str">
        <f t="shared" si="2"/>
        <v/>
      </c>
    </row>
    <row r="181" spans="1:8" x14ac:dyDescent="0.25">
      <c r="A181" t="s">
        <v>7688</v>
      </c>
      <c r="B181">
        <v>12022901</v>
      </c>
      <c r="C181" t="s">
        <v>7816</v>
      </c>
      <c r="D181" t="s">
        <v>7951</v>
      </c>
      <c r="E181" t="s">
        <v>7674</v>
      </c>
      <c r="F181" t="s">
        <v>7675</v>
      </c>
      <c r="H181" s="9" t="str">
        <f t="shared" si="2"/>
        <v/>
      </c>
    </row>
    <row r="182" spans="1:8" x14ac:dyDescent="0.25">
      <c r="A182" t="s">
        <v>7688</v>
      </c>
      <c r="B182">
        <v>12023001</v>
      </c>
      <c r="C182" t="s">
        <v>7817</v>
      </c>
      <c r="D182" t="s">
        <v>7952</v>
      </c>
      <c r="E182" t="s">
        <v>7676</v>
      </c>
      <c r="F182" t="s">
        <v>7677</v>
      </c>
      <c r="H182" s="9" t="str">
        <f t="shared" si="2"/>
        <v/>
      </c>
    </row>
    <row r="183" spans="1:8" x14ac:dyDescent="0.25">
      <c r="A183" t="s">
        <v>7688</v>
      </c>
      <c r="B183">
        <v>12023101</v>
      </c>
      <c r="C183" t="s">
        <v>7818</v>
      </c>
      <c r="D183" t="s">
        <v>7818</v>
      </c>
      <c r="E183" t="s">
        <v>7678</v>
      </c>
      <c r="F183" t="s">
        <v>7678</v>
      </c>
      <c r="H183" s="9" t="str">
        <f t="shared" si="2"/>
        <v/>
      </c>
    </row>
    <row r="184" spans="1:8" x14ac:dyDescent="0.25">
      <c r="A184" t="s">
        <v>7688</v>
      </c>
      <c r="B184">
        <v>12023201</v>
      </c>
      <c r="C184" t="s">
        <v>7819</v>
      </c>
      <c r="D184" t="s">
        <v>7953</v>
      </c>
      <c r="E184" t="s">
        <v>7679</v>
      </c>
      <c r="F184" t="s">
        <v>7680</v>
      </c>
      <c r="H184" s="9" t="str">
        <f t="shared" si="2"/>
        <v/>
      </c>
    </row>
    <row r="185" spans="1:8" x14ac:dyDescent="0.25">
      <c r="A185" t="s">
        <v>7688</v>
      </c>
      <c r="B185">
        <v>12023301</v>
      </c>
      <c r="C185" t="s">
        <v>7820</v>
      </c>
      <c r="D185" t="s">
        <v>7954</v>
      </c>
      <c r="E185" t="s">
        <v>7681</v>
      </c>
      <c r="F185" t="s">
        <v>7682</v>
      </c>
      <c r="H185" s="9" t="str">
        <f t="shared" si="2"/>
        <v/>
      </c>
    </row>
    <row r="186" spans="1:8" x14ac:dyDescent="0.25">
      <c r="A186" t="s">
        <v>7688</v>
      </c>
      <c r="B186">
        <v>12023401</v>
      </c>
      <c r="C186" t="s">
        <v>7821</v>
      </c>
      <c r="D186" t="s">
        <v>7955</v>
      </c>
      <c r="E186" t="s">
        <v>7683</v>
      </c>
      <c r="F186" t="s">
        <v>7684</v>
      </c>
      <c r="H186" s="9" t="str">
        <f t="shared" si="2"/>
        <v/>
      </c>
    </row>
    <row r="187" spans="1:8" x14ac:dyDescent="0.25">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14.42578125" bestFit="1" customWidth="1"/>
    <col min="9" max="9" width="36.5703125" bestFit="1" customWidth="1"/>
    <col min="11" max="11" width="152.5703125" bestFit="1" customWidth="1"/>
  </cols>
  <sheetData>
    <row r="1" spans="1:11" x14ac:dyDescent="0.25">
      <c r="A1" t="s">
        <v>25</v>
      </c>
      <c r="B1">
        <v>1</v>
      </c>
      <c r="C1">
        <v>2</v>
      </c>
      <c r="D1">
        <v>3</v>
      </c>
      <c r="E1">
        <v>4</v>
      </c>
      <c r="F1">
        <v>5</v>
      </c>
      <c r="H1" t="s">
        <v>8751</v>
      </c>
      <c r="I1" t="s">
        <v>8</v>
      </c>
      <c r="J1" t="s">
        <v>8828</v>
      </c>
      <c r="K1" t="s">
        <v>700</v>
      </c>
    </row>
    <row r="2" spans="1:11" x14ac:dyDescent="0.25">
      <c r="A2" t="s">
        <v>1777</v>
      </c>
      <c r="B2" t="s">
        <v>8747</v>
      </c>
      <c r="C2" t="s">
        <v>955</v>
      </c>
      <c r="D2" t="s">
        <v>8748</v>
      </c>
      <c r="E2" t="s">
        <v>8749</v>
      </c>
      <c r="F2" t="s">
        <v>8750</v>
      </c>
      <c r="H2" t="s">
        <v>8752</v>
      </c>
      <c r="I2" t="s">
        <v>8312</v>
      </c>
      <c r="J2">
        <v>220183</v>
      </c>
      <c r="K2" t="s">
        <v>8753</v>
      </c>
    </row>
    <row r="3" spans="1:11" x14ac:dyDescent="0.25">
      <c r="A3" t="s">
        <v>8186</v>
      </c>
      <c r="B3">
        <v>24</v>
      </c>
      <c r="C3">
        <v>28</v>
      </c>
      <c r="D3">
        <v>33</v>
      </c>
      <c r="E3">
        <v>38</v>
      </c>
      <c r="F3">
        <v>48</v>
      </c>
      <c r="H3" t="s">
        <v>8752</v>
      </c>
      <c r="I3" t="s">
        <v>8311</v>
      </c>
      <c r="J3">
        <v>770037</v>
      </c>
      <c r="K3" t="s">
        <v>8754</v>
      </c>
    </row>
    <row r="4" spans="1:11" x14ac:dyDescent="0.25">
      <c r="A4" t="s">
        <v>8187</v>
      </c>
      <c r="B4">
        <v>24</v>
      </c>
      <c r="C4">
        <v>28</v>
      </c>
      <c r="D4">
        <v>33</v>
      </c>
      <c r="E4">
        <v>38</v>
      </c>
      <c r="F4">
        <v>48</v>
      </c>
      <c r="H4" t="s">
        <v>8752</v>
      </c>
      <c r="I4" t="s">
        <v>8755</v>
      </c>
      <c r="J4">
        <v>770104</v>
      </c>
      <c r="K4" t="s">
        <v>8756</v>
      </c>
    </row>
    <row r="5" spans="1:11" x14ac:dyDescent="0.25">
      <c r="A5" t="s">
        <v>8188</v>
      </c>
      <c r="B5">
        <v>8</v>
      </c>
      <c r="C5">
        <v>9</v>
      </c>
      <c r="D5">
        <v>11</v>
      </c>
      <c r="E5">
        <v>12</v>
      </c>
      <c r="F5">
        <v>16</v>
      </c>
      <c r="H5" t="s">
        <v>8752</v>
      </c>
      <c r="I5" t="s">
        <v>8757</v>
      </c>
      <c r="J5">
        <v>770040</v>
      </c>
      <c r="K5" t="s">
        <v>8758</v>
      </c>
    </row>
    <row r="6" spans="1:11" x14ac:dyDescent="0.25">
      <c r="A6" t="s">
        <v>7737</v>
      </c>
      <c r="B6">
        <v>16</v>
      </c>
      <c r="C6">
        <v>19</v>
      </c>
      <c r="D6">
        <v>22</v>
      </c>
      <c r="E6">
        <v>25</v>
      </c>
      <c r="F6">
        <v>32</v>
      </c>
      <c r="H6" t="s">
        <v>8752</v>
      </c>
      <c r="I6" t="s">
        <v>8759</v>
      </c>
      <c r="J6">
        <v>770114</v>
      </c>
      <c r="K6" t="s">
        <v>8760</v>
      </c>
    </row>
    <row r="7" spans="1:11" x14ac:dyDescent="0.25">
      <c r="A7" t="s">
        <v>877</v>
      </c>
      <c r="B7">
        <v>5</v>
      </c>
      <c r="C7">
        <v>6</v>
      </c>
      <c r="D7">
        <v>7</v>
      </c>
      <c r="E7">
        <v>8</v>
      </c>
      <c r="F7">
        <v>10</v>
      </c>
      <c r="H7" t="s">
        <v>8752</v>
      </c>
      <c r="I7" t="s">
        <v>8761</v>
      </c>
      <c r="J7">
        <v>770039</v>
      </c>
      <c r="K7" t="s">
        <v>8762</v>
      </c>
    </row>
    <row r="8" spans="1:11" x14ac:dyDescent="0.25">
      <c r="A8" t="s">
        <v>38</v>
      </c>
      <c r="B8">
        <v>5</v>
      </c>
      <c r="C8">
        <v>6</v>
      </c>
      <c r="D8">
        <v>7</v>
      </c>
      <c r="E8">
        <v>8</v>
      </c>
      <c r="F8">
        <v>10</v>
      </c>
      <c r="H8" t="s">
        <v>8752</v>
      </c>
      <c r="I8" t="s">
        <v>8763</v>
      </c>
      <c r="J8">
        <v>770041</v>
      </c>
      <c r="K8" t="s">
        <v>8764</v>
      </c>
    </row>
    <row r="9" spans="1:11" x14ac:dyDescent="0.25">
      <c r="A9" t="s">
        <v>277</v>
      </c>
      <c r="B9">
        <v>2</v>
      </c>
      <c r="C9">
        <v>3</v>
      </c>
      <c r="D9">
        <v>4</v>
      </c>
      <c r="E9">
        <v>5</v>
      </c>
      <c r="F9">
        <v>6</v>
      </c>
      <c r="H9" t="s">
        <v>8765</v>
      </c>
      <c r="I9" t="s">
        <v>8766</v>
      </c>
      <c r="J9">
        <v>770093</v>
      </c>
      <c r="K9" t="s">
        <v>8767</v>
      </c>
    </row>
    <row r="10" spans="1:11" x14ac:dyDescent="0.25">
      <c r="A10" t="s">
        <v>39</v>
      </c>
      <c r="B10">
        <v>2</v>
      </c>
      <c r="C10">
        <v>3</v>
      </c>
      <c r="D10">
        <v>4</v>
      </c>
      <c r="E10">
        <v>5</v>
      </c>
      <c r="F10">
        <v>6</v>
      </c>
      <c r="H10" t="s">
        <v>8765</v>
      </c>
      <c r="I10" t="s">
        <v>8768</v>
      </c>
      <c r="J10">
        <v>770092</v>
      </c>
      <c r="K10" t="s">
        <v>8769</v>
      </c>
    </row>
    <row r="11" spans="1:11" x14ac:dyDescent="0.25">
      <c r="A11" t="s">
        <v>8267</v>
      </c>
      <c r="B11">
        <v>10</v>
      </c>
      <c r="C11">
        <v>12</v>
      </c>
      <c r="D11">
        <v>14</v>
      </c>
      <c r="E11">
        <v>16</v>
      </c>
      <c r="F11">
        <v>20</v>
      </c>
      <c r="H11" t="s">
        <v>8765</v>
      </c>
      <c r="I11" t="s">
        <v>8770</v>
      </c>
      <c r="J11">
        <v>770028</v>
      </c>
      <c r="K11" t="s">
        <v>8771</v>
      </c>
    </row>
    <row r="12" spans="1:11" x14ac:dyDescent="0.25">
      <c r="A12" t="s">
        <v>8268</v>
      </c>
      <c r="B12">
        <v>10</v>
      </c>
      <c r="C12">
        <v>12</v>
      </c>
      <c r="D12">
        <v>14</v>
      </c>
      <c r="E12">
        <v>16</v>
      </c>
      <c r="F12">
        <v>20</v>
      </c>
      <c r="H12" t="s">
        <v>8765</v>
      </c>
      <c r="I12" t="s">
        <v>8772</v>
      </c>
      <c r="J12">
        <v>770100</v>
      </c>
      <c r="K12" t="s">
        <v>8773</v>
      </c>
    </row>
    <row r="13" spans="1:11" x14ac:dyDescent="0.25">
      <c r="A13" t="s">
        <v>8190</v>
      </c>
      <c r="B13">
        <v>13</v>
      </c>
      <c r="C13">
        <v>15</v>
      </c>
      <c r="D13">
        <v>18</v>
      </c>
      <c r="E13">
        <v>20</v>
      </c>
      <c r="F13">
        <v>26</v>
      </c>
      <c r="H13" t="s">
        <v>8765</v>
      </c>
      <c r="I13" t="s">
        <v>8316</v>
      </c>
      <c r="J13">
        <v>770026</v>
      </c>
      <c r="K13" t="s">
        <v>8774</v>
      </c>
    </row>
    <row r="14" spans="1:11" x14ac:dyDescent="0.25">
      <c r="A14" t="s">
        <v>8191</v>
      </c>
      <c r="B14">
        <v>38</v>
      </c>
      <c r="C14">
        <v>45</v>
      </c>
      <c r="D14">
        <v>53</v>
      </c>
      <c r="E14">
        <v>60</v>
      </c>
      <c r="F14">
        <v>76</v>
      </c>
      <c r="H14" t="s">
        <v>8765</v>
      </c>
      <c r="I14" t="s">
        <v>8775</v>
      </c>
      <c r="J14">
        <v>220182</v>
      </c>
      <c r="K14" t="s">
        <v>8776</v>
      </c>
    </row>
    <row r="15" spans="1:11" x14ac:dyDescent="0.25">
      <c r="A15" t="s">
        <v>8189</v>
      </c>
      <c r="B15">
        <v>19</v>
      </c>
      <c r="C15">
        <v>22</v>
      </c>
      <c r="D15">
        <v>26</v>
      </c>
      <c r="E15">
        <v>30</v>
      </c>
      <c r="F15">
        <v>38</v>
      </c>
      <c r="H15" t="s">
        <v>8765</v>
      </c>
      <c r="I15" t="s">
        <v>8315</v>
      </c>
      <c r="J15">
        <v>770030</v>
      </c>
      <c r="K15" t="s">
        <v>8777</v>
      </c>
    </row>
    <row r="16" spans="1:11" x14ac:dyDescent="0.25">
      <c r="A16" t="s">
        <v>1797</v>
      </c>
      <c r="B16" t="s">
        <v>8321</v>
      </c>
      <c r="C16" t="s">
        <v>8321</v>
      </c>
      <c r="D16" t="s">
        <v>8321</v>
      </c>
      <c r="E16" t="s">
        <v>8321</v>
      </c>
      <c r="F16" t="s">
        <v>8321</v>
      </c>
      <c r="H16" t="s">
        <v>8765</v>
      </c>
      <c r="I16" t="s">
        <v>8778</v>
      </c>
      <c r="J16">
        <v>770032</v>
      </c>
      <c r="K16" t="s">
        <v>8779</v>
      </c>
    </row>
    <row r="17" spans="8:11" x14ac:dyDescent="0.25">
      <c r="H17" t="s">
        <v>8765</v>
      </c>
      <c r="I17" t="s">
        <v>8780</v>
      </c>
      <c r="J17">
        <v>770034</v>
      </c>
      <c r="K17" t="s">
        <v>8781</v>
      </c>
    </row>
    <row r="18" spans="8:11" x14ac:dyDescent="0.25">
      <c r="H18" t="s">
        <v>639</v>
      </c>
      <c r="I18" t="s">
        <v>8782</v>
      </c>
      <c r="J18">
        <v>770024</v>
      </c>
      <c r="K18" t="s">
        <v>8783</v>
      </c>
    </row>
    <row r="19" spans="8:11" x14ac:dyDescent="0.25">
      <c r="H19" t="s">
        <v>639</v>
      </c>
      <c r="I19" t="s">
        <v>7379</v>
      </c>
      <c r="J19">
        <v>770109</v>
      </c>
      <c r="K19" t="s">
        <v>8784</v>
      </c>
    </row>
    <row r="20" spans="8:11" x14ac:dyDescent="0.25">
      <c r="H20" t="s">
        <v>639</v>
      </c>
      <c r="I20" t="s">
        <v>8785</v>
      </c>
      <c r="J20">
        <v>770091</v>
      </c>
      <c r="K20" t="s">
        <v>8786</v>
      </c>
    </row>
    <row r="21" spans="8:11" x14ac:dyDescent="0.25">
      <c r="H21" t="s">
        <v>639</v>
      </c>
      <c r="I21" t="s">
        <v>8318</v>
      </c>
      <c r="J21">
        <v>770090</v>
      </c>
      <c r="K21" t="s">
        <v>8787</v>
      </c>
    </row>
    <row r="22" spans="8:11" x14ac:dyDescent="0.25">
      <c r="H22" t="s">
        <v>639</v>
      </c>
      <c r="I22" t="s">
        <v>8788</v>
      </c>
      <c r="J22">
        <v>770107</v>
      </c>
      <c r="K22" t="s">
        <v>8789</v>
      </c>
    </row>
    <row r="23" spans="8:11" x14ac:dyDescent="0.25">
      <c r="H23" t="s">
        <v>639</v>
      </c>
      <c r="I23" t="s">
        <v>8790</v>
      </c>
      <c r="J23">
        <v>770096</v>
      </c>
      <c r="K23" t="s">
        <v>8791</v>
      </c>
    </row>
    <row r="24" spans="8:11" x14ac:dyDescent="0.25">
      <c r="H24" t="s">
        <v>639</v>
      </c>
      <c r="I24" t="s">
        <v>8792</v>
      </c>
      <c r="J24">
        <v>770014</v>
      </c>
      <c r="K24" t="s">
        <v>8793</v>
      </c>
    </row>
    <row r="25" spans="8:11" x14ac:dyDescent="0.25">
      <c r="H25" t="s">
        <v>639</v>
      </c>
      <c r="I25" t="s">
        <v>8317</v>
      </c>
      <c r="J25">
        <v>770016</v>
      </c>
      <c r="K25" t="s">
        <v>8794</v>
      </c>
    </row>
    <row r="26" spans="8:11" x14ac:dyDescent="0.25">
      <c r="H26" t="s">
        <v>639</v>
      </c>
      <c r="I26" t="s">
        <v>8795</v>
      </c>
      <c r="J26">
        <v>770019</v>
      </c>
      <c r="K26" t="s">
        <v>8796</v>
      </c>
    </row>
    <row r="27" spans="8:11" x14ac:dyDescent="0.25">
      <c r="H27" t="s">
        <v>8296</v>
      </c>
      <c r="I27" t="s">
        <v>8797</v>
      </c>
      <c r="J27">
        <v>220173</v>
      </c>
      <c r="K27" t="s">
        <v>8798</v>
      </c>
    </row>
    <row r="28" spans="8:11" x14ac:dyDescent="0.25">
      <c r="H28" t="s">
        <v>8296</v>
      </c>
      <c r="I28" t="s">
        <v>8799</v>
      </c>
      <c r="J28">
        <v>220181</v>
      </c>
      <c r="K28" t="s">
        <v>8800</v>
      </c>
    </row>
    <row r="29" spans="8:11" x14ac:dyDescent="0.25">
      <c r="H29" t="s">
        <v>8296</v>
      </c>
      <c r="I29" t="s">
        <v>8801</v>
      </c>
      <c r="J29">
        <v>220175</v>
      </c>
      <c r="K29" t="s">
        <v>8802</v>
      </c>
    </row>
    <row r="30" spans="8:11" x14ac:dyDescent="0.25">
      <c r="H30" t="s">
        <v>8296</v>
      </c>
      <c r="I30" t="s">
        <v>8319</v>
      </c>
      <c r="J30">
        <v>220167</v>
      </c>
      <c r="K30" t="s">
        <v>8803</v>
      </c>
    </row>
    <row r="31" spans="8:11" x14ac:dyDescent="0.25">
      <c r="H31" t="s">
        <v>8296</v>
      </c>
      <c r="I31" t="s">
        <v>8804</v>
      </c>
      <c r="J31">
        <v>220185</v>
      </c>
      <c r="K31" t="s">
        <v>8805</v>
      </c>
    </row>
    <row r="32" spans="8:11" x14ac:dyDescent="0.25">
      <c r="H32" t="s">
        <v>8296</v>
      </c>
      <c r="I32" t="s">
        <v>8806</v>
      </c>
      <c r="J32">
        <v>220180</v>
      </c>
      <c r="K32" t="s">
        <v>8807</v>
      </c>
    </row>
    <row r="33" spans="8:11" x14ac:dyDescent="0.25">
      <c r="H33" t="s">
        <v>8297</v>
      </c>
      <c r="I33" t="s">
        <v>8808</v>
      </c>
      <c r="J33">
        <v>770038</v>
      </c>
      <c r="K33" t="s">
        <v>8809</v>
      </c>
    </row>
    <row r="34" spans="8:11" x14ac:dyDescent="0.25">
      <c r="H34" t="s">
        <v>8297</v>
      </c>
      <c r="I34" t="s">
        <v>8810</v>
      </c>
      <c r="J34">
        <v>770036</v>
      </c>
      <c r="K34" t="s">
        <v>8811</v>
      </c>
    </row>
    <row r="35" spans="8:11" x14ac:dyDescent="0.25">
      <c r="H35" t="s">
        <v>8297</v>
      </c>
      <c r="I35" t="s">
        <v>8320</v>
      </c>
      <c r="J35">
        <v>770113</v>
      </c>
      <c r="K35" t="s">
        <v>8812</v>
      </c>
    </row>
    <row r="36" spans="8:11" x14ac:dyDescent="0.25">
      <c r="H36" t="s">
        <v>8297</v>
      </c>
      <c r="I36" t="s">
        <v>7335</v>
      </c>
      <c r="J36">
        <v>770106</v>
      </c>
      <c r="K36" t="s">
        <v>8813</v>
      </c>
    </row>
    <row r="37" spans="8:11" x14ac:dyDescent="0.25">
      <c r="H37" t="s">
        <v>8297</v>
      </c>
      <c r="I37" t="s">
        <v>8814</v>
      </c>
      <c r="J37">
        <v>220187</v>
      </c>
      <c r="K37" t="s">
        <v>8815</v>
      </c>
    </row>
    <row r="38" spans="8:11" x14ac:dyDescent="0.25">
      <c r="H38" t="s">
        <v>8297</v>
      </c>
      <c r="I38" t="s">
        <v>8816</v>
      </c>
      <c r="J38">
        <v>770125</v>
      </c>
      <c r="K38" t="s">
        <v>8817</v>
      </c>
    </row>
    <row r="39" spans="8:11" x14ac:dyDescent="0.25">
      <c r="H39" t="s">
        <v>8747</v>
      </c>
      <c r="I39" t="s">
        <v>8818</v>
      </c>
      <c r="J39">
        <v>770084</v>
      </c>
      <c r="K39" t="s">
        <v>8819</v>
      </c>
    </row>
    <row r="40" spans="8:11" x14ac:dyDescent="0.25">
      <c r="H40" t="s">
        <v>8747</v>
      </c>
      <c r="I40" t="s">
        <v>8820</v>
      </c>
      <c r="J40">
        <v>770081</v>
      </c>
      <c r="K40" t="s">
        <v>8821</v>
      </c>
    </row>
    <row r="41" spans="8:11" x14ac:dyDescent="0.25">
      <c r="H41" t="s">
        <v>8747</v>
      </c>
      <c r="I41" t="s">
        <v>8313</v>
      </c>
      <c r="J41">
        <v>770045</v>
      </c>
      <c r="K41" t="s">
        <v>8822</v>
      </c>
    </row>
    <row r="42" spans="8:11" x14ac:dyDescent="0.25">
      <c r="H42" t="s">
        <v>8747</v>
      </c>
      <c r="I42" t="s">
        <v>8823</v>
      </c>
      <c r="J42">
        <v>770082</v>
      </c>
      <c r="K42" t="s">
        <v>8824</v>
      </c>
    </row>
    <row r="43" spans="8:11" x14ac:dyDescent="0.25">
      <c r="H43" t="s">
        <v>8747</v>
      </c>
      <c r="I43" t="s">
        <v>8314</v>
      </c>
      <c r="J43">
        <v>770046</v>
      </c>
      <c r="K43" t="s">
        <v>8825</v>
      </c>
    </row>
    <row r="44" spans="8:11" x14ac:dyDescent="0.25">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131" t="s">
        <v>6363</v>
      </c>
    </row>
    <row r="2" spans="1:2" x14ac:dyDescent="0.25">
      <c r="A2" s="10" t="s">
        <v>700</v>
      </c>
      <c r="B2" s="10" t="s">
        <v>6326</v>
      </c>
    </row>
    <row r="3" spans="1:2" x14ac:dyDescent="0.25">
      <c r="A3" t="s">
        <v>6850</v>
      </c>
      <c r="B3" s="188" t="s">
        <v>6849</v>
      </c>
    </row>
    <row r="4" spans="1:2" x14ac:dyDescent="0.25">
      <c r="A4" t="s">
        <v>6313</v>
      </c>
      <c r="B4" s="188" t="s">
        <v>5634</v>
      </c>
    </row>
    <row r="5" spans="1:2" x14ac:dyDescent="0.25">
      <c r="A5" t="s">
        <v>6314</v>
      </c>
      <c r="B5" s="189" t="s">
        <v>6315</v>
      </c>
    </row>
    <row r="6" spans="1:2" x14ac:dyDescent="0.25">
      <c r="A6" t="s">
        <v>6316</v>
      </c>
      <c r="B6" s="188" t="s">
        <v>6317</v>
      </c>
    </row>
    <row r="7" spans="1:2" x14ac:dyDescent="0.25">
      <c r="A7" t="s">
        <v>6318</v>
      </c>
      <c r="B7" s="188" t="s">
        <v>6319</v>
      </c>
    </row>
    <row r="8" spans="1:2" x14ac:dyDescent="0.25">
      <c r="A8" t="s">
        <v>6320</v>
      </c>
      <c r="B8" s="188" t="s">
        <v>6321</v>
      </c>
    </row>
    <row r="9" spans="1:2" x14ac:dyDescent="0.25">
      <c r="A9" t="s">
        <v>6322</v>
      </c>
      <c r="B9" s="188" t="s">
        <v>6323</v>
      </c>
    </row>
    <row r="10" spans="1:2" x14ac:dyDescent="0.25">
      <c r="A10" t="s">
        <v>6324</v>
      </c>
      <c r="B10" s="188" t="s">
        <v>6325</v>
      </c>
    </row>
    <row r="11" spans="1:2" x14ac:dyDescent="0.25">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25">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25">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25">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25">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25">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25">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25">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25">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25">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25">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25">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25">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25">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25">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25">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25">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25">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25">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25">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25">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25">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25">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25">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25">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25">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25">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25">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25">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25">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25">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25">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25">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25">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25">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25">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25">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25">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25">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25">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25">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25">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25">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25">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25">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25">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25">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25">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25">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25">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25">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25">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25">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25">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25">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25">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25">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25">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25">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25">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25">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25">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25">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25">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25">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25">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25">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25">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25">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25">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25">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25">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25">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25">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25">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25">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25">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25">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25">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25">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25">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25">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25">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25">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25">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25">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25">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25">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25">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25">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25">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25">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25">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25">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25">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25">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25">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25">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25">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25">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25">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25">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25">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25">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25">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25">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25">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25">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25">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25">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25">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25">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25">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25">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25">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25">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25">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25">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25">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25">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25">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25">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25">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25">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25">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25">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25">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25">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25">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25">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25">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25">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25">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25">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25">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25">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25">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25">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25">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25">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25">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25">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25">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25">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25">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25">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25">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25">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25">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25">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25">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25">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25">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25">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25">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25">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25">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47" t="s">
        <v>5670</v>
      </c>
      <c r="E2" s="145"/>
      <c r="F2" s="145"/>
      <c r="G2" s="145"/>
      <c r="H2" s="145"/>
      <c r="I2" s="145"/>
      <c r="J2" s="147" t="s">
        <v>768</v>
      </c>
      <c r="K2" s="145"/>
      <c r="L2" s="145"/>
      <c r="M2" s="146"/>
      <c r="N2" s="147" t="s">
        <v>1031</v>
      </c>
      <c r="O2" s="146"/>
    </row>
    <row r="3" spans="1:21" x14ac:dyDescent="0.25">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25">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25">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25">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25">
      <c r="A7" t="s">
        <v>6334</v>
      </c>
      <c r="D7" s="156" t="s">
        <v>1015</v>
      </c>
      <c r="E7" s="157">
        <v>100</v>
      </c>
      <c r="F7" s="157">
        <v>5</v>
      </c>
      <c r="G7" s="157">
        <v>4</v>
      </c>
      <c r="H7" s="157" t="s">
        <v>1033</v>
      </c>
      <c r="I7" s="159">
        <v>100</v>
      </c>
      <c r="J7" s="157">
        <v>5</v>
      </c>
      <c r="K7" s="157"/>
      <c r="L7" s="157"/>
      <c r="M7" s="159"/>
      <c r="N7" s="156"/>
      <c r="O7" s="159"/>
      <c r="Q7" s="168"/>
    </row>
    <row r="8" spans="1:21" x14ac:dyDescent="0.25">
      <c r="A8" t="s">
        <v>6335</v>
      </c>
      <c r="D8" s="156" t="s">
        <v>1013</v>
      </c>
      <c r="E8" s="157">
        <v>100</v>
      </c>
      <c r="F8" s="157">
        <v>5</v>
      </c>
      <c r="G8" s="157">
        <v>4</v>
      </c>
      <c r="H8" s="157" t="s">
        <v>1033</v>
      </c>
      <c r="I8" s="159">
        <v>100</v>
      </c>
      <c r="J8" s="157">
        <v>5</v>
      </c>
      <c r="K8" s="157"/>
      <c r="L8" s="157"/>
      <c r="M8" s="159"/>
      <c r="N8" s="156"/>
      <c r="O8" s="159"/>
      <c r="Q8" s="168"/>
    </row>
    <row r="9" spans="1:21" x14ac:dyDescent="0.25">
      <c r="A9" t="s">
        <v>6367</v>
      </c>
      <c r="D9" s="156"/>
      <c r="E9" s="157"/>
      <c r="F9" s="157"/>
      <c r="G9" s="157"/>
      <c r="H9" s="157"/>
      <c r="I9" s="159"/>
      <c r="J9" s="157"/>
      <c r="K9" s="157"/>
      <c r="L9" s="157"/>
      <c r="M9" s="159"/>
      <c r="N9" s="156"/>
      <c r="O9" s="159"/>
      <c r="Q9" s="168"/>
    </row>
    <row r="10" spans="1:21" x14ac:dyDescent="0.25">
      <c r="A10" t="s">
        <v>6366</v>
      </c>
      <c r="D10" s="156"/>
      <c r="E10" s="157"/>
      <c r="F10" s="157"/>
      <c r="G10" s="157"/>
      <c r="H10" s="157"/>
      <c r="I10" s="159"/>
      <c r="J10" s="157"/>
      <c r="K10" s="157"/>
      <c r="L10" s="157"/>
      <c r="M10" s="159"/>
      <c r="N10" s="156"/>
      <c r="O10" s="159"/>
      <c r="Q10" s="168"/>
    </row>
    <row r="11" spans="1:21" x14ac:dyDescent="0.25">
      <c r="A11" t="s">
        <v>6876</v>
      </c>
      <c r="D11" s="156"/>
      <c r="E11" s="157"/>
      <c r="F11" s="157"/>
      <c r="G11" s="157"/>
      <c r="H11" s="157"/>
      <c r="I11" s="159"/>
      <c r="J11" s="157"/>
      <c r="K11" s="157"/>
      <c r="L11" s="157"/>
      <c r="M11" s="159"/>
      <c r="N11" s="156"/>
      <c r="O11" s="159"/>
      <c r="Q11" s="168"/>
    </row>
    <row r="12" spans="1:21" x14ac:dyDescent="0.25">
      <c r="D12" s="160"/>
      <c r="E12" s="161"/>
      <c r="F12" s="161"/>
      <c r="G12" s="161"/>
      <c r="H12" s="161"/>
      <c r="I12" s="138"/>
      <c r="J12" s="161"/>
      <c r="K12" s="161"/>
      <c r="L12" s="161"/>
      <c r="M12" s="138"/>
      <c r="N12" s="160"/>
      <c r="O12" s="138"/>
      <c r="Q12" s="169"/>
    </row>
    <row r="13" spans="1:21" x14ac:dyDescent="0.25">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25">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25">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25">
      <c r="D16" s="156" t="s">
        <v>992</v>
      </c>
      <c r="E16" s="157">
        <v>100</v>
      </c>
      <c r="F16" s="157">
        <v>5</v>
      </c>
      <c r="G16" s="157">
        <v>4</v>
      </c>
      <c r="H16" s="157" t="s">
        <v>1033</v>
      </c>
      <c r="I16" s="159">
        <v>100</v>
      </c>
      <c r="J16" s="157">
        <v>5</v>
      </c>
      <c r="K16" s="157">
        <v>5</v>
      </c>
      <c r="L16" s="157"/>
      <c r="M16" s="159"/>
      <c r="N16" s="156"/>
      <c r="O16" s="159"/>
      <c r="Q16" s="168"/>
    </row>
    <row r="17" spans="3:21" x14ac:dyDescent="0.25">
      <c r="D17" s="156" t="s">
        <v>1009</v>
      </c>
      <c r="E17" s="157">
        <v>100</v>
      </c>
      <c r="F17" s="157">
        <v>5</v>
      </c>
      <c r="G17" s="157">
        <v>4</v>
      </c>
      <c r="H17" s="157" t="s">
        <v>1033</v>
      </c>
      <c r="I17" s="159">
        <v>100</v>
      </c>
      <c r="J17" s="157"/>
      <c r="K17" s="157"/>
      <c r="L17" s="157"/>
      <c r="M17" s="159"/>
      <c r="N17" s="156"/>
      <c r="O17" s="159"/>
      <c r="Q17" s="168"/>
    </row>
    <row r="18" spans="3:21" x14ac:dyDescent="0.25">
      <c r="D18" s="156"/>
      <c r="E18" s="157"/>
      <c r="F18" s="157"/>
      <c r="G18" s="157"/>
      <c r="H18" s="157"/>
      <c r="I18" s="159"/>
      <c r="J18" s="157"/>
      <c r="K18" s="157"/>
      <c r="L18" s="157"/>
      <c r="M18" s="159"/>
      <c r="N18" s="156"/>
      <c r="O18" s="159"/>
      <c r="Q18" s="168"/>
    </row>
    <row r="19" spans="3:21" x14ac:dyDescent="0.25">
      <c r="D19" s="156"/>
      <c r="E19" s="157"/>
      <c r="F19" s="157"/>
      <c r="G19" s="157"/>
      <c r="H19" s="157"/>
      <c r="I19" s="159"/>
      <c r="J19" s="157"/>
      <c r="K19" s="157"/>
      <c r="L19" s="157"/>
      <c r="M19" s="159"/>
      <c r="N19" s="156"/>
      <c r="O19" s="159"/>
      <c r="Q19" s="168"/>
    </row>
    <row r="20" spans="3:21" x14ac:dyDescent="0.25">
      <c r="D20" s="156"/>
      <c r="E20" s="157"/>
      <c r="F20" s="157"/>
      <c r="G20" s="157"/>
      <c r="H20" s="157"/>
      <c r="I20" s="159"/>
      <c r="J20" s="157"/>
      <c r="K20" s="157"/>
      <c r="L20" s="157"/>
      <c r="M20" s="159"/>
      <c r="N20" s="156"/>
      <c r="O20" s="159"/>
      <c r="Q20" s="168"/>
    </row>
    <row r="21" spans="3:21" x14ac:dyDescent="0.25">
      <c r="D21" s="160"/>
      <c r="E21" s="161"/>
      <c r="F21" s="161"/>
      <c r="G21" s="161"/>
      <c r="H21" s="161"/>
      <c r="I21" s="138"/>
      <c r="J21" s="161"/>
      <c r="K21" s="161"/>
      <c r="L21" s="161"/>
      <c r="M21" s="138"/>
      <c r="N21" s="160"/>
      <c r="O21" s="138"/>
      <c r="Q21" s="169"/>
    </row>
    <row r="22" spans="3:21" x14ac:dyDescent="0.25">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25">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25">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25">
      <c r="D25" s="156" t="s">
        <v>1008</v>
      </c>
      <c r="E25" s="157">
        <v>100</v>
      </c>
      <c r="F25" s="157">
        <v>5</v>
      </c>
      <c r="G25" s="157">
        <v>4</v>
      </c>
      <c r="H25" s="157" t="s">
        <v>1033</v>
      </c>
      <c r="I25" s="159">
        <v>100</v>
      </c>
      <c r="J25" s="157">
        <v>5</v>
      </c>
      <c r="K25" s="157"/>
      <c r="L25" s="157"/>
      <c r="M25" s="159"/>
      <c r="N25" s="156"/>
      <c r="O25" s="159"/>
      <c r="Q25" s="168"/>
    </row>
    <row r="26" spans="3:21" x14ac:dyDescent="0.25">
      <c r="D26" s="156"/>
      <c r="E26" s="157"/>
      <c r="F26" s="157"/>
      <c r="G26" s="157"/>
      <c r="H26" s="157"/>
      <c r="I26" s="159"/>
      <c r="J26" s="157"/>
      <c r="K26" s="157"/>
      <c r="L26" s="157"/>
      <c r="M26" s="159"/>
      <c r="N26" s="156"/>
      <c r="O26" s="159"/>
      <c r="Q26" s="168"/>
    </row>
    <row r="27" spans="3:21" x14ac:dyDescent="0.25">
      <c r="D27" s="156"/>
      <c r="E27" s="157"/>
      <c r="F27" s="157"/>
      <c r="G27" s="157"/>
      <c r="H27" s="157"/>
      <c r="I27" s="159"/>
      <c r="J27" s="157"/>
      <c r="K27" s="157"/>
      <c r="L27" s="157"/>
      <c r="M27" s="159"/>
      <c r="N27" s="156"/>
      <c r="O27" s="159"/>
      <c r="Q27" s="168"/>
    </row>
    <row r="28" spans="3:21" x14ac:dyDescent="0.25">
      <c r="D28" s="156"/>
      <c r="E28" s="157"/>
      <c r="F28" s="157"/>
      <c r="G28" s="157"/>
      <c r="H28" s="157"/>
      <c r="I28" s="159"/>
      <c r="J28" s="157"/>
      <c r="K28" s="157"/>
      <c r="L28" s="157"/>
      <c r="M28" s="159"/>
      <c r="N28" s="156"/>
      <c r="O28" s="159"/>
      <c r="Q28" s="168"/>
    </row>
    <row r="29" spans="3:21" x14ac:dyDescent="0.25">
      <c r="D29" s="156"/>
      <c r="E29" s="157"/>
      <c r="F29" s="157"/>
      <c r="G29" s="157"/>
      <c r="H29" s="157"/>
      <c r="I29" s="159"/>
      <c r="J29" s="157"/>
      <c r="K29" s="157"/>
      <c r="L29" s="157"/>
      <c r="M29" s="159"/>
      <c r="N29" s="156"/>
      <c r="O29" s="159"/>
      <c r="Q29" s="168"/>
    </row>
    <row r="30" spans="3:21" x14ac:dyDescent="0.25">
      <c r="D30" s="160"/>
      <c r="E30" s="161"/>
      <c r="F30" s="161"/>
      <c r="G30" s="161"/>
      <c r="H30" s="161"/>
      <c r="I30" s="138"/>
      <c r="J30" s="161"/>
      <c r="K30" s="161"/>
      <c r="L30" s="161"/>
      <c r="M30" s="138"/>
      <c r="N30" s="160"/>
      <c r="O30" s="138"/>
      <c r="Q30" s="169"/>
    </row>
    <row r="31" spans="3:21" x14ac:dyDescent="0.25">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25">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25">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25">
      <c r="D34" s="156" t="s">
        <v>992</v>
      </c>
      <c r="E34" s="157">
        <v>100</v>
      </c>
      <c r="F34" s="157">
        <v>5</v>
      </c>
      <c r="G34" s="157">
        <v>4</v>
      </c>
      <c r="H34" s="157" t="s">
        <v>1033</v>
      </c>
      <c r="I34" s="159">
        <v>100</v>
      </c>
      <c r="J34" s="157">
        <v>5</v>
      </c>
      <c r="K34" s="157">
        <v>5</v>
      </c>
      <c r="L34" s="157"/>
      <c r="M34" s="159"/>
      <c r="N34" s="156"/>
      <c r="O34" s="159"/>
      <c r="Q34" s="168"/>
    </row>
    <row r="35" spans="3:21" x14ac:dyDescent="0.25">
      <c r="D35" s="156" t="s">
        <v>1008</v>
      </c>
      <c r="E35" s="157">
        <v>100</v>
      </c>
      <c r="F35" s="157">
        <v>5</v>
      </c>
      <c r="G35" s="157">
        <v>4</v>
      </c>
      <c r="H35" s="157" t="s">
        <v>1033</v>
      </c>
      <c r="I35" s="159">
        <v>100</v>
      </c>
      <c r="J35" s="157">
        <v>5</v>
      </c>
      <c r="K35" s="157"/>
      <c r="L35" s="157"/>
      <c r="M35" s="159"/>
      <c r="N35" s="156"/>
      <c r="O35" s="159"/>
      <c r="Q35" s="168"/>
    </row>
    <row r="36" spans="3:21" x14ac:dyDescent="0.25">
      <c r="D36" s="156"/>
      <c r="E36" s="157"/>
      <c r="F36" s="157"/>
      <c r="G36" s="157"/>
      <c r="H36" s="157"/>
      <c r="I36" s="159"/>
      <c r="J36" s="157"/>
      <c r="K36" s="157"/>
      <c r="L36" s="157"/>
      <c r="M36" s="159"/>
      <c r="N36" s="156"/>
      <c r="O36" s="159"/>
      <c r="Q36" s="168"/>
    </row>
    <row r="37" spans="3:21" x14ac:dyDescent="0.25">
      <c r="D37" s="156"/>
      <c r="E37" s="157"/>
      <c r="F37" s="157"/>
      <c r="G37" s="157"/>
      <c r="H37" s="157"/>
      <c r="I37" s="159"/>
      <c r="J37" s="157"/>
      <c r="K37" s="157"/>
      <c r="L37" s="157"/>
      <c r="M37" s="159"/>
      <c r="N37" s="156"/>
      <c r="O37" s="159"/>
      <c r="Q37" s="168"/>
    </row>
    <row r="38" spans="3:21" x14ac:dyDescent="0.25">
      <c r="D38" s="156"/>
      <c r="E38" s="157"/>
      <c r="F38" s="157"/>
      <c r="G38" s="157"/>
      <c r="H38" s="157"/>
      <c r="I38" s="159"/>
      <c r="J38" s="157"/>
      <c r="K38" s="157"/>
      <c r="L38" s="157"/>
      <c r="M38" s="159"/>
      <c r="N38" s="156"/>
      <c r="O38" s="159"/>
      <c r="Q38" s="168"/>
    </row>
    <row r="39" spans="3:21" x14ac:dyDescent="0.25">
      <c r="D39" s="160"/>
      <c r="E39" s="161"/>
      <c r="F39" s="161"/>
      <c r="G39" s="161"/>
      <c r="H39" s="161"/>
      <c r="I39" s="138"/>
      <c r="J39" s="161"/>
      <c r="K39" s="161"/>
      <c r="L39" s="161"/>
      <c r="M39" s="138"/>
      <c r="N39" s="160"/>
      <c r="O39" s="138"/>
      <c r="Q39" s="169"/>
    </row>
    <row r="40" spans="3:21" x14ac:dyDescent="0.25">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25">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25">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25">
      <c r="D43" s="156" t="s">
        <v>994</v>
      </c>
      <c r="E43" s="157">
        <v>100</v>
      </c>
      <c r="F43" s="157">
        <v>5</v>
      </c>
      <c r="G43" s="157">
        <v>4</v>
      </c>
      <c r="H43" s="157" t="s">
        <v>1033</v>
      </c>
      <c r="I43" s="159">
        <v>100</v>
      </c>
      <c r="J43" s="157">
        <v>5</v>
      </c>
      <c r="K43" s="157">
        <v>5</v>
      </c>
      <c r="L43" s="157"/>
      <c r="M43" s="159"/>
      <c r="N43" s="156"/>
      <c r="O43" s="159"/>
      <c r="Q43" s="168"/>
    </row>
    <row r="44" spans="3:21" x14ac:dyDescent="0.25">
      <c r="D44" s="156" t="s">
        <v>994</v>
      </c>
      <c r="E44" s="157">
        <v>100</v>
      </c>
      <c r="F44" s="157">
        <v>5</v>
      </c>
      <c r="G44" s="157">
        <v>4</v>
      </c>
      <c r="H44" s="157" t="s">
        <v>1033</v>
      </c>
      <c r="I44" s="159">
        <v>100</v>
      </c>
      <c r="J44" s="157">
        <v>5</v>
      </c>
      <c r="K44" s="157">
        <v>5</v>
      </c>
      <c r="L44" s="157"/>
      <c r="M44" s="159"/>
      <c r="N44" s="156"/>
      <c r="O44" s="159"/>
      <c r="Q44" s="168"/>
    </row>
    <row r="45" spans="3:21" x14ac:dyDescent="0.25">
      <c r="D45" s="156" t="s">
        <v>994</v>
      </c>
      <c r="E45" s="157">
        <v>100</v>
      </c>
      <c r="F45" s="157">
        <v>5</v>
      </c>
      <c r="G45" s="157">
        <v>4</v>
      </c>
      <c r="H45" s="157" t="s">
        <v>1033</v>
      </c>
      <c r="I45" s="159">
        <v>100</v>
      </c>
      <c r="J45" s="157">
        <v>5</v>
      </c>
      <c r="K45" s="157">
        <v>5</v>
      </c>
      <c r="L45" s="157"/>
      <c r="M45" s="159"/>
      <c r="N45" s="156"/>
      <c r="O45" s="159"/>
      <c r="Q45" s="168"/>
    </row>
    <row r="46" spans="3:21" x14ac:dyDescent="0.25">
      <c r="D46" s="156" t="s">
        <v>994</v>
      </c>
      <c r="E46" s="157">
        <v>100</v>
      </c>
      <c r="F46" s="157">
        <v>5</v>
      </c>
      <c r="G46" s="157">
        <v>4</v>
      </c>
      <c r="H46" s="157" t="s">
        <v>1033</v>
      </c>
      <c r="I46" s="159">
        <v>100</v>
      </c>
      <c r="J46" s="157">
        <v>5</v>
      </c>
      <c r="K46" s="157">
        <v>5</v>
      </c>
      <c r="L46" s="157"/>
      <c r="M46" s="159"/>
      <c r="N46" s="156"/>
      <c r="O46" s="159"/>
      <c r="Q46" s="168"/>
    </row>
    <row r="47" spans="3:21" x14ac:dyDescent="0.25">
      <c r="D47" s="156" t="s">
        <v>994</v>
      </c>
      <c r="E47" s="157">
        <v>100</v>
      </c>
      <c r="F47" s="157">
        <v>5</v>
      </c>
      <c r="G47" s="157">
        <v>4</v>
      </c>
      <c r="H47" s="157" t="s">
        <v>1033</v>
      </c>
      <c r="I47" s="159">
        <v>100</v>
      </c>
      <c r="J47" s="157">
        <v>5</v>
      </c>
      <c r="K47" s="157">
        <v>5</v>
      </c>
      <c r="L47" s="157"/>
      <c r="M47" s="159"/>
      <c r="N47" s="156"/>
      <c r="O47" s="159"/>
      <c r="Q47" s="168"/>
    </row>
    <row r="48" spans="3:21" x14ac:dyDescent="0.25">
      <c r="D48" s="160" t="s">
        <v>994</v>
      </c>
      <c r="E48" s="161">
        <v>100</v>
      </c>
      <c r="F48" s="161">
        <v>5</v>
      </c>
      <c r="G48" s="161">
        <v>4</v>
      </c>
      <c r="H48" s="161" t="s">
        <v>1033</v>
      </c>
      <c r="I48" s="138">
        <v>100</v>
      </c>
      <c r="J48" s="161">
        <v>5</v>
      </c>
      <c r="K48" s="161">
        <v>5</v>
      </c>
      <c r="L48" s="161"/>
      <c r="M48" s="138"/>
      <c r="N48" s="160"/>
      <c r="O48" s="138"/>
      <c r="Q48" s="169"/>
    </row>
    <row r="49" spans="3:21" x14ac:dyDescent="0.25">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25">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25">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25">
      <c r="D52" s="156" t="s">
        <v>998</v>
      </c>
      <c r="E52" s="157">
        <v>90</v>
      </c>
      <c r="F52" s="157">
        <v>5</v>
      </c>
      <c r="G52" s="157">
        <v>4</v>
      </c>
      <c r="H52" s="157" t="s">
        <v>1049</v>
      </c>
      <c r="I52" s="159">
        <v>100</v>
      </c>
      <c r="J52" s="157">
        <v>5</v>
      </c>
      <c r="K52" s="157">
        <v>5</v>
      </c>
      <c r="L52" s="157"/>
      <c r="M52" s="159"/>
      <c r="N52" s="156"/>
      <c r="O52" s="159"/>
      <c r="Q52" s="168"/>
    </row>
    <row r="53" spans="3:21" x14ac:dyDescent="0.25">
      <c r="D53" s="156" t="s">
        <v>1008</v>
      </c>
      <c r="E53" s="157">
        <v>90</v>
      </c>
      <c r="F53" s="157">
        <v>5</v>
      </c>
      <c r="G53" s="157">
        <v>4</v>
      </c>
      <c r="H53" s="157" t="s">
        <v>1033</v>
      </c>
      <c r="I53" s="159">
        <v>100</v>
      </c>
      <c r="J53" s="157">
        <v>5</v>
      </c>
      <c r="K53" s="157"/>
      <c r="L53" s="157"/>
      <c r="M53" s="159"/>
      <c r="N53" s="156"/>
      <c r="O53" s="159"/>
      <c r="Q53" s="168"/>
    </row>
    <row r="54" spans="3:21" x14ac:dyDescent="0.25">
      <c r="D54" s="156"/>
      <c r="E54" s="157"/>
      <c r="F54" s="157"/>
      <c r="G54" s="157"/>
      <c r="H54" s="157"/>
      <c r="I54" s="159"/>
      <c r="J54" s="157"/>
      <c r="K54" s="157"/>
      <c r="L54" s="157"/>
      <c r="M54" s="159"/>
      <c r="N54" s="156"/>
      <c r="O54" s="159"/>
      <c r="Q54" s="168"/>
    </row>
    <row r="55" spans="3:21" x14ac:dyDescent="0.25">
      <c r="D55" s="156"/>
      <c r="E55" s="157"/>
      <c r="F55" s="157"/>
      <c r="G55" s="157"/>
      <c r="H55" s="157"/>
      <c r="I55" s="159"/>
      <c r="J55" s="157"/>
      <c r="K55" s="157"/>
      <c r="L55" s="157"/>
      <c r="M55" s="159"/>
      <c r="N55" s="156"/>
      <c r="O55" s="159"/>
      <c r="Q55" s="168"/>
    </row>
    <row r="56" spans="3:21" x14ac:dyDescent="0.25">
      <c r="D56" s="156"/>
      <c r="E56" s="157"/>
      <c r="F56" s="157"/>
      <c r="G56" s="157"/>
      <c r="H56" s="157"/>
      <c r="I56" s="159"/>
      <c r="J56" s="157"/>
      <c r="K56" s="157"/>
      <c r="L56" s="157"/>
      <c r="M56" s="159"/>
      <c r="N56" s="156"/>
      <c r="O56" s="159"/>
      <c r="Q56" s="168"/>
    </row>
    <row r="57" spans="3:21" x14ac:dyDescent="0.25">
      <c r="D57" s="160"/>
      <c r="E57" s="161"/>
      <c r="F57" s="161"/>
      <c r="G57" s="161"/>
      <c r="H57" s="161"/>
      <c r="I57" s="138"/>
      <c r="J57" s="161"/>
      <c r="K57" s="161"/>
      <c r="L57" s="161"/>
      <c r="M57" s="138"/>
      <c r="N57" s="160"/>
      <c r="O57" s="138"/>
      <c r="Q57" s="169"/>
    </row>
    <row r="58" spans="3:21" x14ac:dyDescent="0.25">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25">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25">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25">
      <c r="D61" s="156" t="s">
        <v>992</v>
      </c>
      <c r="E61" s="157">
        <v>90</v>
      </c>
      <c r="F61" s="157">
        <v>5</v>
      </c>
      <c r="G61" s="157">
        <v>4</v>
      </c>
      <c r="H61" s="157" t="s">
        <v>1049</v>
      </c>
      <c r="I61" s="159">
        <v>100</v>
      </c>
      <c r="J61" s="157">
        <v>5</v>
      </c>
      <c r="K61" s="157">
        <v>5</v>
      </c>
      <c r="L61" s="157"/>
      <c r="M61" s="159"/>
      <c r="N61" s="156"/>
      <c r="O61" s="159"/>
      <c r="Q61" s="168"/>
    </row>
    <row r="62" spans="3:21" x14ac:dyDescent="0.25">
      <c r="D62" s="156" t="s">
        <v>1013</v>
      </c>
      <c r="E62" s="157">
        <v>90</v>
      </c>
      <c r="F62" s="157">
        <v>5</v>
      </c>
      <c r="G62" s="157">
        <v>4</v>
      </c>
      <c r="H62" s="157" t="s">
        <v>1033</v>
      </c>
      <c r="I62" s="159">
        <v>100</v>
      </c>
      <c r="J62" s="157">
        <v>5</v>
      </c>
      <c r="K62" s="157"/>
      <c r="L62" s="157"/>
      <c r="M62" s="159"/>
      <c r="N62" s="156"/>
      <c r="O62" s="159"/>
      <c r="Q62" s="168"/>
    </row>
    <row r="63" spans="3:21" x14ac:dyDescent="0.25">
      <c r="D63" s="156"/>
      <c r="E63" s="157"/>
      <c r="F63" s="157"/>
      <c r="G63" s="157"/>
      <c r="H63" s="157"/>
      <c r="I63" s="159"/>
      <c r="J63" s="157"/>
      <c r="K63" s="157"/>
      <c r="L63" s="157"/>
      <c r="M63" s="159"/>
      <c r="N63" s="156"/>
      <c r="O63" s="159"/>
      <c r="Q63" s="168"/>
    </row>
    <row r="64" spans="3:21" x14ac:dyDescent="0.25">
      <c r="D64" s="156"/>
      <c r="E64" s="157"/>
      <c r="F64" s="157"/>
      <c r="G64" s="157"/>
      <c r="H64" s="157"/>
      <c r="I64" s="159"/>
      <c r="J64" s="157"/>
      <c r="K64" s="157"/>
      <c r="L64" s="157"/>
      <c r="M64" s="159"/>
      <c r="N64" s="156"/>
      <c r="O64" s="159"/>
      <c r="Q64" s="168"/>
    </row>
    <row r="65" spans="3:21" x14ac:dyDescent="0.25">
      <c r="D65" s="156"/>
      <c r="E65" s="157"/>
      <c r="F65" s="157"/>
      <c r="G65" s="157"/>
      <c r="H65" s="157"/>
      <c r="I65" s="159"/>
      <c r="J65" s="157"/>
      <c r="K65" s="157"/>
      <c r="L65" s="157"/>
      <c r="M65" s="159"/>
      <c r="N65" s="156"/>
      <c r="O65" s="159"/>
      <c r="Q65" s="168"/>
    </row>
    <row r="66" spans="3:21" x14ac:dyDescent="0.25">
      <c r="D66" s="160"/>
      <c r="E66" s="161"/>
      <c r="F66" s="161"/>
      <c r="G66" s="161"/>
      <c r="H66" s="161"/>
      <c r="I66" s="138"/>
      <c r="J66" s="161"/>
      <c r="K66" s="161"/>
      <c r="L66" s="161"/>
      <c r="M66" s="138"/>
      <c r="N66" s="160"/>
      <c r="O66" s="138"/>
      <c r="Q66" s="169"/>
    </row>
    <row r="67" spans="3:21" x14ac:dyDescent="0.25">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25">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25">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25">
      <c r="D70" s="156" t="s">
        <v>992</v>
      </c>
      <c r="E70" s="157">
        <v>100</v>
      </c>
      <c r="F70" s="157">
        <v>5</v>
      </c>
      <c r="G70" s="157">
        <v>4</v>
      </c>
      <c r="H70" s="157" t="s">
        <v>1033</v>
      </c>
      <c r="I70" s="159">
        <v>100</v>
      </c>
      <c r="J70" s="157">
        <v>5</v>
      </c>
      <c r="K70" s="157">
        <v>5</v>
      </c>
      <c r="L70" s="157"/>
      <c r="M70" s="159"/>
      <c r="N70" s="156"/>
      <c r="O70" s="159"/>
      <c r="Q70" s="168"/>
    </row>
    <row r="71" spans="3:21" x14ac:dyDescent="0.25">
      <c r="D71" s="156" t="s">
        <v>1004</v>
      </c>
      <c r="E71" s="157">
        <v>100</v>
      </c>
      <c r="F71" s="157">
        <v>5</v>
      </c>
      <c r="G71" s="157">
        <v>4</v>
      </c>
      <c r="H71" s="157" t="s">
        <v>1033</v>
      </c>
      <c r="I71" s="159">
        <v>100</v>
      </c>
      <c r="J71" s="157">
        <v>5</v>
      </c>
      <c r="K71" s="157">
        <v>5</v>
      </c>
      <c r="L71" s="157"/>
      <c r="M71" s="159"/>
      <c r="N71" s="156"/>
      <c r="O71" s="159"/>
      <c r="Q71" s="168"/>
    </row>
    <row r="72" spans="3:21" x14ac:dyDescent="0.25">
      <c r="D72" s="156"/>
      <c r="E72" s="157"/>
      <c r="F72" s="157"/>
      <c r="G72" s="157"/>
      <c r="H72" s="157"/>
      <c r="I72" s="159"/>
      <c r="J72" s="157"/>
      <c r="K72" s="157"/>
      <c r="L72" s="157"/>
      <c r="M72" s="159"/>
      <c r="N72" s="156"/>
      <c r="O72" s="159"/>
      <c r="Q72" s="168"/>
    </row>
    <row r="73" spans="3:21" x14ac:dyDescent="0.25">
      <c r="D73" s="156"/>
      <c r="E73" s="157"/>
      <c r="F73" s="157"/>
      <c r="G73" s="157"/>
      <c r="H73" s="157"/>
      <c r="I73" s="159"/>
      <c r="J73" s="157"/>
      <c r="K73" s="157"/>
      <c r="L73" s="157"/>
      <c r="M73" s="159"/>
      <c r="N73" s="156"/>
      <c r="O73" s="159"/>
      <c r="Q73" s="168"/>
    </row>
    <row r="74" spans="3:21" x14ac:dyDescent="0.25">
      <c r="D74" s="156"/>
      <c r="E74" s="157"/>
      <c r="F74" s="157"/>
      <c r="G74" s="157"/>
      <c r="H74" s="157"/>
      <c r="I74" s="159"/>
      <c r="J74" s="157"/>
      <c r="K74" s="157"/>
      <c r="L74" s="157"/>
      <c r="M74" s="159"/>
      <c r="N74" s="156"/>
      <c r="O74" s="159"/>
      <c r="Q74" s="168"/>
    </row>
    <row r="75" spans="3:21" x14ac:dyDescent="0.25">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25">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25">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25">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25">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25">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25">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25">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25">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25">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25">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25">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25">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25">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25">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25">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25">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25">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25">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25">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25">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25">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25">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25">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25">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25">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25">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25">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25">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25">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25">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25">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25">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25">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25">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25">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25">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25">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25">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25">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25">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25">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25">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25">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25">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25">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25">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25">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25">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25">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25">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25">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25">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25">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25">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25">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25">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25">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25">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25">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25">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25">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25">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25">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25">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25">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25">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25">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25">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25">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25">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25">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25">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25">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25">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25">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25">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25">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25">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25">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25">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25">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25">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25">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5" x14ac:dyDescent="0.25"/>
  <sheetData>
    <row r="1" spans="1:34" x14ac:dyDescent="0.25">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25">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25">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25">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25">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25">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25">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25">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25">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25">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25">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25">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25">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25">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25">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25">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5" x14ac:dyDescent="0.25"/>
  <sheetData>
    <row r="1" spans="1:4" x14ac:dyDescent="0.25">
      <c r="A1" s="85" t="s">
        <v>26</v>
      </c>
      <c r="B1" s="85" t="s">
        <v>1101</v>
      </c>
      <c r="C1" s="85" t="s">
        <v>8371</v>
      </c>
      <c r="D1" s="85" t="s">
        <v>8372</v>
      </c>
    </row>
    <row r="2" spans="1:4" x14ac:dyDescent="0.25">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25">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25">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25">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25">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25">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25">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25">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25">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25">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25">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25">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25">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25">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25">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25">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25">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25">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25">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25">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25">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25">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25">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25">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25">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25">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25">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25">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25">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25">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25">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25">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25">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25">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25">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25">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25">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25">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25">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25">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25">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25">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25">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25">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25">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25">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25">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25">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25">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25">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25">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25">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25">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25">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25">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25">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25">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25">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25">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25">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25">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25">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25">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25">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25">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25">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25">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25">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25">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25">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25">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25">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25">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25">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25">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25">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25">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25">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25">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25">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25">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25">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25">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25">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25">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25">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25">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25">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25">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25">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25">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25">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25">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25">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25">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25">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25">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25">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25">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25">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25">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25">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25">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25">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25">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25">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25">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25">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25">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25">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25">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39"/>
    </row>
    <row r="5" spans="1:30" x14ac:dyDescent="0.25">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5" x14ac:dyDescent="0.25"/>
  <sheetData>
    <row r="1" spans="1:33" s="10" customFormat="1" x14ac:dyDescent="0.25">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25">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25">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25">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25">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25">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25">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25">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25">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25">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25">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25">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25">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25">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25">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25">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25">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25">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25">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25">
      <c r="G21" s="189"/>
    </row>
    <row r="27" spans="1:33" x14ac:dyDescent="0.25">
      <c r="A27" s="267"/>
      <c r="B27" s="267"/>
      <c r="C27" s="267"/>
      <c r="D27" s="267"/>
      <c r="E27" s="267"/>
    </row>
    <row r="28" spans="1:33" x14ac:dyDescent="0.25">
      <c r="A28" s="267"/>
      <c r="B28" s="267"/>
      <c r="C28" s="267"/>
      <c r="D28" s="267"/>
      <c r="E28" s="267"/>
    </row>
    <row r="29" spans="1:33" x14ac:dyDescent="0.25">
      <c r="A29" s="267"/>
      <c r="B29" s="267"/>
      <c r="C29" s="267"/>
      <c r="D29" s="267"/>
      <c r="E29" s="267"/>
    </row>
    <row r="30" spans="1:33" x14ac:dyDescent="0.25">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25">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25">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25">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25">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25">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25">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25">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25">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25">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25">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25">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25">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25">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25">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25">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25">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85" t="s">
        <v>26</v>
      </c>
      <c r="B1" s="85" t="s">
        <v>1101</v>
      </c>
      <c r="C1" s="85" t="s">
        <v>1016</v>
      </c>
      <c r="D1" s="85" t="s">
        <v>1102</v>
      </c>
      <c r="E1" s="85" t="s">
        <v>1103</v>
      </c>
    </row>
    <row r="2" spans="1:5" x14ac:dyDescent="0.25">
      <c r="A2" s="1" t="str">
        <f>IF(B2="","",1234567)</f>
        <v/>
      </c>
      <c r="B2" s="1" t="str">
        <f>IFERROR(INDEX('SF Chip Data'!A:A,MATCH(Main!M59,'SF Chip Data'!B:B,0)),"")</f>
        <v/>
      </c>
      <c r="C2" s="1">
        <v>0</v>
      </c>
      <c r="D2" s="1" t="str">
        <f>SF!A2</f>
        <v/>
      </c>
      <c r="E2" s="1">
        <v>1</v>
      </c>
    </row>
    <row r="3" spans="1:5" x14ac:dyDescent="0.25">
      <c r="A3" s="1" t="str">
        <f t="shared" ref="A3:A31" si="0">IF(B3="","",1234567)</f>
        <v/>
      </c>
      <c r="B3" s="1" t="str">
        <f>IFERROR(INDEX('SF Chip Data'!A:A,MATCH(Main!M60,'SF Chip Data'!B:B,0)),"")</f>
        <v/>
      </c>
      <c r="C3" s="1">
        <v>0</v>
      </c>
      <c r="D3" s="1" t="str">
        <f>SF!A3</f>
        <v/>
      </c>
      <c r="E3" s="1">
        <v>1</v>
      </c>
    </row>
    <row r="4" spans="1:5" x14ac:dyDescent="0.25">
      <c r="A4" s="1" t="str">
        <f t="shared" si="0"/>
        <v/>
      </c>
      <c r="B4" s="1" t="str">
        <f>IFERROR(INDEX('SF Chip Data'!A:A,MATCH(Main!M61,'SF Chip Data'!B:B,0)),"")</f>
        <v/>
      </c>
      <c r="C4" s="1">
        <v>0</v>
      </c>
      <c r="D4" s="1" t="str">
        <f>SF!A4</f>
        <v/>
      </c>
      <c r="E4" s="1">
        <v>1</v>
      </c>
    </row>
    <row r="5" spans="1:5" x14ac:dyDescent="0.25">
      <c r="A5" s="1" t="str">
        <f t="shared" si="0"/>
        <v/>
      </c>
      <c r="B5" s="1" t="str">
        <f>IFERROR(INDEX('SF Chip Data'!A:A,MATCH(Main!M62,'SF Chip Data'!B:B,0)),"")</f>
        <v/>
      </c>
      <c r="C5" s="1">
        <v>0</v>
      </c>
      <c r="D5" s="1" t="str">
        <f>SF!A5</f>
        <v/>
      </c>
      <c r="E5" s="1">
        <v>1</v>
      </c>
    </row>
    <row r="6" spans="1:5" x14ac:dyDescent="0.25">
      <c r="A6" s="1" t="str">
        <f t="shared" si="0"/>
        <v/>
      </c>
      <c r="B6" s="1" t="str">
        <f>IFERROR(INDEX('SF Chip Data'!A:A,MATCH(Main!M63,'SF Chip Data'!B:B,0)),"")</f>
        <v/>
      </c>
      <c r="C6" s="1">
        <v>0</v>
      </c>
      <c r="D6" s="1" t="str">
        <f>SF!A6</f>
        <v/>
      </c>
      <c r="E6" s="1">
        <v>1</v>
      </c>
    </row>
    <row r="7" spans="1:5" x14ac:dyDescent="0.25">
      <c r="A7" s="1" t="str">
        <f t="shared" si="0"/>
        <v/>
      </c>
      <c r="B7" s="1" t="str">
        <f>IFERROR(INDEX('SF Chip Data'!A:A,MATCH(Main!M64,'SF Chip Data'!B:B,0)),"")</f>
        <v/>
      </c>
      <c r="C7" s="1">
        <v>0</v>
      </c>
      <c r="D7" s="1" t="str">
        <f>SF!A7</f>
        <v/>
      </c>
      <c r="E7" s="1">
        <v>1</v>
      </c>
    </row>
    <row r="8" spans="1:5" x14ac:dyDescent="0.25">
      <c r="A8" s="1" t="str">
        <f t="shared" si="0"/>
        <v/>
      </c>
      <c r="B8" s="1" t="str">
        <f>IFERROR(INDEX('SF Chip Data'!A:A,MATCH(Main!M65,'SF Chip Data'!B:B,0)),"")</f>
        <v/>
      </c>
      <c r="C8" s="1">
        <v>0</v>
      </c>
      <c r="D8" s="1" t="str">
        <f>SF!A8</f>
        <v/>
      </c>
      <c r="E8" s="1">
        <v>1</v>
      </c>
    </row>
    <row r="9" spans="1:5" x14ac:dyDescent="0.25">
      <c r="A9" s="1" t="str">
        <f t="shared" si="0"/>
        <v/>
      </c>
      <c r="B9" s="1" t="str">
        <f>IFERROR(INDEX('SF Chip Data'!A:A,MATCH(Main!M66,'SF Chip Data'!B:B,0)),"")</f>
        <v/>
      </c>
      <c r="C9" s="1">
        <v>0</v>
      </c>
      <c r="D9" s="1" t="str">
        <f>SF!A9</f>
        <v/>
      </c>
      <c r="E9" s="1">
        <v>1</v>
      </c>
    </row>
    <row r="10" spans="1:5" x14ac:dyDescent="0.25">
      <c r="A10" s="45" t="str">
        <f t="shared" si="0"/>
        <v/>
      </c>
      <c r="B10" s="45" t="str">
        <f>IFERROR(INDEX('SF Chip Data'!A:A,MATCH(Main!M67,'SF Chip Data'!B:B,0)),"")</f>
        <v/>
      </c>
      <c r="C10" s="45">
        <v>0</v>
      </c>
      <c r="D10" s="45" t="str">
        <f>SF!A10</f>
        <v/>
      </c>
      <c r="E10" s="45">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5" t="str">
        <f t="shared" si="0"/>
        <v/>
      </c>
      <c r="B19" s="45" t="str">
        <f>IFERROR(INDEX('SF Chip Data'!A:A,MATCH(Main!N67,'SF Chip Data'!B:B,0)),"")</f>
        <v/>
      </c>
      <c r="C19" s="45">
        <v>0</v>
      </c>
      <c r="D19" s="45" t="str">
        <f t="shared" si="1"/>
        <v/>
      </c>
      <c r="E19" s="45">
        <v>2</v>
      </c>
    </row>
    <row r="20" spans="1:5" x14ac:dyDescent="0.25">
      <c r="A20" s="1" t="str">
        <f t="shared" si="0"/>
        <v/>
      </c>
      <c r="B20" s="181" t="str">
        <f>IFERROR(INDEX('SF Chip Data'!A:A,MATCH(Main!L115,'SF Chip Data'!B:B,0)),"")</f>
        <v/>
      </c>
      <c r="C20" s="1">
        <v>0</v>
      </c>
      <c r="D20" s="181" t="str">
        <f>SF!A11</f>
        <v/>
      </c>
      <c r="E20" s="1">
        <v>1</v>
      </c>
    </row>
    <row r="21" spans="1:5" x14ac:dyDescent="0.25">
      <c r="A21" s="1" t="str">
        <f t="shared" si="0"/>
        <v/>
      </c>
      <c r="B21" s="1" t="str">
        <f>IFERROR(INDEX('SF Chip Data'!A:A,MATCH(Main!L116,'SF Chip Data'!B:B,0)),"")</f>
        <v/>
      </c>
      <c r="C21" s="1">
        <v>0</v>
      </c>
      <c r="D21" s="1" t="str">
        <f>SF!A12</f>
        <v/>
      </c>
      <c r="E21" s="1">
        <v>1</v>
      </c>
    </row>
    <row r="22" spans="1:5" x14ac:dyDescent="0.25">
      <c r="A22" s="1" t="str">
        <f t="shared" si="0"/>
        <v/>
      </c>
      <c r="B22" s="1" t="str">
        <f>IFERROR(INDEX('SF Chip Data'!A:A,MATCH(Main!L117,'SF Chip Data'!B:B,0)),"")</f>
        <v/>
      </c>
      <c r="C22" s="1">
        <v>0</v>
      </c>
      <c r="D22" s="1" t="str">
        <f>SF!A13</f>
        <v/>
      </c>
      <c r="E22" s="1">
        <v>1</v>
      </c>
    </row>
    <row r="23" spans="1:5" x14ac:dyDescent="0.25">
      <c r="A23" s="1" t="str">
        <f t="shared" si="0"/>
        <v/>
      </c>
      <c r="B23" s="1" t="str">
        <f>IFERROR(INDEX('SF Chip Data'!A:A,MATCH(Main!L118,'SF Chip Data'!B:B,0)),"")</f>
        <v/>
      </c>
      <c r="C23" s="1">
        <v>0</v>
      </c>
      <c r="D23" s="1" t="str">
        <f>SF!A14</f>
        <v/>
      </c>
      <c r="E23" s="1">
        <v>1</v>
      </c>
    </row>
    <row r="24" spans="1:5" x14ac:dyDescent="0.25">
      <c r="A24" s="1" t="str">
        <f t="shared" si="0"/>
        <v/>
      </c>
      <c r="B24" s="1" t="str">
        <f>IFERROR(INDEX('SF Chip Data'!A:A,MATCH(Main!L119,'SF Chip Data'!B:B,0)),"")</f>
        <v/>
      </c>
      <c r="C24" s="1">
        <v>0</v>
      </c>
      <c r="D24" s="1" t="str">
        <f>SF!A15</f>
        <v/>
      </c>
      <c r="E24" s="1">
        <v>1</v>
      </c>
    </row>
    <row r="25" spans="1:5" x14ac:dyDescent="0.25">
      <c r="A25" s="45" t="str">
        <f t="shared" si="0"/>
        <v/>
      </c>
      <c r="B25" s="45" t="str">
        <f>IFERROR(INDEX('SF Chip Data'!A:A,MATCH(Main!L120,'SF Chip Data'!B:B,0)),"")</f>
        <v/>
      </c>
      <c r="C25" s="45">
        <v>0</v>
      </c>
      <c r="D25" s="45" t="str">
        <f>SF!A16</f>
        <v/>
      </c>
      <c r="E25" s="45">
        <v>1</v>
      </c>
    </row>
    <row r="26" spans="1:5" x14ac:dyDescent="0.25">
      <c r="A26" s="181" t="str">
        <f t="shared" si="0"/>
        <v/>
      </c>
      <c r="B26" s="181" t="str">
        <f>IFERROR(INDEX('SF Chip Data'!A:A,MATCH(Main!M115,'SF Chip Data'!B:B,0)),"")</f>
        <v/>
      </c>
      <c r="C26" s="181">
        <v>0</v>
      </c>
      <c r="D26" s="181" t="str">
        <f t="shared" ref="D26:D31" si="2">D20</f>
        <v/>
      </c>
      <c r="E26" s="181">
        <v>2</v>
      </c>
    </row>
    <row r="27" spans="1:5" x14ac:dyDescent="0.25">
      <c r="A27" s="1" t="str">
        <f t="shared" si="0"/>
        <v/>
      </c>
      <c r="B27" s="1" t="str">
        <f>IFERROR(INDEX('SF Chip Data'!A:A,MATCH(Main!M116,'SF Chip Data'!B:B,0)),"")</f>
        <v/>
      </c>
      <c r="C27" s="1">
        <v>0</v>
      </c>
      <c r="D27" s="1" t="str">
        <f t="shared" si="2"/>
        <v/>
      </c>
      <c r="E27" s="1">
        <v>2</v>
      </c>
    </row>
    <row r="28" spans="1:5" x14ac:dyDescent="0.25">
      <c r="A28" s="1" t="str">
        <f t="shared" si="0"/>
        <v/>
      </c>
      <c r="B28" s="1" t="str">
        <f>IFERROR(INDEX('SF Chip Data'!A:A,MATCH(Main!M117,'SF Chip Data'!B:B,0)),"")</f>
        <v/>
      </c>
      <c r="C28" s="1">
        <v>0</v>
      </c>
      <c r="D28" s="1" t="str">
        <f t="shared" si="2"/>
        <v/>
      </c>
      <c r="E28" s="1">
        <v>2</v>
      </c>
    </row>
    <row r="29" spans="1:5" x14ac:dyDescent="0.25">
      <c r="A29" s="1" t="str">
        <f t="shared" si="0"/>
        <v/>
      </c>
      <c r="B29" s="1" t="str">
        <f>IFERROR(INDEX('SF Chip Data'!A:A,MATCH(Main!M118,'SF Chip Data'!B:B,0)),"")</f>
        <v/>
      </c>
      <c r="C29" s="1">
        <v>0</v>
      </c>
      <c r="D29" s="1" t="str">
        <f t="shared" si="2"/>
        <v/>
      </c>
      <c r="E29" s="1">
        <v>2</v>
      </c>
    </row>
    <row r="30" spans="1:5" x14ac:dyDescent="0.25">
      <c r="A30" s="1" t="str">
        <f t="shared" si="0"/>
        <v/>
      </c>
      <c r="B30" s="1" t="str">
        <f>IFERROR(INDEX('SF Chip Data'!A:A,MATCH(Main!M119,'SF Chip Data'!B:B,0)),"")</f>
        <v/>
      </c>
      <c r="C30" s="1">
        <v>0</v>
      </c>
      <c r="D30" s="1" t="str">
        <f t="shared" si="2"/>
        <v/>
      </c>
      <c r="E30" s="1">
        <v>2</v>
      </c>
    </row>
    <row r="31" spans="1:5" x14ac:dyDescent="0.25">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85" t="s">
        <v>25</v>
      </c>
      <c r="B1" s="85" t="s">
        <v>26</v>
      </c>
      <c r="C1" s="85" t="s">
        <v>1028</v>
      </c>
      <c r="D1" s="85" t="s">
        <v>30</v>
      </c>
      <c r="E1" s="85" t="s">
        <v>35</v>
      </c>
      <c r="F1" s="85" t="s">
        <v>36</v>
      </c>
      <c r="G1" s="85" t="s">
        <v>1029</v>
      </c>
      <c r="J1" s="85" t="s">
        <v>1102</v>
      </c>
      <c r="K1" s="85" t="s">
        <v>33</v>
      </c>
    </row>
    <row r="2" spans="1:11" x14ac:dyDescent="0.25">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25">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25">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25">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25">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25">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25">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25">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25">
      <c r="A10" s="1"/>
      <c r="B10" s="1"/>
      <c r="C10" s="1"/>
      <c r="D10" s="1"/>
      <c r="E10" s="1"/>
      <c r="F10" s="1"/>
      <c r="G10" s="1"/>
      <c r="J10" s="226">
        <f>IF(SF!A10="",0,1&amp;ROW()-1)</f>
        <v>0</v>
      </c>
      <c r="K10" s="226">
        <f t="array" ref="K10">IF(J10=0,0,SUMPRODUCT((Main!$S$60:$U$62=RIGHT(J10,1)*1)*'Misc Inputs'!$B$3:$D$5))</f>
        <v>0</v>
      </c>
    </row>
    <row r="11" spans="1:11" x14ac:dyDescent="0.25">
      <c r="A11" s="1"/>
      <c r="B11" s="1"/>
      <c r="C11" s="1"/>
      <c r="D11" s="1"/>
      <c r="E11" s="1"/>
      <c r="F11" s="1"/>
      <c r="G11" s="1"/>
      <c r="J11" s="232">
        <f>IF(SF!A11="",0,SF!A11)</f>
        <v>0</v>
      </c>
      <c r="K11" s="232">
        <v>8</v>
      </c>
    </row>
    <row r="12" spans="1:11" x14ac:dyDescent="0.25">
      <c r="A12" s="1"/>
      <c r="B12" s="1"/>
      <c r="C12" s="1"/>
      <c r="D12" s="1"/>
      <c r="E12" s="1"/>
      <c r="F12" s="1"/>
      <c r="G12" s="1"/>
      <c r="J12" s="230">
        <f>IF(SF!A12="",0,SF!A12)</f>
        <v>0</v>
      </c>
      <c r="K12" s="230">
        <v>8</v>
      </c>
    </row>
    <row r="13" spans="1:11" x14ac:dyDescent="0.25">
      <c r="A13" s="1"/>
      <c r="B13" s="1"/>
      <c r="C13" s="1"/>
      <c r="D13" s="1"/>
      <c r="E13" s="1"/>
      <c r="F13" s="1"/>
      <c r="G13" s="1"/>
      <c r="J13" s="230">
        <f>IF(SF!A13="",0,SF!A13)</f>
        <v>0</v>
      </c>
      <c r="K13" s="230">
        <v>8</v>
      </c>
    </row>
    <row r="14" spans="1:11" x14ac:dyDescent="0.25">
      <c r="A14" s="1"/>
      <c r="B14" s="1"/>
      <c r="C14" s="1"/>
      <c r="D14" s="1"/>
      <c r="E14" s="1"/>
      <c r="F14" s="1"/>
      <c r="G14" s="1"/>
      <c r="J14" s="230">
        <f>IF(SF!A14="",0,SF!A14)</f>
        <v>0</v>
      </c>
      <c r="K14" s="230">
        <v>8</v>
      </c>
    </row>
    <row r="15" spans="1:11" x14ac:dyDescent="0.25">
      <c r="A15" s="1"/>
      <c r="B15" s="1"/>
      <c r="C15" s="1"/>
      <c r="D15" s="1"/>
      <c r="E15" s="1"/>
      <c r="F15" s="1"/>
      <c r="G15" s="1"/>
      <c r="J15" s="230">
        <f>IF(SF!A15="",0,SF!A15)</f>
        <v>0</v>
      </c>
      <c r="K15" s="230">
        <v>8</v>
      </c>
    </row>
    <row r="16" spans="1:11" x14ac:dyDescent="0.25">
      <c r="A16" s="1"/>
      <c r="B16" s="1"/>
      <c r="C16" s="1"/>
      <c r="D16" s="1"/>
      <c r="E16" s="1"/>
      <c r="F16" s="1"/>
      <c r="G16" s="1"/>
      <c r="J16" s="234">
        <f>IF(SF!A16="",0,SF!A16)</f>
        <v>0</v>
      </c>
      <c r="K16" s="234">
        <v>8</v>
      </c>
    </row>
    <row r="17" spans="1:11" x14ac:dyDescent="0.25">
      <c r="A17" s="1"/>
      <c r="B17" s="1"/>
      <c r="C17" s="1"/>
      <c r="D17" s="1"/>
      <c r="E17" s="1"/>
      <c r="F17" s="1"/>
      <c r="G17" s="1"/>
      <c r="J17" s="251">
        <f>IF(SF!A17="",0,SF!A17)</f>
        <v>0</v>
      </c>
      <c r="K17" s="251">
        <v>8</v>
      </c>
    </row>
    <row r="18" spans="1:11" x14ac:dyDescent="0.25">
      <c r="A18" s="1"/>
      <c r="B18" s="1"/>
      <c r="C18" s="1"/>
      <c r="D18" s="1"/>
      <c r="E18" s="1"/>
      <c r="F18" s="1"/>
      <c r="G18" s="1"/>
    </row>
    <row r="19" spans="1:11" x14ac:dyDescent="0.25">
      <c r="A19" s="1"/>
      <c r="B19" s="1"/>
      <c r="C19" s="1"/>
      <c r="D19" s="1"/>
      <c r="E19" s="1"/>
      <c r="F19" s="1"/>
      <c r="G19" s="1"/>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38" t="s">
        <v>779</v>
      </c>
      <c r="B1" s="38" t="s">
        <v>775</v>
      </c>
      <c r="C1" s="38" t="s">
        <v>780</v>
      </c>
    </row>
    <row r="2" spans="1:3" x14ac:dyDescent="0.25">
      <c r="A2" t="s">
        <v>777</v>
      </c>
      <c r="B2" s="1">
        <f>IF(DayNight="Day",25,25)</f>
        <v>25</v>
      </c>
      <c r="C2" s="9" t="str">
        <f>IF(DayNight="TargetTrain",'Misc Inputs'!C21,'Misc Inputs'!C25)</f>
        <v>"fairy_skill_on_enemy":"[]",</v>
      </c>
    </row>
    <row r="3" spans="1:3" x14ac:dyDescent="0.25">
      <c r="A3" t="s">
        <v>6462</v>
      </c>
      <c r="B3" s="1">
        <f>IF(DayNight="Day",26,28)</f>
        <v>28</v>
      </c>
      <c r="C3" s="9" t="str">
        <f>IF(EchType="SF",SUBSTITUTE('Misc Inputs'!C18,"on_team","on_sangvis"),SUBSTITUTE('Misc Inputs'!C8,"on_team","on_sangvis"))</f>
        <v>"fairy_skill_on_sangvis": "[]",</v>
      </c>
    </row>
    <row r="4" spans="1:3" x14ac:dyDescent="0.25">
      <c r="A4" t="s">
        <v>776</v>
      </c>
      <c r="B4" s="1">
        <f>IF(DayNight="Day",29,31)</f>
        <v>31</v>
      </c>
      <c r="C4" s="9" t="str">
        <f>IF(EchType="G&amp;K",'Misc Inputs'!C18,'Misc Inputs'!C8)</f>
        <v>"fairy_skill_on_team": "[]",</v>
      </c>
    </row>
    <row r="5" spans="1:3" x14ac:dyDescent="0.25">
      <c r="A5" t="s">
        <v>7092</v>
      </c>
      <c r="B5" s="1">
        <f>IF(DayNight="Day",7,5)</f>
        <v>5</v>
      </c>
      <c r="C5" s="9" t="str">
        <f>'Misc Inputs'!$C$31</f>
        <v>"building_info": "{}",</v>
      </c>
    </row>
    <row r="6" spans="1:3" x14ac:dyDescent="0.25">
      <c r="A6" t="s">
        <v>778</v>
      </c>
      <c r="B6" s="1">
        <f>IF(DayNight="Day",64,77)</f>
        <v>77</v>
      </c>
      <c r="C6" s="9" t="str">
        <f>CHAR(34)&amp;A6&amp;CHAR(34)&amp;": "&amp;CHAR(34)&amp;IF(VehicleMode="RangeCombat",1,TurnNum)&amp;CHAR(34)&amp;","</f>
        <v>"turn": "1",</v>
      </c>
    </row>
    <row r="7" spans="1:3" x14ac:dyDescent="0.25">
      <c r="A7" t="s">
        <v>7314</v>
      </c>
      <c r="B7" s="1">
        <f>IF(DayNight="Day",83,79)</f>
        <v>79</v>
      </c>
      <c r="C7" s="9" t="str">
        <f>CHAR(34)&amp;A7&amp;CHAR(34)&amp;": "&amp;CHAR(34)&amp;INDEX('Mapwide Buffs'!H:H,COUNTA('Mapwide Buffs'!A:A))&amp;CHAR(34)</f>
        <v>"fight_environment_group": ""</v>
      </c>
    </row>
    <row r="8" spans="1:3" x14ac:dyDescent="0.25">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38" t="s">
        <v>1767</v>
      </c>
      <c r="B1" s="38" t="s">
        <v>775</v>
      </c>
      <c r="C1" s="38" t="s">
        <v>1770</v>
      </c>
      <c r="D1" s="38" t="s">
        <v>779</v>
      </c>
      <c r="E1" s="38" t="s">
        <v>1769</v>
      </c>
      <c r="F1" s="10"/>
    </row>
    <row r="2" spans="1:6" x14ac:dyDescent="0.25">
      <c r="A2" s="1">
        <v>100</v>
      </c>
      <c r="B2" s="1">
        <v>15</v>
      </c>
      <c r="C2" s="9" t="str">
        <f t="shared" ref="C2:C10" si="0">CHAR(34)&amp;D2&amp;CHAR(34)&amp;": "&amp;CHAR(34)&amp;E2&amp;CHAR(34)&amp;","</f>
        <v>"sangvis_team_id": "0",</v>
      </c>
      <c r="D2" s="1" t="s">
        <v>1768</v>
      </c>
      <c r="E2" s="1">
        <f>SUMPRODUCT('SF Team'!$D$3:$D$8,--(Main!$A$115:$A$120="X"),--(Main!$N$115:$N$120=A2))</f>
        <v>0</v>
      </c>
    </row>
    <row r="3" spans="1:6" x14ac:dyDescent="0.25">
      <c r="A3" s="1">
        <v>101</v>
      </c>
      <c r="B3" s="1">
        <v>39</v>
      </c>
      <c r="C3" s="9" t="str">
        <f t="shared" si="0"/>
        <v>"sangvis_team_id": "0",</v>
      </c>
      <c r="D3" s="1" t="s">
        <v>1768</v>
      </c>
      <c r="E3" s="1">
        <f>SUMPRODUCT('SF Team'!$D$3:$D$8,--(Main!$A$115:$A$120="X"),--(Main!$N$115:$N$120=A3))</f>
        <v>0</v>
      </c>
    </row>
    <row r="4" spans="1:6" x14ac:dyDescent="0.25">
      <c r="A4" s="1">
        <v>102</v>
      </c>
      <c r="B4" s="1">
        <v>63</v>
      </c>
      <c r="C4" s="9" t="str">
        <f t="shared" si="0"/>
        <v>"sangvis_team_id": "0",</v>
      </c>
      <c r="D4" s="1" t="s">
        <v>1768</v>
      </c>
      <c r="E4" s="1">
        <f>SUMPRODUCT('SF Team'!$D$3:$D$8,--(Main!$A$115:$A$120="X"),--(Main!$N$115:$N$120=A4))</f>
        <v>0</v>
      </c>
    </row>
    <row r="5" spans="1:6" x14ac:dyDescent="0.25">
      <c r="A5" s="1">
        <v>104</v>
      </c>
      <c r="B5" s="1">
        <v>111</v>
      </c>
      <c r="C5" s="9" t="str">
        <f t="shared" si="0"/>
        <v>"sangvis_team_id": "0",</v>
      </c>
      <c r="D5" s="1" t="s">
        <v>1768</v>
      </c>
      <c r="E5" s="1">
        <f>SUMPRODUCT('SF Team'!$D$3:$D$8,--(Main!$A$115:$A$120="X"),--(Main!$N$115:$N$120=A5))</f>
        <v>0</v>
      </c>
    </row>
    <row r="6" spans="1:6" x14ac:dyDescent="0.25">
      <c r="A6" s="1">
        <v>105</v>
      </c>
      <c r="B6" s="1">
        <v>135</v>
      </c>
      <c r="C6" s="9" t="str">
        <f t="shared" si="0"/>
        <v>"sangvis_team_id": "0",</v>
      </c>
      <c r="D6" s="1" t="s">
        <v>1768</v>
      </c>
      <c r="E6" s="1">
        <f>SUMPRODUCT('SF Team'!$D$3:$D$8,--(Main!$A$115:$A$120="X"),--(Main!$N$115:$N$120=A6))</f>
        <v>0</v>
      </c>
    </row>
    <row r="7" spans="1:6" x14ac:dyDescent="0.25">
      <c r="A7" s="1">
        <v>106</v>
      </c>
      <c r="B7" s="1">
        <v>159</v>
      </c>
      <c r="C7" s="9" t="str">
        <f t="shared" si="0"/>
        <v>"sangvis_team_id": "0",</v>
      </c>
      <c r="D7" s="1" t="s">
        <v>1768</v>
      </c>
      <c r="E7" s="1">
        <f>SUMPRODUCT('SF Team'!$D$3:$D$8,--(Main!$A$115:$A$120="X"),--(Main!$N$115:$N$120=A7))</f>
        <v>0</v>
      </c>
    </row>
    <row r="8" spans="1:6" x14ac:dyDescent="0.25">
      <c r="A8" s="1">
        <v>107</v>
      </c>
      <c r="B8" s="1">
        <v>183</v>
      </c>
      <c r="C8" s="9" t="str">
        <f t="shared" si="0"/>
        <v>"sangvis_team_id": "0",</v>
      </c>
      <c r="D8" s="1" t="s">
        <v>1768</v>
      </c>
      <c r="E8" s="1">
        <f>SUMPRODUCT('SF Team'!$D$3:$D$8,--(Main!$A$115:$A$120="X"),--(Main!$N$115:$N$120=A8))</f>
        <v>0</v>
      </c>
    </row>
    <row r="9" spans="1:6" x14ac:dyDescent="0.25">
      <c r="A9" s="1">
        <v>99</v>
      </c>
      <c r="B9" s="1">
        <v>202</v>
      </c>
      <c r="C9" s="9" t="str">
        <f t="shared" si="0"/>
        <v>"sangvis_team_id": "0",</v>
      </c>
      <c r="D9" s="1" t="s">
        <v>1768</v>
      </c>
      <c r="E9" s="1">
        <f>SUMPRODUCT('SF Team'!$D$3:$D$8,--(Main!$A$115:$A$120="X"),--(Main!$N$115:$N$120=A9))</f>
        <v>0</v>
      </c>
    </row>
    <row r="10" spans="1:6" x14ac:dyDescent="0.25">
      <c r="A10" s="1">
        <v>103</v>
      </c>
      <c r="B10" s="1">
        <v>85</v>
      </c>
      <c r="C10" s="9" t="str">
        <f t="shared" si="0"/>
        <v>"seed": "1234",</v>
      </c>
      <c r="D10" s="1" t="s">
        <v>6518</v>
      </c>
      <c r="E10" s="1">
        <f>SeedNum</f>
        <v>1234</v>
      </c>
    </row>
    <row r="11" spans="1:6" x14ac:dyDescent="0.25">
      <c r="A11" s="1">
        <f>A2</f>
        <v>100</v>
      </c>
      <c r="B11" s="1">
        <f>B2+1</f>
        <v>16</v>
      </c>
      <c r="C11" s="9" t="str">
        <f t="shared" ref="C11" si="1">CHAR(34)&amp;D11&amp;CHAR(34)&amp;": ["&amp;E11&amp;"],"</f>
        <v>"ally_instance_ids": [],</v>
      </c>
      <c r="D11" s="1" t="s">
        <v>8558</v>
      </c>
      <c r="E11" s="1" t="str">
        <f>IF(DayNight&lt;&gt;"Day","",_xlfn.IFNA(MATCH(A11,Main!$I$126:$I$128,0),""))</f>
        <v/>
      </c>
    </row>
    <row r="12" spans="1:6" x14ac:dyDescent="0.25">
      <c r="A12" s="1">
        <f t="shared" ref="A12" si="2">A3</f>
        <v>101</v>
      </c>
      <c r="B12" s="1">
        <f t="shared" ref="B12:B18" si="3">B3+1</f>
        <v>40</v>
      </c>
      <c r="C12" s="9" t="str">
        <f t="shared" ref="C12:C18" si="4">CHAR(34)&amp;D12&amp;CHAR(34)&amp;": ["&amp;E12&amp;"],"</f>
        <v>"ally_instance_ids": [],</v>
      </c>
      <c r="D12" s="1" t="s">
        <v>8558</v>
      </c>
      <c r="E12" s="1" t="str">
        <f>IF(DayNight&lt;&gt;"Day","",_xlfn.IFNA(MATCH(A12,Main!$I$126:$I$128,0),""))</f>
        <v/>
      </c>
    </row>
    <row r="13" spans="1:6" x14ac:dyDescent="0.25">
      <c r="A13" s="1">
        <f t="shared" ref="A13" si="5">A4</f>
        <v>102</v>
      </c>
      <c r="B13" s="1">
        <f t="shared" si="3"/>
        <v>64</v>
      </c>
      <c r="C13" s="9" t="str">
        <f t="shared" si="4"/>
        <v>"ally_instance_ids": [],</v>
      </c>
      <c r="D13" s="1" t="s">
        <v>8558</v>
      </c>
      <c r="E13" s="1" t="str">
        <f>IF(DayNight&lt;&gt;"Day","",_xlfn.IFNA(MATCH(A13,Main!$I$126:$I$128,0),""))</f>
        <v/>
      </c>
    </row>
    <row r="14" spans="1:6" x14ac:dyDescent="0.25">
      <c r="A14" s="1">
        <f t="shared" ref="A14" si="6">A5</f>
        <v>104</v>
      </c>
      <c r="B14" s="1">
        <f t="shared" si="3"/>
        <v>112</v>
      </c>
      <c r="C14" s="9" t="str">
        <f t="shared" si="4"/>
        <v>"ally_instance_ids": [],</v>
      </c>
      <c r="D14" s="1" t="s">
        <v>8558</v>
      </c>
      <c r="E14" s="1" t="str">
        <f>IF(DayNight&lt;&gt;"Day","",_xlfn.IFNA(MATCH(A14,Main!$I$126:$I$128,0),""))</f>
        <v/>
      </c>
    </row>
    <row r="15" spans="1:6" x14ac:dyDescent="0.25">
      <c r="A15" s="1">
        <f t="shared" ref="A15" si="7">A6</f>
        <v>105</v>
      </c>
      <c r="B15" s="1">
        <f t="shared" si="3"/>
        <v>136</v>
      </c>
      <c r="C15" s="9" t="str">
        <f t="shared" si="4"/>
        <v>"ally_instance_ids": [],</v>
      </c>
      <c r="D15" s="1" t="s">
        <v>8558</v>
      </c>
      <c r="E15" s="1" t="str">
        <f>IF(DayNight&lt;&gt;"Day","",_xlfn.IFNA(MATCH(A15,Main!$I$126:$I$128,0),""))</f>
        <v/>
      </c>
    </row>
    <row r="16" spans="1:6" x14ac:dyDescent="0.25">
      <c r="A16" s="1">
        <f t="shared" ref="A16" si="8">A7</f>
        <v>106</v>
      </c>
      <c r="B16" s="1">
        <f t="shared" si="3"/>
        <v>160</v>
      </c>
      <c r="C16" s="9" t="str">
        <f t="shared" si="4"/>
        <v>"ally_instance_ids": [],</v>
      </c>
      <c r="D16" s="1" t="s">
        <v>8558</v>
      </c>
      <c r="E16" s="1" t="str">
        <f>IF(DayNight&lt;&gt;"Day","",_xlfn.IFNA(MATCH(A16,Main!$I$126:$I$128,0),""))</f>
        <v/>
      </c>
    </row>
    <row r="17" spans="1:5" x14ac:dyDescent="0.25">
      <c r="A17" s="1">
        <f t="shared" ref="A17" si="9">A8</f>
        <v>107</v>
      </c>
      <c r="B17" s="1">
        <f t="shared" si="3"/>
        <v>184</v>
      </c>
      <c r="C17" s="9" t="str">
        <f t="shared" si="4"/>
        <v>"ally_instance_ids": [],</v>
      </c>
      <c r="D17" s="1" t="s">
        <v>8558</v>
      </c>
      <c r="E17" s="1" t="str">
        <f>IF(DayNight&lt;&gt;"Day","",_xlfn.IFNA(MATCH(A17,Main!$I$126:$I$128,0),""))</f>
        <v/>
      </c>
    </row>
    <row r="18" spans="1:5" x14ac:dyDescent="0.25">
      <c r="A18" s="1">
        <f t="shared" ref="A18" si="10">A9</f>
        <v>99</v>
      </c>
      <c r="B18" s="1">
        <f t="shared" si="3"/>
        <v>203</v>
      </c>
      <c r="C18" s="9" t="str">
        <f t="shared" si="4"/>
        <v>"ally_instance_ids": [],</v>
      </c>
      <c r="D18" s="1" t="s">
        <v>8558</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38" t="s">
        <v>1767</v>
      </c>
      <c r="B1" s="38" t="s">
        <v>775</v>
      </c>
      <c r="C1" s="38" t="s">
        <v>1770</v>
      </c>
      <c r="D1" s="38" t="s">
        <v>779</v>
      </c>
      <c r="E1" s="38" t="s">
        <v>1769</v>
      </c>
      <c r="F1" s="10"/>
      <c r="M1" s="1"/>
      <c r="T1" s="10"/>
    </row>
    <row r="2" spans="1:20" x14ac:dyDescent="0.25">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25">
      <c r="A3" s="1">
        <v>7118</v>
      </c>
      <c r="B3" s="1">
        <v>39</v>
      </c>
      <c r="C3" s="9" t="str">
        <f t="shared" si="0"/>
        <v>"sangvis_team_id": "0",</v>
      </c>
      <c r="D3" s="1" t="s">
        <v>1768</v>
      </c>
      <c r="E3" s="1">
        <f>SUMPRODUCT('SF Team'!$D$3:$D$7,--(Main!$A$115:$A$119="X"),--(Main!$N$115:$N$119=A3))</f>
        <v>0</v>
      </c>
      <c r="F3" s="1"/>
      <c r="M3" s="1"/>
    </row>
    <row r="4" spans="1:20" x14ac:dyDescent="0.25">
      <c r="A4" s="1">
        <v>7119</v>
      </c>
      <c r="B4" s="1">
        <v>63</v>
      </c>
      <c r="C4" s="9" t="str">
        <f t="shared" si="0"/>
        <v>"sangvis_team_id": "0",</v>
      </c>
      <c r="D4" s="1" t="s">
        <v>1768</v>
      </c>
      <c r="E4" s="1">
        <f>SUMPRODUCT('SF Team'!$D$3:$D$7,--(Main!$A$115:$A$119="X"),--(Main!$N$115:$N$119=A4))</f>
        <v>0</v>
      </c>
      <c r="F4" s="1"/>
      <c r="M4" s="1"/>
    </row>
    <row r="5" spans="1:20" x14ac:dyDescent="0.25">
      <c r="A5" s="1">
        <v>7120</v>
      </c>
      <c r="B5" s="1">
        <v>87</v>
      </c>
      <c r="C5" s="9" t="str">
        <f t="shared" si="0"/>
        <v>"sangvis_team_id": "0",</v>
      </c>
      <c r="D5" s="1" t="s">
        <v>1768</v>
      </c>
      <c r="E5" s="1">
        <f>SUMPRODUCT('SF Team'!$D$3:$D$7,--(Main!$A$115:$A$119="X"),--(Main!$N$115:$N$119=A5))</f>
        <v>0</v>
      </c>
      <c r="F5" s="1"/>
      <c r="M5" s="1"/>
    </row>
    <row r="6" spans="1:20" x14ac:dyDescent="0.25">
      <c r="A6" s="1">
        <v>7121</v>
      </c>
      <c r="B6" s="1">
        <v>111</v>
      </c>
      <c r="C6" s="9" t="str">
        <f t="shared" si="0"/>
        <v>"sangvis_team_id": "0",</v>
      </c>
      <c r="D6" s="1" t="s">
        <v>1768</v>
      </c>
      <c r="E6" s="1">
        <f>SUMPRODUCT('SF Team'!$D$3:$D$7,--(Main!$A$115:$A$119="X"),--(Main!$N$115:$N$119=A6))</f>
        <v>0</v>
      </c>
      <c r="F6" s="1"/>
      <c r="M6" s="1"/>
    </row>
    <row r="7" spans="1:20" x14ac:dyDescent="0.25">
      <c r="A7" s="1">
        <v>7122</v>
      </c>
      <c r="B7" s="1">
        <v>135</v>
      </c>
      <c r="C7" s="9" t="str">
        <f t="shared" si="0"/>
        <v>"sangvis_team_id": "0",</v>
      </c>
      <c r="D7" s="1" t="s">
        <v>1768</v>
      </c>
      <c r="E7" s="1">
        <f>SUMPRODUCT('SF Team'!$D$3:$D$7,--(Main!$A$115:$A$119="X"),--(Main!$N$115:$N$119=A7))</f>
        <v>0</v>
      </c>
      <c r="F7" s="1"/>
      <c r="M7" s="1"/>
    </row>
    <row r="8" spans="1:20" x14ac:dyDescent="0.25">
      <c r="A8" s="1">
        <v>7123</v>
      </c>
      <c r="B8" s="1">
        <v>159</v>
      </c>
      <c r="C8" s="9" t="str">
        <f t="shared" si="0"/>
        <v>"sangvis_team_id": "0",</v>
      </c>
      <c r="D8" s="1" t="s">
        <v>1768</v>
      </c>
      <c r="E8" s="1">
        <f>SUMPRODUCT('SF Team'!$D$3:$D$7,--(Main!$A$115:$A$119="X"),--(Main!$N$115:$N$119=A8))</f>
        <v>0</v>
      </c>
      <c r="F8" s="1"/>
      <c r="M8" s="1"/>
    </row>
    <row r="9" spans="1:20" x14ac:dyDescent="0.25">
      <c r="A9" s="1">
        <v>7124</v>
      </c>
      <c r="B9" s="1">
        <v>183</v>
      </c>
      <c r="C9" s="9" t="str">
        <f t="shared" si="0"/>
        <v>"sangvis_team_id": "0",</v>
      </c>
      <c r="D9" s="1" t="s">
        <v>1768</v>
      </c>
      <c r="E9" s="1">
        <f>SUMPRODUCT('SF Team'!$D$3:$D$7,--(Main!$A$115:$A$119="X"),--(Main!$N$115:$N$119=A9))</f>
        <v>0</v>
      </c>
      <c r="F9" s="1"/>
      <c r="M9" s="1"/>
    </row>
    <row r="10" spans="1:20" x14ac:dyDescent="0.25">
      <c r="A10" s="1">
        <v>7126</v>
      </c>
      <c r="B10" s="1">
        <v>207</v>
      </c>
      <c r="C10" s="9" t="str">
        <f t="shared" si="0"/>
        <v>"sangvis_team_id": "0",</v>
      </c>
      <c r="D10" s="1" t="s">
        <v>1768</v>
      </c>
      <c r="E10" s="1">
        <f>SUMPRODUCT('SF Team'!$D$3:$D$7,--(Main!$A$115:$A$119="X"),--(Main!$N$115:$N$119=A10))</f>
        <v>0</v>
      </c>
      <c r="F10" s="1"/>
    </row>
    <row r="11" spans="1:20" x14ac:dyDescent="0.25">
      <c r="A11" s="1">
        <v>7127</v>
      </c>
      <c r="B11" s="1">
        <v>231</v>
      </c>
      <c r="C11" s="9" t="str">
        <f t="shared" si="0"/>
        <v>"sangvis_team_id": "0",</v>
      </c>
      <c r="D11" s="1" t="s">
        <v>1768</v>
      </c>
      <c r="E11" s="1">
        <f>SUMPRODUCT('SF Team'!$D$3:$D$7,--(Main!$A$115:$A$119="X"),--(Main!$N$115:$N$119=A11))</f>
        <v>0</v>
      </c>
      <c r="F11" s="1"/>
    </row>
    <row r="12" spans="1:20" x14ac:dyDescent="0.25">
      <c r="A12" s="1">
        <v>7128</v>
      </c>
      <c r="B12" s="1">
        <v>255</v>
      </c>
      <c r="C12" s="9" t="str">
        <f t="shared" si="0"/>
        <v>"sangvis_team_id": "0",</v>
      </c>
      <c r="D12" s="1" t="s">
        <v>1768</v>
      </c>
      <c r="E12" s="1">
        <f>SUMPRODUCT('SF Team'!$D$3:$D$7,--(Main!$A$115:$A$119="X"),--(Main!$N$115:$N$119=A12))</f>
        <v>0</v>
      </c>
      <c r="F12" s="1"/>
    </row>
    <row r="13" spans="1:20" x14ac:dyDescent="0.25">
      <c r="A13" s="1">
        <v>7129</v>
      </c>
      <c r="B13" s="1">
        <v>279</v>
      </c>
      <c r="C13" s="9" t="str">
        <f t="shared" si="0"/>
        <v>"sangvis_team_id": "0",</v>
      </c>
      <c r="D13" s="1" t="s">
        <v>1768</v>
      </c>
      <c r="E13" s="1">
        <f>SUMPRODUCT('SF Team'!$D$3:$D$7,--(Main!$A$115:$A$119="X"),--(Main!$N$115:$N$119=A13))</f>
        <v>0</v>
      </c>
      <c r="F13" s="1"/>
    </row>
    <row r="14" spans="1:20" x14ac:dyDescent="0.25">
      <c r="A14" s="1">
        <v>7130</v>
      </c>
      <c r="B14" s="1">
        <v>303</v>
      </c>
      <c r="C14" s="9" t="str">
        <f t="shared" si="0"/>
        <v>"sangvis_team_id": "0",</v>
      </c>
      <c r="D14" s="1" t="s">
        <v>1768</v>
      </c>
      <c r="E14" s="1">
        <f>SUMPRODUCT('SF Team'!$D$3:$D$7,--(Main!$A$115:$A$119="X"),--(Main!$N$115:$N$119=A14))</f>
        <v>0</v>
      </c>
      <c r="F14" s="1"/>
    </row>
    <row r="15" spans="1:20" x14ac:dyDescent="0.25">
      <c r="A15" s="1">
        <v>7131</v>
      </c>
      <c r="B15" s="1">
        <v>327</v>
      </c>
      <c r="C15" s="9" t="str">
        <f t="shared" si="0"/>
        <v>"sangvis_team_id": "0",</v>
      </c>
      <c r="D15" s="1" t="s">
        <v>1768</v>
      </c>
      <c r="E15" s="1">
        <f>SUMPRODUCT('SF Team'!$D$3:$D$7,--(Main!$A$115:$A$119="X"),--(Main!$N$115:$N$119=A15))</f>
        <v>0</v>
      </c>
      <c r="F15" s="1"/>
    </row>
    <row r="16" spans="1:20" x14ac:dyDescent="0.25">
      <c r="A16" s="1">
        <v>7132</v>
      </c>
      <c r="B16" s="1">
        <v>351</v>
      </c>
      <c r="C16" s="9" t="str">
        <f t="shared" si="0"/>
        <v>"sangvis_team_id": "0",</v>
      </c>
      <c r="D16" s="1" t="s">
        <v>1768</v>
      </c>
      <c r="E16" s="1">
        <f>SUMPRODUCT('SF Team'!$D$3:$D$7,--(Main!$A$115:$A$119="X"),--(Main!$N$115:$N$119=A16))</f>
        <v>0</v>
      </c>
      <c r="F16" s="1"/>
    </row>
    <row r="17" spans="1:6" x14ac:dyDescent="0.25">
      <c r="A17" s="1">
        <v>7133</v>
      </c>
      <c r="B17" s="1">
        <v>375</v>
      </c>
      <c r="C17" s="9" t="str">
        <f t="shared" si="0"/>
        <v>"sangvis_team_id": "0",</v>
      </c>
      <c r="D17" s="1" t="s">
        <v>1768</v>
      </c>
      <c r="E17" s="1">
        <f>SUMPRODUCT('SF Team'!$D$3:$D$7,--(Main!$A$115:$A$119="X"),--(Main!$N$115:$N$119=A17))</f>
        <v>0</v>
      </c>
      <c r="F17" s="1"/>
    </row>
    <row r="18" spans="1:6" x14ac:dyDescent="0.25">
      <c r="A18" s="1">
        <v>7134</v>
      </c>
      <c r="B18" s="1">
        <v>399</v>
      </c>
      <c r="C18" s="9" t="str">
        <f t="shared" si="0"/>
        <v>"sangvis_team_id": "0",</v>
      </c>
      <c r="D18" s="1" t="s">
        <v>1768</v>
      </c>
      <c r="E18" s="1">
        <f>SUMPRODUCT('SF Team'!$D$3:$D$7,--(Main!$A$115:$A$119="X"),--(Main!$N$115:$N$119=A18))</f>
        <v>0</v>
      </c>
      <c r="F18" s="1"/>
    </row>
    <row r="19" spans="1:6" x14ac:dyDescent="0.25">
      <c r="A19" s="1">
        <v>7135</v>
      </c>
      <c r="B19" s="1">
        <v>423</v>
      </c>
      <c r="C19" s="9" t="str">
        <f t="shared" si="0"/>
        <v>"sangvis_team_id": "0",</v>
      </c>
      <c r="D19" s="1" t="s">
        <v>1768</v>
      </c>
      <c r="E19" s="1">
        <f>SUMPRODUCT('SF Team'!$D$3:$D$7,--(Main!$A$115:$A$119="X"),--(Main!$N$115:$N$119=A19))</f>
        <v>0</v>
      </c>
      <c r="F19" s="1"/>
    </row>
    <row r="20" spans="1:6" x14ac:dyDescent="0.25">
      <c r="A20" s="1">
        <v>7136</v>
      </c>
      <c r="B20" s="1">
        <v>447</v>
      </c>
      <c r="C20" s="9" t="str">
        <f t="shared" si="0"/>
        <v>"sangvis_team_id": "0",</v>
      </c>
      <c r="D20" s="1" t="s">
        <v>1768</v>
      </c>
      <c r="E20" s="1">
        <f>SUMPRODUCT('SF Team'!$D$3:$D$7,--(Main!$A$115:$A$119="X"),--(Main!$N$115:$N$119=A20))</f>
        <v>0</v>
      </c>
      <c r="F20" s="1"/>
    </row>
    <row r="21" spans="1:6" x14ac:dyDescent="0.25">
      <c r="A21" s="1">
        <v>7137</v>
      </c>
      <c r="B21" s="1">
        <v>471</v>
      </c>
      <c r="C21" s="9" t="str">
        <f t="shared" si="0"/>
        <v>"sangvis_team_id": "0",</v>
      </c>
      <c r="D21" s="1" t="s">
        <v>1768</v>
      </c>
      <c r="E21" s="1">
        <f>SUMPRODUCT('SF Team'!$D$3:$D$7,--(Main!$A$115:$A$119="X"),--(Main!$N$115:$N$119=A21))</f>
        <v>0</v>
      </c>
      <c r="F21" s="1"/>
    </row>
    <row r="22" spans="1:6" x14ac:dyDescent="0.25">
      <c r="A22" s="1">
        <v>7138</v>
      </c>
      <c r="B22" s="1">
        <v>495</v>
      </c>
      <c r="C22" s="9" t="str">
        <f t="shared" si="0"/>
        <v>"sangvis_team_id": "0",</v>
      </c>
      <c r="D22" s="1" t="s">
        <v>1768</v>
      </c>
      <c r="E22" s="1">
        <f>SUMPRODUCT('SF Team'!$D$3:$D$7,--(Main!$A$115:$A$119="X"),--(Main!$N$115:$N$119=A22))</f>
        <v>0</v>
      </c>
      <c r="F22" s="1"/>
    </row>
    <row r="23" spans="1:6" x14ac:dyDescent="0.25">
      <c r="A23" s="1">
        <v>7139</v>
      </c>
      <c r="B23" s="1">
        <v>519</v>
      </c>
      <c r="C23" s="9" t="str">
        <f t="shared" si="0"/>
        <v>"sangvis_team_id": "0",</v>
      </c>
      <c r="D23" s="1" t="s">
        <v>1768</v>
      </c>
      <c r="E23" s="1">
        <f>SUMPRODUCT('SF Team'!$D$3:$D$7,--(Main!$A$115:$A$119="X"),--(Main!$N$115:$N$119=A23))</f>
        <v>0</v>
      </c>
      <c r="F23" s="1"/>
    </row>
    <row r="24" spans="1:6" x14ac:dyDescent="0.25">
      <c r="A24" s="1">
        <v>7140</v>
      </c>
      <c r="B24" s="1">
        <v>543</v>
      </c>
      <c r="C24" s="9" t="str">
        <f t="shared" si="0"/>
        <v>"sangvis_team_id": "0",</v>
      </c>
      <c r="D24" s="1" t="s">
        <v>1768</v>
      </c>
      <c r="E24" s="1">
        <f>SUMPRODUCT('SF Team'!$D$3:$D$7,--(Main!$A$115:$A$119="X"),--(Main!$N$115:$N$119=A24))</f>
        <v>0</v>
      </c>
      <c r="F24" s="1"/>
    </row>
    <row r="25" spans="1:6" x14ac:dyDescent="0.25">
      <c r="A25" s="1">
        <v>7141</v>
      </c>
      <c r="B25" s="1">
        <v>567</v>
      </c>
      <c r="C25" s="9" t="str">
        <f t="shared" si="0"/>
        <v>"sangvis_team_id": "0",</v>
      </c>
      <c r="D25" s="1" t="s">
        <v>1768</v>
      </c>
      <c r="E25" s="1">
        <f>SUMPRODUCT('SF Team'!$D$3:$D$7,--(Main!$A$115:$A$119="X"),--(Main!$N$115:$N$119=A25))</f>
        <v>0</v>
      </c>
      <c r="F25" s="1"/>
    </row>
    <row r="26" spans="1:6" x14ac:dyDescent="0.25">
      <c r="A26" s="1">
        <v>7142</v>
      </c>
      <c r="B26" s="1">
        <v>591</v>
      </c>
      <c r="C26" s="9" t="str">
        <f t="shared" si="0"/>
        <v>"sangvis_team_id": "0",</v>
      </c>
      <c r="D26" s="1" t="s">
        <v>1768</v>
      </c>
      <c r="E26" s="1">
        <f>SUMPRODUCT('SF Team'!$D$3:$D$7,--(Main!$A$115:$A$119="X"),--(Main!$N$115:$N$119=A26))</f>
        <v>0</v>
      </c>
      <c r="F26" s="1"/>
    </row>
    <row r="27" spans="1:6" x14ac:dyDescent="0.25">
      <c r="A27" s="1">
        <v>7143</v>
      </c>
      <c r="B27" s="1">
        <v>615</v>
      </c>
      <c r="C27" s="9" t="str">
        <f t="shared" si="0"/>
        <v>"sangvis_team_id": "0",</v>
      </c>
      <c r="D27" s="1" t="s">
        <v>1768</v>
      </c>
      <c r="E27" s="1">
        <f>SUMPRODUCT('SF Team'!$D$3:$D$7,--(Main!$A$115:$A$119="X"),--(Main!$N$115:$N$119=A27))</f>
        <v>0</v>
      </c>
      <c r="F27" s="1"/>
    </row>
    <row r="28" spans="1:6" x14ac:dyDescent="0.25">
      <c r="A28" s="1">
        <v>7144</v>
      </c>
      <c r="B28" s="1">
        <v>639</v>
      </c>
      <c r="C28" s="9" t="str">
        <f t="shared" si="0"/>
        <v>"sangvis_team_id": "0",</v>
      </c>
      <c r="D28" s="1" t="s">
        <v>1768</v>
      </c>
      <c r="E28" s="1">
        <f>SUMPRODUCT('SF Team'!$D$3:$D$7,--(Main!$A$115:$A$119="X"),--(Main!$N$115:$N$119=A28))</f>
        <v>0</v>
      </c>
      <c r="F28" s="1"/>
    </row>
    <row r="29" spans="1:6" x14ac:dyDescent="0.25">
      <c r="A29" s="1">
        <v>7145</v>
      </c>
      <c r="B29" s="1">
        <v>663</v>
      </c>
      <c r="C29" s="9" t="str">
        <f t="shared" si="0"/>
        <v>"sangvis_team_id": "0",</v>
      </c>
      <c r="D29" s="1" t="s">
        <v>1768</v>
      </c>
      <c r="E29" s="1">
        <f>SUMPRODUCT('SF Team'!$D$3:$D$7,--(Main!$A$115:$A$119="X"),--(Main!$N$115:$N$119=A29))</f>
        <v>0</v>
      </c>
      <c r="F29" s="1"/>
    </row>
    <row r="30" spans="1:6" x14ac:dyDescent="0.25">
      <c r="A30" s="1">
        <v>7146</v>
      </c>
      <c r="B30" s="1">
        <v>687</v>
      </c>
      <c r="C30" s="9" t="str">
        <f t="shared" si="0"/>
        <v>"sangvis_team_id": "0",</v>
      </c>
      <c r="D30" s="1" t="s">
        <v>1768</v>
      </c>
      <c r="E30" s="1">
        <f>SUMPRODUCT('SF Team'!$D$3:$D$7,--(Main!$A$115:$A$119="X"),--(Main!$N$115:$N$119=A30))</f>
        <v>0</v>
      </c>
      <c r="F30" s="1"/>
    </row>
    <row r="31" spans="1:6" x14ac:dyDescent="0.25">
      <c r="A31" s="1">
        <v>7125</v>
      </c>
      <c r="B31" s="1">
        <v>711</v>
      </c>
      <c r="C31" s="9" t="str">
        <f t="shared" si="0"/>
        <v>"sangvis_team_id": "0",</v>
      </c>
      <c r="D31" s="1" t="s">
        <v>1768</v>
      </c>
      <c r="E31" s="1">
        <f>SUMPRODUCT('SF Team'!$D$3:$D$7,--(Main!$A$115:$A$119="X"),--(Main!$N$115:$N$119=A31))</f>
        <v>0</v>
      </c>
      <c r="F31" s="1"/>
    </row>
    <row r="32" spans="1:6" x14ac:dyDescent="0.25">
      <c r="A32" s="1">
        <v>7123</v>
      </c>
      <c r="B32" s="1">
        <v>157</v>
      </c>
      <c r="C32" s="9" t="str">
        <f t="shared" si="0"/>
        <v>"seed": "1234",</v>
      </c>
      <c r="D32" s="1" t="s">
        <v>6518</v>
      </c>
      <c r="E32" s="1">
        <f>SeedNum</f>
        <v>1234</v>
      </c>
      <c r="F32" s="1"/>
    </row>
    <row r="33" spans="1:5" x14ac:dyDescent="0.25">
      <c r="A33" s="1">
        <f>A2</f>
        <v>7117</v>
      </c>
      <c r="B33" s="1">
        <f>B2+1</f>
        <v>16</v>
      </c>
      <c r="C33" s="9" t="str">
        <f>CHAR(34)&amp;D33&amp;CHAR(34)&amp;": ["&amp;E33&amp;"],"</f>
        <v>"ally_instance_ids": [],</v>
      </c>
      <c r="D33" s="1" t="s">
        <v>8558</v>
      </c>
      <c r="E33" s="1" t="str">
        <f>IF(DayNight&lt;&gt;"Night","",_xlfn.IFNA(MATCH(A33,Main!$I$126:$I$128,0),""))</f>
        <v/>
      </c>
    </row>
    <row r="34" spans="1:5" x14ac:dyDescent="0.25">
      <c r="A34" s="1">
        <f t="shared" ref="A34" si="1">A3</f>
        <v>7118</v>
      </c>
      <c r="B34" s="1">
        <f t="shared" ref="B34:B62" si="2">B3+1</f>
        <v>40</v>
      </c>
      <c r="C34" s="9" t="str">
        <f t="shared" ref="C34:C62" si="3">CHAR(34)&amp;D34&amp;CHAR(34)&amp;": ["&amp;E34&amp;"],"</f>
        <v>"ally_instance_ids": [],</v>
      </c>
      <c r="D34" s="1" t="s">
        <v>8558</v>
      </c>
      <c r="E34" s="1" t="str">
        <f>IF(DayNight&lt;&gt;"Night","",_xlfn.IFNA(MATCH(A34,Main!$I$126:$I$128,0),""))</f>
        <v/>
      </c>
    </row>
    <row r="35" spans="1:5" x14ac:dyDescent="0.25">
      <c r="A35" s="1">
        <f t="shared" ref="A35" si="4">A4</f>
        <v>7119</v>
      </c>
      <c r="B35" s="1">
        <f t="shared" si="2"/>
        <v>64</v>
      </c>
      <c r="C35" s="9" t="str">
        <f t="shared" si="3"/>
        <v>"ally_instance_ids": [],</v>
      </c>
      <c r="D35" s="1" t="s">
        <v>8558</v>
      </c>
      <c r="E35" s="1" t="str">
        <f>IF(DayNight&lt;&gt;"Night","",_xlfn.IFNA(MATCH(A35,Main!$I$126:$I$128,0),""))</f>
        <v/>
      </c>
    </row>
    <row r="36" spans="1:5" x14ac:dyDescent="0.25">
      <c r="A36" s="1">
        <f t="shared" ref="A36" si="5">A5</f>
        <v>7120</v>
      </c>
      <c r="B36" s="1">
        <f t="shared" si="2"/>
        <v>88</v>
      </c>
      <c r="C36" s="9" t="str">
        <f t="shared" si="3"/>
        <v>"ally_instance_ids": [],</v>
      </c>
      <c r="D36" s="1" t="s">
        <v>8558</v>
      </c>
      <c r="E36" s="1" t="str">
        <f>IF(DayNight&lt;&gt;"Night","",_xlfn.IFNA(MATCH(A36,Main!$I$126:$I$128,0),""))</f>
        <v/>
      </c>
    </row>
    <row r="37" spans="1:5" x14ac:dyDescent="0.25">
      <c r="A37" s="1">
        <f t="shared" ref="A37" si="6">A6</f>
        <v>7121</v>
      </c>
      <c r="B37" s="1">
        <f t="shared" si="2"/>
        <v>112</v>
      </c>
      <c r="C37" s="9" t="str">
        <f t="shared" si="3"/>
        <v>"ally_instance_ids": [],</v>
      </c>
      <c r="D37" s="1" t="s">
        <v>8558</v>
      </c>
      <c r="E37" s="1" t="str">
        <f>IF(DayNight&lt;&gt;"Night","",_xlfn.IFNA(MATCH(A37,Main!$I$126:$I$128,0),""))</f>
        <v/>
      </c>
    </row>
    <row r="38" spans="1:5" x14ac:dyDescent="0.25">
      <c r="A38" s="1">
        <f t="shared" ref="A38" si="7">A7</f>
        <v>7122</v>
      </c>
      <c r="B38" s="1">
        <f t="shared" si="2"/>
        <v>136</v>
      </c>
      <c r="C38" s="9" t="str">
        <f t="shared" si="3"/>
        <v>"ally_instance_ids": [],</v>
      </c>
      <c r="D38" s="1" t="s">
        <v>8558</v>
      </c>
      <c r="E38" s="1" t="str">
        <f>IF(DayNight&lt;&gt;"Night","",_xlfn.IFNA(MATCH(A38,Main!$I$126:$I$128,0),""))</f>
        <v/>
      </c>
    </row>
    <row r="39" spans="1:5" x14ac:dyDescent="0.25">
      <c r="A39" s="1">
        <f t="shared" ref="A39" si="8">A8</f>
        <v>7123</v>
      </c>
      <c r="B39" s="1">
        <f t="shared" si="2"/>
        <v>160</v>
      </c>
      <c r="C39" s="9" t="str">
        <f t="shared" si="3"/>
        <v>"ally_instance_ids": [],</v>
      </c>
      <c r="D39" s="1" t="s">
        <v>8558</v>
      </c>
      <c r="E39" s="1" t="str">
        <f>IF(DayNight&lt;&gt;"Night","",_xlfn.IFNA(MATCH(A39,Main!$I$126:$I$128,0),""))</f>
        <v/>
      </c>
    </row>
    <row r="40" spans="1:5" x14ac:dyDescent="0.25">
      <c r="A40" s="1">
        <f t="shared" ref="A40" si="9">A9</f>
        <v>7124</v>
      </c>
      <c r="B40" s="1">
        <f t="shared" si="2"/>
        <v>184</v>
      </c>
      <c r="C40" s="9" t="str">
        <f t="shared" si="3"/>
        <v>"ally_instance_ids": [],</v>
      </c>
      <c r="D40" s="1" t="s">
        <v>8558</v>
      </c>
      <c r="E40" s="1" t="str">
        <f>IF(DayNight&lt;&gt;"Night","",_xlfn.IFNA(MATCH(A40,Main!$I$126:$I$128,0),""))</f>
        <v/>
      </c>
    </row>
    <row r="41" spans="1:5" x14ac:dyDescent="0.25">
      <c r="A41" s="1">
        <f t="shared" ref="A41" si="10">A10</f>
        <v>7126</v>
      </c>
      <c r="B41" s="1">
        <f t="shared" si="2"/>
        <v>208</v>
      </c>
      <c r="C41" s="9" t="str">
        <f t="shared" si="3"/>
        <v>"ally_instance_ids": [],</v>
      </c>
      <c r="D41" s="1" t="s">
        <v>8558</v>
      </c>
      <c r="E41" s="1" t="str">
        <f>IF(DayNight&lt;&gt;"Night","",_xlfn.IFNA(MATCH(A41,Main!$I$126:$I$128,0),""))</f>
        <v/>
      </c>
    </row>
    <row r="42" spans="1:5" x14ac:dyDescent="0.25">
      <c r="A42" s="1">
        <f t="shared" ref="A42" si="11">A11</f>
        <v>7127</v>
      </c>
      <c r="B42" s="1">
        <f t="shared" si="2"/>
        <v>232</v>
      </c>
      <c r="C42" s="9" t="str">
        <f t="shared" si="3"/>
        <v>"ally_instance_ids": [],</v>
      </c>
      <c r="D42" s="1" t="s">
        <v>8558</v>
      </c>
      <c r="E42" s="1" t="str">
        <f>IF(DayNight&lt;&gt;"Night","",_xlfn.IFNA(MATCH(A42,Main!$I$126:$I$128,0),""))</f>
        <v/>
      </c>
    </row>
    <row r="43" spans="1:5" x14ac:dyDescent="0.25">
      <c r="A43" s="1">
        <f t="shared" ref="A43" si="12">A12</f>
        <v>7128</v>
      </c>
      <c r="B43" s="1">
        <f t="shared" si="2"/>
        <v>256</v>
      </c>
      <c r="C43" s="9" t="str">
        <f t="shared" si="3"/>
        <v>"ally_instance_ids": [],</v>
      </c>
      <c r="D43" s="1" t="s">
        <v>8558</v>
      </c>
      <c r="E43" s="1" t="str">
        <f>IF(DayNight&lt;&gt;"Night","",_xlfn.IFNA(MATCH(A43,Main!$I$126:$I$128,0),""))</f>
        <v/>
      </c>
    </row>
    <row r="44" spans="1:5" x14ac:dyDescent="0.25">
      <c r="A44" s="1">
        <f t="shared" ref="A44" si="13">A13</f>
        <v>7129</v>
      </c>
      <c r="B44" s="1">
        <f t="shared" si="2"/>
        <v>280</v>
      </c>
      <c r="C44" s="9" t="str">
        <f t="shared" si="3"/>
        <v>"ally_instance_ids": [],</v>
      </c>
      <c r="D44" s="1" t="s">
        <v>8558</v>
      </c>
      <c r="E44" s="1" t="str">
        <f>IF(DayNight&lt;&gt;"Night","",_xlfn.IFNA(MATCH(A44,Main!$I$126:$I$128,0),""))</f>
        <v/>
      </c>
    </row>
    <row r="45" spans="1:5" x14ac:dyDescent="0.25">
      <c r="A45" s="1">
        <f t="shared" ref="A45" si="14">A14</f>
        <v>7130</v>
      </c>
      <c r="B45" s="1">
        <f t="shared" si="2"/>
        <v>304</v>
      </c>
      <c r="C45" s="9" t="str">
        <f t="shared" si="3"/>
        <v>"ally_instance_ids": [],</v>
      </c>
      <c r="D45" s="1" t="s">
        <v>8558</v>
      </c>
      <c r="E45" s="1" t="str">
        <f>IF(DayNight&lt;&gt;"Night","",_xlfn.IFNA(MATCH(A45,Main!$I$126:$I$128,0),""))</f>
        <v/>
      </c>
    </row>
    <row r="46" spans="1:5" x14ac:dyDescent="0.25">
      <c r="A46" s="1">
        <f t="shared" ref="A46" si="15">A15</f>
        <v>7131</v>
      </c>
      <c r="B46" s="1">
        <f t="shared" si="2"/>
        <v>328</v>
      </c>
      <c r="C46" s="9" t="str">
        <f t="shared" si="3"/>
        <v>"ally_instance_ids": [],</v>
      </c>
      <c r="D46" s="1" t="s">
        <v>8558</v>
      </c>
      <c r="E46" s="1" t="str">
        <f>IF(DayNight&lt;&gt;"Night","",_xlfn.IFNA(MATCH(A46,Main!$I$126:$I$128,0),""))</f>
        <v/>
      </c>
    </row>
    <row r="47" spans="1:5" x14ac:dyDescent="0.25">
      <c r="A47" s="1">
        <f t="shared" ref="A47" si="16">A16</f>
        <v>7132</v>
      </c>
      <c r="B47" s="1">
        <f t="shared" si="2"/>
        <v>352</v>
      </c>
      <c r="C47" s="9" t="str">
        <f t="shared" si="3"/>
        <v>"ally_instance_ids": [],</v>
      </c>
      <c r="D47" s="1" t="s">
        <v>8558</v>
      </c>
      <c r="E47" s="1" t="str">
        <f>IF(DayNight&lt;&gt;"Night","",_xlfn.IFNA(MATCH(A47,Main!$I$126:$I$128,0),""))</f>
        <v/>
      </c>
    </row>
    <row r="48" spans="1:5" x14ac:dyDescent="0.25">
      <c r="A48" s="1">
        <f t="shared" ref="A48" si="17">A17</f>
        <v>7133</v>
      </c>
      <c r="B48" s="1">
        <f t="shared" si="2"/>
        <v>376</v>
      </c>
      <c r="C48" s="9" t="str">
        <f t="shared" si="3"/>
        <v>"ally_instance_ids": [],</v>
      </c>
      <c r="D48" s="1" t="s">
        <v>8558</v>
      </c>
      <c r="E48" s="1" t="str">
        <f>IF(DayNight&lt;&gt;"Night","",_xlfn.IFNA(MATCH(A48,Main!$I$126:$I$128,0),""))</f>
        <v/>
      </c>
    </row>
    <row r="49" spans="1:5" x14ac:dyDescent="0.25">
      <c r="A49" s="1">
        <f t="shared" ref="A49" si="18">A18</f>
        <v>7134</v>
      </c>
      <c r="B49" s="1">
        <f t="shared" si="2"/>
        <v>400</v>
      </c>
      <c r="C49" s="9" t="str">
        <f t="shared" si="3"/>
        <v>"ally_instance_ids": [],</v>
      </c>
      <c r="D49" s="1" t="s">
        <v>8558</v>
      </c>
      <c r="E49" s="1" t="str">
        <f>IF(DayNight&lt;&gt;"Night","",_xlfn.IFNA(MATCH(A49,Main!$I$126:$I$128,0),""))</f>
        <v/>
      </c>
    </row>
    <row r="50" spans="1:5" x14ac:dyDescent="0.25">
      <c r="A50" s="1">
        <f t="shared" ref="A50" si="19">A19</f>
        <v>7135</v>
      </c>
      <c r="B50" s="1">
        <f t="shared" si="2"/>
        <v>424</v>
      </c>
      <c r="C50" s="9" t="str">
        <f t="shared" si="3"/>
        <v>"ally_instance_ids": [],</v>
      </c>
      <c r="D50" s="1" t="s">
        <v>8558</v>
      </c>
      <c r="E50" s="1" t="str">
        <f>IF(DayNight&lt;&gt;"Night","",_xlfn.IFNA(MATCH(A50,Main!$I$126:$I$128,0),""))</f>
        <v/>
      </c>
    </row>
    <row r="51" spans="1:5" x14ac:dyDescent="0.25">
      <c r="A51" s="1">
        <f t="shared" ref="A51" si="20">A20</f>
        <v>7136</v>
      </c>
      <c r="B51" s="1">
        <f t="shared" si="2"/>
        <v>448</v>
      </c>
      <c r="C51" s="9" t="str">
        <f t="shared" si="3"/>
        <v>"ally_instance_ids": [],</v>
      </c>
      <c r="D51" s="1" t="s">
        <v>8558</v>
      </c>
      <c r="E51" s="1" t="str">
        <f>IF(DayNight&lt;&gt;"Night","",_xlfn.IFNA(MATCH(A51,Main!$I$126:$I$128,0),""))</f>
        <v/>
      </c>
    </row>
    <row r="52" spans="1:5" x14ac:dyDescent="0.25">
      <c r="A52" s="1">
        <f t="shared" ref="A52" si="21">A21</f>
        <v>7137</v>
      </c>
      <c r="B52" s="1">
        <f t="shared" si="2"/>
        <v>472</v>
      </c>
      <c r="C52" s="9" t="str">
        <f t="shared" si="3"/>
        <v>"ally_instance_ids": [],</v>
      </c>
      <c r="D52" s="1" t="s">
        <v>8558</v>
      </c>
      <c r="E52" s="1" t="str">
        <f>IF(DayNight&lt;&gt;"Night","",_xlfn.IFNA(MATCH(A52,Main!$I$126:$I$128,0),""))</f>
        <v/>
      </c>
    </row>
    <row r="53" spans="1:5" x14ac:dyDescent="0.25">
      <c r="A53" s="1">
        <f t="shared" ref="A53" si="22">A22</f>
        <v>7138</v>
      </c>
      <c r="B53" s="1">
        <f t="shared" si="2"/>
        <v>496</v>
      </c>
      <c r="C53" s="9" t="str">
        <f t="shared" si="3"/>
        <v>"ally_instance_ids": [],</v>
      </c>
      <c r="D53" s="1" t="s">
        <v>8558</v>
      </c>
      <c r="E53" s="1" t="str">
        <f>IF(DayNight&lt;&gt;"Night","",_xlfn.IFNA(MATCH(A53,Main!$I$126:$I$128,0),""))</f>
        <v/>
      </c>
    </row>
    <row r="54" spans="1:5" x14ac:dyDescent="0.25">
      <c r="A54" s="1">
        <f t="shared" ref="A54" si="23">A23</f>
        <v>7139</v>
      </c>
      <c r="B54" s="1">
        <f t="shared" si="2"/>
        <v>520</v>
      </c>
      <c r="C54" s="9" t="str">
        <f t="shared" si="3"/>
        <v>"ally_instance_ids": [],</v>
      </c>
      <c r="D54" s="1" t="s">
        <v>8558</v>
      </c>
      <c r="E54" s="1" t="str">
        <f>IF(DayNight&lt;&gt;"Night","",_xlfn.IFNA(MATCH(A54,Main!$I$126:$I$128,0),""))</f>
        <v/>
      </c>
    </row>
    <row r="55" spans="1:5" x14ac:dyDescent="0.25">
      <c r="A55" s="1">
        <f t="shared" ref="A55" si="24">A24</f>
        <v>7140</v>
      </c>
      <c r="B55" s="1">
        <f t="shared" si="2"/>
        <v>544</v>
      </c>
      <c r="C55" s="9" t="str">
        <f t="shared" si="3"/>
        <v>"ally_instance_ids": [],</v>
      </c>
      <c r="D55" s="1" t="s">
        <v>8558</v>
      </c>
      <c r="E55" s="1" t="str">
        <f>IF(DayNight&lt;&gt;"Night","",_xlfn.IFNA(MATCH(A55,Main!$I$126:$I$128,0),""))</f>
        <v/>
      </c>
    </row>
    <row r="56" spans="1:5" x14ac:dyDescent="0.25">
      <c r="A56" s="1">
        <f t="shared" ref="A56" si="25">A25</f>
        <v>7141</v>
      </c>
      <c r="B56" s="1">
        <f t="shared" si="2"/>
        <v>568</v>
      </c>
      <c r="C56" s="9" t="str">
        <f t="shared" si="3"/>
        <v>"ally_instance_ids": [],</v>
      </c>
      <c r="D56" s="1" t="s">
        <v>8558</v>
      </c>
      <c r="E56" s="1" t="str">
        <f>IF(DayNight&lt;&gt;"Night","",_xlfn.IFNA(MATCH(A56,Main!$I$126:$I$128,0),""))</f>
        <v/>
      </c>
    </row>
    <row r="57" spans="1:5" x14ac:dyDescent="0.25">
      <c r="A57" s="1">
        <f t="shared" ref="A57" si="26">A26</f>
        <v>7142</v>
      </c>
      <c r="B57" s="1">
        <f t="shared" si="2"/>
        <v>592</v>
      </c>
      <c r="C57" s="9" t="str">
        <f t="shared" si="3"/>
        <v>"ally_instance_ids": [],</v>
      </c>
      <c r="D57" s="1" t="s">
        <v>8558</v>
      </c>
      <c r="E57" s="1" t="str">
        <f>IF(DayNight&lt;&gt;"Night","",_xlfn.IFNA(MATCH(A57,Main!$I$126:$I$128,0),""))</f>
        <v/>
      </c>
    </row>
    <row r="58" spans="1:5" x14ac:dyDescent="0.25">
      <c r="A58" s="1">
        <f t="shared" ref="A58" si="27">A27</f>
        <v>7143</v>
      </c>
      <c r="B58" s="1">
        <f t="shared" si="2"/>
        <v>616</v>
      </c>
      <c r="C58" s="9" t="str">
        <f t="shared" si="3"/>
        <v>"ally_instance_ids": [],</v>
      </c>
      <c r="D58" s="1" t="s">
        <v>8558</v>
      </c>
      <c r="E58" s="1" t="str">
        <f>IF(DayNight&lt;&gt;"Night","",_xlfn.IFNA(MATCH(A58,Main!$I$126:$I$128,0),""))</f>
        <v/>
      </c>
    </row>
    <row r="59" spans="1:5" x14ac:dyDescent="0.25">
      <c r="A59" s="1">
        <f t="shared" ref="A59" si="28">A28</f>
        <v>7144</v>
      </c>
      <c r="B59" s="1">
        <f t="shared" si="2"/>
        <v>640</v>
      </c>
      <c r="C59" s="9" t="str">
        <f t="shared" si="3"/>
        <v>"ally_instance_ids": [],</v>
      </c>
      <c r="D59" s="1" t="s">
        <v>8558</v>
      </c>
      <c r="E59" s="1" t="str">
        <f>IF(DayNight&lt;&gt;"Night","",_xlfn.IFNA(MATCH(A59,Main!$I$126:$I$128,0),""))</f>
        <v/>
      </c>
    </row>
    <row r="60" spans="1:5" x14ac:dyDescent="0.25">
      <c r="A60" s="1">
        <f t="shared" ref="A60" si="29">A29</f>
        <v>7145</v>
      </c>
      <c r="B60" s="1">
        <f t="shared" si="2"/>
        <v>664</v>
      </c>
      <c r="C60" s="9" t="str">
        <f t="shared" si="3"/>
        <v>"ally_instance_ids": [],</v>
      </c>
      <c r="D60" s="1" t="s">
        <v>8558</v>
      </c>
      <c r="E60" s="1" t="str">
        <f>IF(DayNight&lt;&gt;"Night","",_xlfn.IFNA(MATCH(A60,Main!$I$126:$I$128,0),""))</f>
        <v/>
      </c>
    </row>
    <row r="61" spans="1:5" x14ac:dyDescent="0.25">
      <c r="A61" s="1">
        <f t="shared" ref="A61" si="30">A30</f>
        <v>7146</v>
      </c>
      <c r="B61" s="1">
        <f t="shared" si="2"/>
        <v>688</v>
      </c>
      <c r="C61" s="9" t="str">
        <f t="shared" si="3"/>
        <v>"ally_instance_ids": [],</v>
      </c>
      <c r="D61" s="1" t="s">
        <v>8558</v>
      </c>
      <c r="E61" s="1" t="str">
        <f>IF(DayNight&lt;&gt;"Night","",_xlfn.IFNA(MATCH(A61,Main!$I$126:$I$128,0),""))</f>
        <v/>
      </c>
    </row>
    <row r="62" spans="1:5" x14ac:dyDescent="0.25">
      <c r="A62" s="1">
        <f t="shared" ref="A62" si="31">A31</f>
        <v>7125</v>
      </c>
      <c r="B62" s="1">
        <f t="shared" si="2"/>
        <v>712</v>
      </c>
      <c r="C62" s="9" t="str">
        <f t="shared" si="3"/>
        <v>"ally_instance_ids": [],</v>
      </c>
      <c r="D62" s="1" t="s">
        <v>8558</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38" t="s">
        <v>779</v>
      </c>
      <c r="B1" s="38" t="s">
        <v>775</v>
      </c>
      <c r="C1" s="38" t="s">
        <v>780</v>
      </c>
    </row>
    <row r="2" spans="1:3" x14ac:dyDescent="0.25">
      <c r="A2" t="s">
        <v>61</v>
      </c>
      <c r="B2" s="1">
        <v>5</v>
      </c>
      <c r="C2" s="9" t="str">
        <f>CHAR(34)&amp;A2&amp;CHAR(34)&amp;": "&amp;CHAR(34)&amp;DayNight&amp;CHAR(34)&amp;","</f>
        <v>"type": "TargetTrain",</v>
      </c>
    </row>
    <row r="3" spans="1:3" x14ac:dyDescent="0.25">
      <c r="A3" t="s">
        <v>844</v>
      </c>
      <c r="B3" s="1">
        <v>6</v>
      </c>
      <c r="C3" s="9" t="str">
        <f>CHAR(34)&amp;A3&amp;CHAR(34)&amp;": "&amp;IF(NodeColor="Yellow",0,IF(NodeColor="Blue",1,IF(NodeColor="Red",2,3)))&amp;","</f>
        <v>"spot_belong": 3,</v>
      </c>
    </row>
    <row r="4" spans="1:3" x14ac:dyDescent="0.25">
      <c r="A4" t="s">
        <v>842</v>
      </c>
      <c r="B4" s="1">
        <v>7</v>
      </c>
      <c r="C4" s="9" t="str">
        <f>CHAR(34)&amp;A4&amp;CHAR(34)&amp;": "&amp;IF(DayNight="TargetTrain","0",EnemyID)&amp;","</f>
        <v>"enemy_team_id": 0,</v>
      </c>
    </row>
    <row r="5" spans="1:3" x14ac:dyDescent="0.25">
      <c r="A5" t="s">
        <v>843</v>
      </c>
      <c r="B5" s="1">
        <v>8</v>
      </c>
      <c r="C5" s="9" t="str">
        <f>CHAR(34)&amp;A5&amp;CHAR(34)&amp;": "&amp;CHAR(34)&amp;BossHP&amp;CHAR(34)&amp;","</f>
        <v>"boss_hp": "220000",</v>
      </c>
    </row>
    <row r="6" spans="1:3" x14ac:dyDescent="0.25">
      <c r="A6" t="s">
        <v>845</v>
      </c>
      <c r="B6" s="1">
        <v>9</v>
      </c>
      <c r="C6" s="9" t="str">
        <f>CHAR(34)&amp;A6&amp;CHAR(34)&amp;": "&amp;LOWER(FairySkill)&amp;","</f>
        <v>"fairy_skill": true,</v>
      </c>
    </row>
    <row r="7" spans="1:3" x14ac:dyDescent="0.25">
      <c r="A7" t="s">
        <v>846</v>
      </c>
      <c r="B7" s="1">
        <v>10</v>
      </c>
      <c r="C7" s="9" t="str">
        <f>CHAR(34)&amp;A7&amp;CHAR(34)&amp;": "&amp;LOWER(HOCSupport)&amp;","</f>
        <v>"squad_skill": true,</v>
      </c>
    </row>
    <row r="8" spans="1:3" x14ac:dyDescent="0.25">
      <c r="A8" t="s">
        <v>1776</v>
      </c>
      <c r="B8" s="1">
        <v>13</v>
      </c>
      <c r="C8" s="9" t="str">
        <f>CHAR(34)&amp;A8&amp;CHAR(34)&amp;": ["&amp;EnemyID&amp;"]"&amp;","</f>
        <v>"target_train_teams": [10004],</v>
      </c>
    </row>
    <row r="9" spans="1:3" x14ac:dyDescent="0.25">
      <c r="A9" t="s">
        <v>7314</v>
      </c>
      <c r="B9" s="1">
        <v>14</v>
      </c>
      <c r="C9" s="9" t="str">
        <f>CHAR(34)&amp;A9&amp;CHAR(34)&amp;": "&amp;CHAR(34)&amp;INDEX('Mapwide Buffs'!H:H,COUNTA('Mapwide Buffs'!A:A))&amp;CHAR(34)&amp;","</f>
        <v>"fight_environment_group": "",</v>
      </c>
    </row>
    <row r="10" spans="1:3" x14ac:dyDescent="0.25">
      <c r="A10" t="s">
        <v>7315</v>
      </c>
      <c r="B10" s="1">
        <v>15</v>
      </c>
      <c r="C10" s="9" t="str">
        <f>CHAR(34)&amp;A10&amp;CHAR(34)&amp;": "&amp;EnemyHPPercent/100&amp;","</f>
        <v>"enemy_hp_percent": 1,</v>
      </c>
    </row>
    <row r="11" spans="1:3" x14ac:dyDescent="0.25">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38" t="s">
        <v>779</v>
      </c>
      <c r="B1" s="38" t="s">
        <v>775</v>
      </c>
      <c r="C1" s="38" t="s">
        <v>780</v>
      </c>
    </row>
    <row r="2" spans="1:3" x14ac:dyDescent="0.25">
      <c r="A2" t="s">
        <v>8275</v>
      </c>
      <c r="B2" s="1">
        <v>10</v>
      </c>
      <c r="C2" s="9" t="str">
        <f>CHAR(34)&amp;A2&amp;CHAR(34)&amp;": "&amp;CHAR(34)&amp;IF(DayNight="Day",107,7173)&amp;CHAR(34)&amp;","</f>
        <v>"from_spot_id": "7173",</v>
      </c>
    </row>
    <row r="3" spans="1:3" x14ac:dyDescent="0.25">
      <c r="A3" t="s">
        <v>8276</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5" outlineLevelCol="1" x14ac:dyDescent="0.25"/>
  <cols>
    <col min="1" max="1" width="12.85546875" bestFit="1" customWidth="1"/>
    <col min="9" max="9" width="52.85546875" bestFit="1" customWidth="1"/>
    <col min="10"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273</v>
      </c>
      <c r="I1" s="10" t="s">
        <v>850</v>
      </c>
      <c r="BG1" s="10" t="s">
        <v>851</v>
      </c>
      <c r="CV1" s="10" t="s">
        <v>8165</v>
      </c>
      <c r="DD1" s="10"/>
      <c r="DX1" s="10" t="s">
        <v>880</v>
      </c>
      <c r="DY1" s="87" t="s">
        <v>8</v>
      </c>
      <c r="DZ1" s="88" t="s">
        <v>865</v>
      </c>
      <c r="EA1" s="88" t="s">
        <v>867</v>
      </c>
      <c r="EB1" s="88" t="s">
        <v>866</v>
      </c>
      <c r="EC1" s="89" t="s">
        <v>864</v>
      </c>
    </row>
    <row r="2" spans="1:133" x14ac:dyDescent="0.25">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25">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25">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25">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25">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25">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25">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25">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25">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25">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8330</v>
      </c>
      <c r="DZ11" s="94">
        <v>44</v>
      </c>
      <c r="EA11" s="95">
        <v>31</v>
      </c>
      <c r="EB11" s="95">
        <v>83</v>
      </c>
      <c r="EC11" s="96">
        <v>106</v>
      </c>
    </row>
    <row r="12" spans="1:133" x14ac:dyDescent="0.25">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9052</v>
      </c>
      <c r="DZ12" s="97">
        <v>44</v>
      </c>
      <c r="EA12" s="98">
        <v>78</v>
      </c>
      <c r="EB12" s="98">
        <v>54</v>
      </c>
      <c r="EC12" s="99">
        <v>21</v>
      </c>
    </row>
    <row r="13" spans="1:133" x14ac:dyDescent="0.25">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25">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25">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25">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25">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25">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25">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25">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25">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25">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25">
      <c r="A23" s="51">
        <v>1</v>
      </c>
      <c r="B23" s="109"/>
      <c r="C23" s="110">
        <v>0.24199999999999999</v>
      </c>
      <c r="D23" s="110">
        <v>0.18099999999999999</v>
      </c>
      <c r="E23" s="110">
        <v>0.30299999999999999</v>
      </c>
      <c r="F23" s="110">
        <v>0.30299999999999999</v>
      </c>
      <c r="G23" s="111"/>
    </row>
    <row r="24" spans="1:126" x14ac:dyDescent="0.25">
      <c r="A24" s="53">
        <v>2</v>
      </c>
      <c r="B24" s="112"/>
      <c r="C24" s="113">
        <v>0</v>
      </c>
      <c r="D24" s="113">
        <v>0</v>
      </c>
      <c r="E24" s="113">
        <v>0</v>
      </c>
      <c r="F24" s="113">
        <v>0</v>
      </c>
      <c r="G24" s="114"/>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25">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25">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25">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25">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25">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5" x14ac:dyDescent="0.25"/>
  <cols>
    <col min="1" max="1" width="12.85546875" bestFit="1" customWidth="1"/>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5" x14ac:dyDescent="0.25">
      <c r="A1" s="10" t="s">
        <v>1070</v>
      </c>
      <c r="I1" s="10" t="s">
        <v>1064</v>
      </c>
      <c r="J1" s="124"/>
    </row>
    <row r="2" spans="1:25" x14ac:dyDescent="0.25">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25">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25">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25">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25">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25">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25">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25">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25">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25">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25">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25">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25">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25">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25">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25">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25">
      <c r="A18" s="129" t="s">
        <v>1072</v>
      </c>
      <c r="T18" s="16"/>
      <c r="U18" s="11"/>
      <c r="X18" s="1"/>
      <c r="Y18" s="25"/>
    </row>
    <row r="19" spans="1:25" x14ac:dyDescent="0.25">
      <c r="T19" s="16"/>
      <c r="U19" s="11"/>
      <c r="X19" s="1"/>
      <c r="Y19" s="25"/>
    </row>
    <row r="20" spans="1:25" x14ac:dyDescent="0.25">
      <c r="A20" s="10" t="s">
        <v>6375</v>
      </c>
      <c r="T20" s="16"/>
      <c r="U20" s="11"/>
      <c r="X20" s="1"/>
      <c r="Y20" s="25"/>
    </row>
    <row r="21" spans="1:25" x14ac:dyDescent="0.25">
      <c r="A21" s="129" t="s">
        <v>6376</v>
      </c>
      <c r="T21" s="16"/>
      <c r="U21" s="11"/>
      <c r="X21" s="1"/>
      <c r="Y21" s="25"/>
    </row>
    <row r="22" spans="1:25" x14ac:dyDescent="0.25">
      <c r="T22" s="16"/>
      <c r="U22" s="11"/>
      <c r="X22" s="1"/>
      <c r="Y22" s="25"/>
    </row>
    <row r="23" spans="1:25" x14ac:dyDescent="0.25">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38" t="s">
        <v>25</v>
      </c>
      <c r="B1" s="38" t="s">
        <v>321</v>
      </c>
      <c r="C1" s="10" t="s">
        <v>61</v>
      </c>
      <c r="D1" s="38" t="s">
        <v>580</v>
      </c>
      <c r="E1" s="10" t="s">
        <v>631</v>
      </c>
      <c r="F1" s="10" t="s">
        <v>632</v>
      </c>
      <c r="G1" s="10" t="s">
        <v>633</v>
      </c>
      <c r="H1" s="10" t="s">
        <v>634</v>
      </c>
      <c r="I1" s="10" t="s">
        <v>635</v>
      </c>
      <c r="J1" s="10" t="s">
        <v>311</v>
      </c>
      <c r="K1" s="10" t="s">
        <v>582</v>
      </c>
    </row>
    <row r="2" spans="1:11" x14ac:dyDescent="0.25">
      <c r="A2" s="1">
        <v>9</v>
      </c>
      <c r="B2" t="s">
        <v>643</v>
      </c>
      <c r="C2" s="1">
        <v>4</v>
      </c>
      <c r="D2" t="s">
        <v>591</v>
      </c>
      <c r="E2" s="1">
        <v>0</v>
      </c>
      <c r="F2" s="1">
        <v>100</v>
      </c>
      <c r="G2" s="1">
        <v>500</v>
      </c>
      <c r="H2" s="1">
        <v>1500</v>
      </c>
      <c r="I2" s="1">
        <v>3000</v>
      </c>
      <c r="J2" s="1">
        <v>1</v>
      </c>
      <c r="K2" s="1">
        <v>0</v>
      </c>
    </row>
    <row r="3" spans="1:11" x14ac:dyDescent="0.25">
      <c r="A3" s="1">
        <v>1007</v>
      </c>
      <c r="B3" t="s">
        <v>622</v>
      </c>
      <c r="C3" s="1">
        <v>2</v>
      </c>
      <c r="D3" t="s">
        <v>623</v>
      </c>
      <c r="E3" s="1">
        <v>0</v>
      </c>
      <c r="F3" s="1">
        <v>100</v>
      </c>
      <c r="G3" s="1">
        <v>200</v>
      </c>
      <c r="H3" s="1">
        <v>350</v>
      </c>
      <c r="I3" s="1">
        <v>550</v>
      </c>
      <c r="J3" s="1">
        <v>1</v>
      </c>
      <c r="K3" s="1">
        <v>1</v>
      </c>
    </row>
    <row r="4" spans="1:11" x14ac:dyDescent="0.25">
      <c r="A4" s="1">
        <v>3</v>
      </c>
      <c r="B4" t="s">
        <v>637</v>
      </c>
      <c r="C4" s="1">
        <v>3</v>
      </c>
      <c r="D4" t="s">
        <v>585</v>
      </c>
      <c r="E4" s="1">
        <v>0</v>
      </c>
      <c r="F4" s="1">
        <v>100</v>
      </c>
      <c r="G4" s="1">
        <v>500</v>
      </c>
      <c r="H4" s="1">
        <v>1500</v>
      </c>
      <c r="I4" s="1">
        <v>3000</v>
      </c>
      <c r="J4" s="1">
        <v>1</v>
      </c>
      <c r="K4" s="1">
        <v>0</v>
      </c>
    </row>
    <row r="5" spans="1:11" x14ac:dyDescent="0.25">
      <c r="A5" s="1">
        <v>8</v>
      </c>
      <c r="B5" t="s">
        <v>642</v>
      </c>
      <c r="C5" s="1">
        <v>4</v>
      </c>
      <c r="D5" t="s">
        <v>590</v>
      </c>
      <c r="E5" s="1">
        <v>0</v>
      </c>
      <c r="F5" s="1">
        <v>100</v>
      </c>
      <c r="G5" s="1">
        <v>500</v>
      </c>
      <c r="H5" s="1">
        <v>1500</v>
      </c>
      <c r="I5" s="1">
        <v>3000</v>
      </c>
      <c r="J5" s="1">
        <v>1</v>
      </c>
      <c r="K5" s="1">
        <v>0</v>
      </c>
    </row>
    <row r="6" spans="1:11" x14ac:dyDescent="0.25">
      <c r="A6" s="1">
        <v>27</v>
      </c>
      <c r="B6" t="s">
        <v>659</v>
      </c>
      <c r="C6" s="1">
        <v>6</v>
      </c>
      <c r="D6" t="s">
        <v>611</v>
      </c>
      <c r="E6" s="1">
        <v>0</v>
      </c>
      <c r="F6" s="1">
        <v>100</v>
      </c>
      <c r="G6" s="1">
        <v>200</v>
      </c>
      <c r="H6" s="1">
        <v>350</v>
      </c>
      <c r="I6" s="1">
        <v>550</v>
      </c>
      <c r="J6" s="1">
        <v>2</v>
      </c>
      <c r="K6" s="1">
        <v>0</v>
      </c>
    </row>
    <row r="7" spans="1:11" x14ac:dyDescent="0.25">
      <c r="A7" s="1">
        <v>24</v>
      </c>
      <c r="B7" t="s">
        <v>924</v>
      </c>
      <c r="C7" s="1">
        <v>3</v>
      </c>
      <c r="D7" t="s">
        <v>608</v>
      </c>
      <c r="E7" s="1">
        <v>0</v>
      </c>
      <c r="F7" s="1">
        <v>100</v>
      </c>
      <c r="G7" s="1">
        <v>500</v>
      </c>
      <c r="H7" s="1">
        <v>1500</v>
      </c>
      <c r="I7" s="1">
        <v>3000</v>
      </c>
      <c r="J7" s="1">
        <v>1</v>
      </c>
      <c r="K7" s="1">
        <v>0</v>
      </c>
    </row>
    <row r="8" spans="1:11" x14ac:dyDescent="0.25">
      <c r="A8" s="1">
        <v>22</v>
      </c>
      <c r="B8" t="s">
        <v>655</v>
      </c>
      <c r="C8" s="1">
        <v>6</v>
      </c>
      <c r="D8" t="s">
        <v>606</v>
      </c>
      <c r="E8" s="1">
        <v>0</v>
      </c>
      <c r="F8" s="1">
        <v>100</v>
      </c>
      <c r="G8" s="1">
        <v>200</v>
      </c>
      <c r="H8" s="1">
        <v>350</v>
      </c>
      <c r="I8" s="1">
        <v>550</v>
      </c>
      <c r="J8" s="1">
        <v>1</v>
      </c>
      <c r="K8" s="1">
        <v>0</v>
      </c>
    </row>
    <row r="9" spans="1:11" x14ac:dyDescent="0.25">
      <c r="A9" s="1">
        <v>29</v>
      </c>
      <c r="B9" t="s">
        <v>661</v>
      </c>
      <c r="C9" s="1">
        <v>2</v>
      </c>
      <c r="D9" t="s">
        <v>613</v>
      </c>
      <c r="E9" s="1">
        <v>0</v>
      </c>
      <c r="F9" s="1">
        <v>100</v>
      </c>
      <c r="G9" s="1">
        <v>200</v>
      </c>
      <c r="H9" s="1">
        <v>350</v>
      </c>
      <c r="I9" s="1">
        <v>550</v>
      </c>
      <c r="J9" s="1">
        <v>1</v>
      </c>
      <c r="K9" s="1">
        <v>0</v>
      </c>
    </row>
    <row r="10" spans="1:11" x14ac:dyDescent="0.25">
      <c r="A10" s="1">
        <v>1003</v>
      </c>
      <c r="B10" t="s">
        <v>617</v>
      </c>
      <c r="C10" s="1">
        <v>3</v>
      </c>
      <c r="D10" t="s">
        <v>618</v>
      </c>
      <c r="E10" s="1">
        <v>0</v>
      </c>
      <c r="F10" s="1">
        <v>100</v>
      </c>
      <c r="G10" s="1">
        <v>200</v>
      </c>
      <c r="H10" s="1">
        <v>350</v>
      </c>
      <c r="I10" s="1">
        <v>550</v>
      </c>
      <c r="J10" s="1">
        <v>1</v>
      </c>
      <c r="K10" s="1">
        <v>1</v>
      </c>
    </row>
    <row r="11" spans="1:11" x14ac:dyDescent="0.25">
      <c r="A11" s="1">
        <v>23</v>
      </c>
      <c r="B11" t="s">
        <v>656</v>
      </c>
      <c r="C11" s="1">
        <v>6</v>
      </c>
      <c r="D11" t="s">
        <v>607</v>
      </c>
      <c r="E11" s="1">
        <v>0</v>
      </c>
      <c r="F11" s="1">
        <v>100</v>
      </c>
      <c r="G11" s="1">
        <v>500</v>
      </c>
      <c r="H11" s="1">
        <v>1500</v>
      </c>
      <c r="I11" s="1">
        <v>3000</v>
      </c>
      <c r="J11" s="1">
        <v>2</v>
      </c>
      <c r="K11" s="1">
        <v>0</v>
      </c>
    </row>
    <row r="12" spans="1:11" x14ac:dyDescent="0.25">
      <c r="A12" s="1">
        <v>15</v>
      </c>
      <c r="B12" t="s">
        <v>649</v>
      </c>
      <c r="C12" s="1">
        <v>1</v>
      </c>
      <c r="D12" t="s">
        <v>598</v>
      </c>
      <c r="E12" s="1">
        <v>0</v>
      </c>
      <c r="F12" s="1">
        <v>100</v>
      </c>
      <c r="G12" s="1">
        <v>500</v>
      </c>
      <c r="H12" s="1">
        <v>1500</v>
      </c>
      <c r="I12" s="1">
        <v>3000</v>
      </c>
      <c r="J12" s="1">
        <v>1</v>
      </c>
      <c r="K12" s="1">
        <v>0</v>
      </c>
    </row>
    <row r="13" spans="1:11" x14ac:dyDescent="0.25">
      <c r="A13" s="1">
        <v>14</v>
      </c>
      <c r="B13" t="s">
        <v>648</v>
      </c>
      <c r="C13" s="1">
        <v>6</v>
      </c>
      <c r="D13" t="s">
        <v>597</v>
      </c>
      <c r="E13" s="1">
        <v>0</v>
      </c>
      <c r="F13" s="1">
        <v>100</v>
      </c>
      <c r="G13" s="1">
        <v>500</v>
      </c>
      <c r="H13" s="1">
        <v>1500</v>
      </c>
      <c r="I13" s="1">
        <v>3000</v>
      </c>
      <c r="J13" s="1">
        <v>2</v>
      </c>
      <c r="K13" s="1">
        <v>0</v>
      </c>
    </row>
    <row r="14" spans="1:11" x14ac:dyDescent="0.25">
      <c r="A14" s="1">
        <v>19</v>
      </c>
      <c r="B14" t="s">
        <v>653</v>
      </c>
      <c r="C14" s="1">
        <v>2</v>
      </c>
      <c r="D14" t="s">
        <v>602</v>
      </c>
      <c r="E14" s="1">
        <v>0</v>
      </c>
      <c r="F14" s="1">
        <v>100</v>
      </c>
      <c r="G14" s="1">
        <v>200</v>
      </c>
      <c r="H14" s="1">
        <v>350</v>
      </c>
      <c r="I14" s="1">
        <v>550</v>
      </c>
      <c r="J14" s="1">
        <v>1</v>
      </c>
      <c r="K14" s="1">
        <v>0</v>
      </c>
    </row>
    <row r="15" spans="1:11" x14ac:dyDescent="0.25">
      <c r="A15" s="1">
        <v>5</v>
      </c>
      <c r="B15" t="s">
        <v>639</v>
      </c>
      <c r="C15" s="1">
        <v>5</v>
      </c>
      <c r="D15" t="s">
        <v>587</v>
      </c>
      <c r="E15" s="1">
        <v>0</v>
      </c>
      <c r="F15" s="1">
        <v>100</v>
      </c>
      <c r="G15" s="1">
        <v>500</v>
      </c>
      <c r="H15" s="1">
        <v>1500</v>
      </c>
      <c r="I15" s="1">
        <v>3000</v>
      </c>
      <c r="J15" s="1">
        <v>2</v>
      </c>
      <c r="K15" s="1">
        <v>0</v>
      </c>
    </row>
    <row r="16" spans="1:11" x14ac:dyDescent="0.25">
      <c r="A16" s="1">
        <v>28</v>
      </c>
      <c r="B16" t="s">
        <v>660</v>
      </c>
      <c r="C16" s="1">
        <v>6</v>
      </c>
      <c r="D16" t="s">
        <v>612</v>
      </c>
      <c r="E16" s="1">
        <v>0</v>
      </c>
      <c r="F16" s="1">
        <v>100</v>
      </c>
      <c r="G16" s="1">
        <v>200</v>
      </c>
      <c r="H16" s="1">
        <v>350</v>
      </c>
      <c r="I16" s="1">
        <v>550</v>
      </c>
      <c r="J16" s="1">
        <v>2</v>
      </c>
      <c r="K16" s="1">
        <v>0</v>
      </c>
    </row>
    <row r="17" spans="1:11" x14ac:dyDescent="0.25">
      <c r="A17" s="1">
        <v>20</v>
      </c>
      <c r="B17" t="s">
        <v>654</v>
      </c>
      <c r="C17" s="1">
        <v>2</v>
      </c>
      <c r="D17" t="s">
        <v>603</v>
      </c>
      <c r="E17" s="1">
        <v>0</v>
      </c>
      <c r="F17" s="1">
        <v>100</v>
      </c>
      <c r="G17" s="1">
        <v>200</v>
      </c>
      <c r="H17" s="1">
        <v>350</v>
      </c>
      <c r="I17" s="1">
        <v>550</v>
      </c>
      <c r="J17" s="1">
        <v>1</v>
      </c>
      <c r="K17" s="1">
        <v>0</v>
      </c>
    </row>
    <row r="18" spans="1:11" x14ac:dyDescent="0.25">
      <c r="A18" s="1">
        <v>2</v>
      </c>
      <c r="B18" t="s">
        <v>636</v>
      </c>
      <c r="C18" s="1">
        <v>2</v>
      </c>
      <c r="D18" t="s">
        <v>584</v>
      </c>
      <c r="E18" s="1">
        <v>0</v>
      </c>
      <c r="F18" s="1">
        <v>100</v>
      </c>
      <c r="G18" s="1">
        <v>500</v>
      </c>
      <c r="H18" s="1">
        <v>1500</v>
      </c>
      <c r="I18" s="1">
        <v>3000</v>
      </c>
      <c r="J18" s="1">
        <v>1</v>
      </c>
      <c r="K18" s="1">
        <v>0</v>
      </c>
    </row>
    <row r="19" spans="1:11" x14ac:dyDescent="0.25">
      <c r="A19" s="1">
        <v>18</v>
      </c>
      <c r="B19" t="s">
        <v>652</v>
      </c>
      <c r="C19" s="1">
        <v>2</v>
      </c>
      <c r="D19" t="s">
        <v>601</v>
      </c>
      <c r="E19" s="1">
        <v>0</v>
      </c>
      <c r="F19" s="1">
        <v>100</v>
      </c>
      <c r="G19" s="1">
        <v>200</v>
      </c>
      <c r="H19" s="1">
        <v>350</v>
      </c>
      <c r="I19" s="1">
        <v>550</v>
      </c>
      <c r="J19" s="1">
        <v>1</v>
      </c>
      <c r="K19" s="1">
        <v>0</v>
      </c>
    </row>
    <row r="20" spans="1:11" x14ac:dyDescent="0.25">
      <c r="A20" s="1">
        <v>17</v>
      </c>
      <c r="B20" t="s">
        <v>651</v>
      </c>
      <c r="C20" s="1">
        <v>1</v>
      </c>
      <c r="D20" t="s">
        <v>600</v>
      </c>
      <c r="E20" s="1">
        <v>0</v>
      </c>
      <c r="F20" s="1">
        <v>100</v>
      </c>
      <c r="G20" s="1">
        <v>500</v>
      </c>
      <c r="H20" s="1">
        <v>1500</v>
      </c>
      <c r="I20" s="1">
        <v>3000</v>
      </c>
      <c r="J20" s="1">
        <v>2</v>
      </c>
      <c r="K20" s="1">
        <v>0</v>
      </c>
    </row>
    <row r="21" spans="1:11" x14ac:dyDescent="0.25">
      <c r="A21" s="1">
        <v>1002</v>
      </c>
      <c r="B21" t="s">
        <v>615</v>
      </c>
      <c r="C21" s="1">
        <v>6</v>
      </c>
      <c r="D21" t="s">
        <v>616</v>
      </c>
      <c r="E21" s="1">
        <v>0</v>
      </c>
      <c r="F21" s="1">
        <v>100</v>
      </c>
      <c r="G21" s="1">
        <v>200</v>
      </c>
      <c r="H21" s="1">
        <v>350</v>
      </c>
      <c r="I21" s="1">
        <v>550</v>
      </c>
      <c r="J21" s="1">
        <v>2</v>
      </c>
      <c r="K21" s="1">
        <v>1</v>
      </c>
    </row>
    <row r="22" spans="1:11" x14ac:dyDescent="0.25">
      <c r="A22" s="1">
        <v>1008</v>
      </c>
      <c r="B22" t="s">
        <v>1605</v>
      </c>
      <c r="C22" s="1">
        <v>2</v>
      </c>
      <c r="D22" t="s">
        <v>1606</v>
      </c>
      <c r="E22" s="1">
        <v>0</v>
      </c>
      <c r="F22" s="1">
        <v>100</v>
      </c>
      <c r="G22" s="1">
        <v>200</v>
      </c>
      <c r="H22" s="1">
        <v>250</v>
      </c>
      <c r="I22" s="1">
        <v>550</v>
      </c>
      <c r="J22" s="1">
        <v>1</v>
      </c>
      <c r="K22" s="1">
        <v>1</v>
      </c>
    </row>
    <row r="23" spans="1:11" x14ac:dyDescent="0.25">
      <c r="A23" s="1">
        <v>1009</v>
      </c>
      <c r="B23" t="s">
        <v>7091</v>
      </c>
      <c r="C23" s="1">
        <v>2</v>
      </c>
      <c r="D23">
        <v>757097</v>
      </c>
      <c r="E23" s="1">
        <v>0</v>
      </c>
      <c r="F23" s="1">
        <v>100</v>
      </c>
      <c r="G23" s="1">
        <v>200</v>
      </c>
      <c r="H23" s="1">
        <v>350</v>
      </c>
      <c r="I23" s="1">
        <v>550</v>
      </c>
      <c r="J23" s="1">
        <v>1</v>
      </c>
      <c r="K23" s="1">
        <v>1</v>
      </c>
    </row>
    <row r="24" spans="1:11" x14ac:dyDescent="0.25">
      <c r="A24" s="1">
        <v>12</v>
      </c>
      <c r="B24" t="s">
        <v>594</v>
      </c>
      <c r="C24" s="1">
        <v>6</v>
      </c>
      <c r="D24" t="s">
        <v>595</v>
      </c>
      <c r="E24" s="1">
        <v>0</v>
      </c>
      <c r="F24" s="1">
        <v>100</v>
      </c>
      <c r="G24" s="1">
        <v>500</v>
      </c>
      <c r="H24" s="1">
        <v>1500</v>
      </c>
      <c r="I24" s="1">
        <v>3000</v>
      </c>
      <c r="J24" s="1">
        <v>2</v>
      </c>
      <c r="K24" s="1">
        <v>0</v>
      </c>
    </row>
    <row r="25" spans="1:11" x14ac:dyDescent="0.25">
      <c r="A25" s="1">
        <v>21</v>
      </c>
      <c r="B25" t="s">
        <v>604</v>
      </c>
      <c r="C25" s="1">
        <v>6</v>
      </c>
      <c r="D25" t="s">
        <v>605</v>
      </c>
      <c r="E25" s="1">
        <v>0</v>
      </c>
      <c r="F25" s="1">
        <v>100</v>
      </c>
      <c r="G25" s="1">
        <v>200</v>
      </c>
      <c r="H25" s="1">
        <v>350</v>
      </c>
      <c r="I25" s="1">
        <v>550</v>
      </c>
      <c r="J25" s="1">
        <v>1</v>
      </c>
      <c r="K25" s="1">
        <v>0</v>
      </c>
    </row>
    <row r="26" spans="1:11" x14ac:dyDescent="0.25">
      <c r="A26" s="1">
        <v>33</v>
      </c>
      <c r="B26" t="s">
        <v>7307</v>
      </c>
      <c r="C26" s="1">
        <v>6</v>
      </c>
      <c r="D26" t="s">
        <v>7308</v>
      </c>
      <c r="E26" s="1">
        <v>0</v>
      </c>
      <c r="F26" s="1">
        <v>100</v>
      </c>
      <c r="G26" s="1">
        <v>200</v>
      </c>
      <c r="H26" s="1">
        <v>350</v>
      </c>
      <c r="I26" s="1">
        <v>550</v>
      </c>
      <c r="J26" s="1">
        <v>1</v>
      </c>
      <c r="K26" s="1">
        <v>1</v>
      </c>
    </row>
    <row r="27" spans="1:11" x14ac:dyDescent="0.25">
      <c r="A27" s="1">
        <v>11</v>
      </c>
      <c r="B27" t="s">
        <v>645</v>
      </c>
      <c r="C27" s="1">
        <v>5</v>
      </c>
      <c r="D27" t="s">
        <v>593</v>
      </c>
      <c r="E27" s="1">
        <v>0</v>
      </c>
      <c r="F27" s="1">
        <v>100</v>
      </c>
      <c r="G27" s="1">
        <v>500</v>
      </c>
      <c r="H27" s="1">
        <v>1500</v>
      </c>
      <c r="I27" s="1">
        <v>3000</v>
      </c>
      <c r="J27" s="1">
        <v>2</v>
      </c>
      <c r="K27" s="1">
        <v>0</v>
      </c>
    </row>
    <row r="28" spans="1:11" x14ac:dyDescent="0.25">
      <c r="A28" s="1">
        <v>32</v>
      </c>
      <c r="B28" t="s">
        <v>8068</v>
      </c>
      <c r="C28" s="1">
        <v>3</v>
      </c>
      <c r="D28" s="189" t="s">
        <v>8069</v>
      </c>
      <c r="E28" s="1">
        <v>0</v>
      </c>
      <c r="F28" s="1">
        <v>100</v>
      </c>
      <c r="G28" s="1">
        <v>200</v>
      </c>
      <c r="H28" s="1">
        <v>350</v>
      </c>
      <c r="I28" s="1">
        <v>550</v>
      </c>
      <c r="J28" s="1">
        <v>1</v>
      </c>
      <c r="K28" s="1">
        <v>1</v>
      </c>
    </row>
    <row r="29" spans="1:11" x14ac:dyDescent="0.25">
      <c r="A29" s="1">
        <v>1006</v>
      </c>
      <c r="B29" t="s">
        <v>663</v>
      </c>
      <c r="C29" s="1">
        <v>2</v>
      </c>
      <c r="D29" t="s">
        <v>621</v>
      </c>
      <c r="E29" s="1">
        <v>0</v>
      </c>
      <c r="F29" s="1">
        <v>100</v>
      </c>
      <c r="G29" s="1">
        <v>200</v>
      </c>
      <c r="H29" s="1">
        <v>350</v>
      </c>
      <c r="I29" s="1">
        <v>550</v>
      </c>
      <c r="J29" s="1">
        <v>1</v>
      </c>
      <c r="K29" s="1">
        <v>1</v>
      </c>
    </row>
    <row r="30" spans="1:11" x14ac:dyDescent="0.25">
      <c r="A30" s="1">
        <v>26</v>
      </c>
      <c r="B30" t="s">
        <v>658</v>
      </c>
      <c r="C30" s="1">
        <v>1</v>
      </c>
      <c r="D30" t="s">
        <v>610</v>
      </c>
      <c r="E30" s="1">
        <v>0</v>
      </c>
      <c r="F30" s="1">
        <v>100</v>
      </c>
      <c r="G30" s="1">
        <v>500</v>
      </c>
      <c r="H30" s="1">
        <v>1500</v>
      </c>
      <c r="I30" s="1">
        <v>3000</v>
      </c>
      <c r="J30" s="1">
        <v>1</v>
      </c>
      <c r="K30" s="1">
        <v>0</v>
      </c>
    </row>
    <row r="31" spans="1:11" x14ac:dyDescent="0.25">
      <c r="A31" s="1">
        <v>10</v>
      </c>
      <c r="B31" t="s">
        <v>644</v>
      </c>
      <c r="C31" s="1">
        <v>5</v>
      </c>
      <c r="D31" t="s">
        <v>592</v>
      </c>
      <c r="E31" s="1">
        <v>0</v>
      </c>
      <c r="F31" s="1">
        <v>100</v>
      </c>
      <c r="G31" s="1">
        <v>500</v>
      </c>
      <c r="H31" s="1">
        <v>1500</v>
      </c>
      <c r="I31" s="1">
        <v>3000</v>
      </c>
      <c r="J31" s="1">
        <v>2</v>
      </c>
      <c r="K31" s="1">
        <v>0</v>
      </c>
    </row>
    <row r="32" spans="1:11" x14ac:dyDescent="0.25">
      <c r="A32" s="1">
        <v>16</v>
      </c>
      <c r="B32" t="s">
        <v>650</v>
      </c>
      <c r="C32" s="1">
        <v>1</v>
      </c>
      <c r="D32" t="s">
        <v>599</v>
      </c>
      <c r="E32" s="1">
        <v>0</v>
      </c>
      <c r="F32" s="1">
        <v>100</v>
      </c>
      <c r="G32" s="1">
        <v>500</v>
      </c>
      <c r="H32" s="1">
        <v>1500</v>
      </c>
      <c r="I32" s="1">
        <v>3000</v>
      </c>
      <c r="J32" s="1">
        <v>1</v>
      </c>
      <c r="K32" s="1">
        <v>0</v>
      </c>
    </row>
    <row r="33" spans="1:11" x14ac:dyDescent="0.25">
      <c r="A33" s="1">
        <v>13</v>
      </c>
      <c r="B33" t="s">
        <v>647</v>
      </c>
      <c r="C33" s="1">
        <v>6</v>
      </c>
      <c r="D33" t="s">
        <v>596</v>
      </c>
      <c r="E33" s="1">
        <v>0</v>
      </c>
      <c r="F33" s="1">
        <v>100</v>
      </c>
      <c r="G33" s="1">
        <v>500</v>
      </c>
      <c r="H33" s="1">
        <v>1500</v>
      </c>
      <c r="I33" s="1">
        <v>3000</v>
      </c>
      <c r="J33" s="1">
        <v>2</v>
      </c>
      <c r="K33" s="1">
        <v>0</v>
      </c>
    </row>
    <row r="34" spans="1:11" x14ac:dyDescent="0.25">
      <c r="A34" s="1">
        <v>1001</v>
      </c>
      <c r="B34" t="s">
        <v>235</v>
      </c>
      <c r="C34" s="1">
        <v>4</v>
      </c>
      <c r="D34" t="s">
        <v>614</v>
      </c>
      <c r="E34" s="1">
        <v>0</v>
      </c>
      <c r="F34" s="1">
        <v>100</v>
      </c>
      <c r="G34" s="1">
        <v>200</v>
      </c>
      <c r="H34" s="1">
        <v>350</v>
      </c>
      <c r="I34" s="1">
        <v>550</v>
      </c>
      <c r="J34" s="1">
        <v>1</v>
      </c>
      <c r="K34" s="1">
        <v>1</v>
      </c>
    </row>
    <row r="35" spans="1:11" x14ac:dyDescent="0.25">
      <c r="A35" s="1">
        <v>1005</v>
      </c>
      <c r="B35" t="s">
        <v>664</v>
      </c>
      <c r="C35" s="1">
        <v>2</v>
      </c>
      <c r="D35" t="s">
        <v>620</v>
      </c>
      <c r="E35" s="1">
        <v>0</v>
      </c>
      <c r="F35" s="1">
        <v>100</v>
      </c>
      <c r="G35" s="1">
        <v>200</v>
      </c>
      <c r="H35" s="1">
        <v>350</v>
      </c>
      <c r="I35" s="1">
        <v>550</v>
      </c>
      <c r="J35" s="1">
        <v>1</v>
      </c>
      <c r="K35" s="1">
        <v>1</v>
      </c>
    </row>
    <row r="36" spans="1:11" x14ac:dyDescent="0.25">
      <c r="A36" s="1">
        <v>4</v>
      </c>
      <c r="B36" t="s">
        <v>638</v>
      </c>
      <c r="C36" s="1">
        <v>3</v>
      </c>
      <c r="D36" t="s">
        <v>586</v>
      </c>
      <c r="E36" s="1">
        <v>0</v>
      </c>
      <c r="F36" s="1">
        <v>100</v>
      </c>
      <c r="G36" s="1">
        <v>500</v>
      </c>
      <c r="H36" s="1">
        <v>1500</v>
      </c>
      <c r="I36" s="1">
        <v>3000</v>
      </c>
      <c r="J36" s="1">
        <v>1</v>
      </c>
      <c r="K36" s="1">
        <v>0</v>
      </c>
    </row>
    <row r="37" spans="1:11" x14ac:dyDescent="0.25">
      <c r="A37" s="1">
        <v>7</v>
      </c>
      <c r="B37" t="s">
        <v>641</v>
      </c>
      <c r="C37" s="1">
        <v>4</v>
      </c>
      <c r="D37" t="s">
        <v>589</v>
      </c>
      <c r="E37" s="1">
        <v>0</v>
      </c>
      <c r="F37" s="1">
        <v>100</v>
      </c>
      <c r="G37" s="1">
        <v>500</v>
      </c>
      <c r="H37" s="1">
        <v>1500</v>
      </c>
      <c r="I37" s="1">
        <v>3000</v>
      </c>
      <c r="J37" s="1">
        <v>1</v>
      </c>
      <c r="K37" s="1">
        <v>0</v>
      </c>
    </row>
    <row r="38" spans="1:11" x14ac:dyDescent="0.25">
      <c r="A38" s="1">
        <v>1004</v>
      </c>
      <c r="B38" t="s">
        <v>662</v>
      </c>
      <c r="C38" s="1">
        <v>6</v>
      </c>
      <c r="D38" t="s">
        <v>619</v>
      </c>
      <c r="E38" s="1">
        <v>0</v>
      </c>
      <c r="F38" s="1">
        <v>100</v>
      </c>
      <c r="G38" s="1">
        <v>200</v>
      </c>
      <c r="H38" s="1">
        <v>350</v>
      </c>
      <c r="I38" s="1">
        <v>550</v>
      </c>
      <c r="J38" s="1">
        <v>2</v>
      </c>
      <c r="K38" s="1">
        <v>1</v>
      </c>
    </row>
    <row r="39" spans="1:11" x14ac:dyDescent="0.25">
      <c r="A39" s="1">
        <v>6</v>
      </c>
      <c r="B39" t="s">
        <v>640</v>
      </c>
      <c r="C39" s="1">
        <v>3</v>
      </c>
      <c r="D39" t="s">
        <v>588</v>
      </c>
      <c r="E39" s="1">
        <v>0</v>
      </c>
      <c r="F39" s="1">
        <v>100</v>
      </c>
      <c r="G39" s="1">
        <v>500</v>
      </c>
      <c r="H39" s="1">
        <v>1500</v>
      </c>
      <c r="I39" s="1">
        <v>3000</v>
      </c>
      <c r="J39" s="1">
        <v>1</v>
      </c>
      <c r="K39" s="1">
        <v>0</v>
      </c>
    </row>
    <row r="40" spans="1:11" x14ac:dyDescent="0.25">
      <c r="A40" s="1">
        <v>34</v>
      </c>
      <c r="B40" t="s">
        <v>8060</v>
      </c>
      <c r="C40" s="1">
        <v>2</v>
      </c>
      <c r="D40" s="189" t="s">
        <v>8061</v>
      </c>
      <c r="E40" s="1">
        <v>0</v>
      </c>
      <c r="F40" s="1">
        <v>100</v>
      </c>
      <c r="G40" s="1">
        <v>200</v>
      </c>
      <c r="H40" s="1">
        <v>350</v>
      </c>
      <c r="I40" s="1">
        <v>550</v>
      </c>
      <c r="J40" s="1">
        <v>1</v>
      </c>
      <c r="K40" s="1">
        <v>0</v>
      </c>
    </row>
    <row r="41" spans="1:11" x14ac:dyDescent="0.25">
      <c r="A41" s="1">
        <v>31</v>
      </c>
      <c r="B41" t="s">
        <v>5776</v>
      </c>
      <c r="C41" s="1">
        <v>6</v>
      </c>
      <c r="D41" t="s">
        <v>5775</v>
      </c>
      <c r="E41" s="1">
        <v>0</v>
      </c>
      <c r="F41" s="1">
        <v>100</v>
      </c>
      <c r="G41" s="1">
        <v>200</v>
      </c>
      <c r="H41" s="1">
        <v>350</v>
      </c>
      <c r="I41" s="1">
        <v>550</v>
      </c>
      <c r="J41" s="1">
        <v>2</v>
      </c>
      <c r="K41" s="1">
        <v>0</v>
      </c>
    </row>
    <row r="42" spans="1:11" x14ac:dyDescent="0.25">
      <c r="A42" s="1">
        <v>25</v>
      </c>
      <c r="B42" t="s">
        <v>657</v>
      </c>
      <c r="C42" s="1">
        <v>3</v>
      </c>
      <c r="D42" t="s">
        <v>609</v>
      </c>
      <c r="E42" s="1">
        <v>0</v>
      </c>
      <c r="F42" s="1">
        <v>100</v>
      </c>
      <c r="G42" s="1">
        <v>500</v>
      </c>
      <c r="H42" s="1">
        <v>1500</v>
      </c>
      <c r="I42" s="1">
        <v>3000</v>
      </c>
      <c r="J42" s="1">
        <v>1</v>
      </c>
      <c r="K42" s="1">
        <v>0</v>
      </c>
    </row>
    <row r="43" spans="1:11" x14ac:dyDescent="0.25">
      <c r="A43" s="1">
        <v>1</v>
      </c>
      <c r="B43" t="s">
        <v>646</v>
      </c>
      <c r="C43" s="1">
        <v>2</v>
      </c>
      <c r="D43" t="s">
        <v>583</v>
      </c>
      <c r="E43" s="1">
        <v>0</v>
      </c>
      <c r="F43" s="1">
        <v>100</v>
      </c>
      <c r="G43" s="1">
        <v>500</v>
      </c>
      <c r="H43" s="1">
        <v>1500</v>
      </c>
      <c r="I43" s="1">
        <v>3000</v>
      </c>
      <c r="J43" s="1">
        <v>1</v>
      </c>
      <c r="K43" s="1">
        <v>0</v>
      </c>
    </row>
    <row r="44" spans="1:11" x14ac:dyDescent="0.25">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38" t="s">
        <v>579</v>
      </c>
      <c r="B1" s="38" t="s">
        <v>699</v>
      </c>
      <c r="C1" s="38" t="s">
        <v>700</v>
      </c>
    </row>
    <row r="2" spans="1:3" x14ac:dyDescent="0.25">
      <c r="A2" t="s">
        <v>669</v>
      </c>
      <c r="B2" s="1">
        <v>910103</v>
      </c>
      <c r="C2" t="s">
        <v>670</v>
      </c>
    </row>
    <row r="3" spans="1:3" x14ac:dyDescent="0.25">
      <c r="A3" t="s">
        <v>671</v>
      </c>
      <c r="B3" s="1">
        <v>910104</v>
      </c>
      <c r="C3" t="s">
        <v>672</v>
      </c>
    </row>
    <row r="4" spans="1:3" x14ac:dyDescent="0.25">
      <c r="A4" t="s">
        <v>689</v>
      </c>
      <c r="B4" s="1">
        <v>910113</v>
      </c>
      <c r="C4" t="s">
        <v>690</v>
      </c>
    </row>
    <row r="5" spans="1:3" x14ac:dyDescent="0.25">
      <c r="A5" t="s">
        <v>677</v>
      </c>
      <c r="B5" s="1">
        <v>910107</v>
      </c>
      <c r="C5" t="s">
        <v>678</v>
      </c>
    </row>
    <row r="6" spans="1:3" x14ac:dyDescent="0.25">
      <c r="A6" t="s">
        <v>679</v>
      </c>
      <c r="B6" s="1">
        <v>910108</v>
      </c>
      <c r="C6" t="s">
        <v>680</v>
      </c>
    </row>
    <row r="7" spans="1:3" x14ac:dyDescent="0.25">
      <c r="A7" t="s">
        <v>687</v>
      </c>
      <c r="B7" s="1">
        <v>910112</v>
      </c>
      <c r="C7" t="s">
        <v>688</v>
      </c>
    </row>
    <row r="8" spans="1:3" x14ac:dyDescent="0.25">
      <c r="A8" t="s">
        <v>685</v>
      </c>
      <c r="B8" s="1">
        <v>910111</v>
      </c>
      <c r="C8" t="s">
        <v>686</v>
      </c>
    </row>
    <row r="9" spans="1:3" x14ac:dyDescent="0.25">
      <c r="A9" t="s">
        <v>681</v>
      </c>
      <c r="B9" s="1">
        <v>910109</v>
      </c>
      <c r="C9" t="s">
        <v>682</v>
      </c>
    </row>
    <row r="10" spans="1:3" x14ac:dyDescent="0.25">
      <c r="A10" t="s">
        <v>683</v>
      </c>
      <c r="B10" s="1">
        <v>910110</v>
      </c>
      <c r="C10" t="s">
        <v>684</v>
      </c>
    </row>
    <row r="11" spans="1:3" x14ac:dyDescent="0.25">
      <c r="A11" t="s">
        <v>665</v>
      </c>
      <c r="B11" s="1">
        <v>910101</v>
      </c>
      <c r="C11" t="s">
        <v>666</v>
      </c>
    </row>
    <row r="12" spans="1:3" x14ac:dyDescent="0.25">
      <c r="A12" t="s">
        <v>667</v>
      </c>
      <c r="B12" s="1">
        <v>910102</v>
      </c>
      <c r="C12" t="s">
        <v>668</v>
      </c>
    </row>
    <row r="13" spans="1:3" x14ac:dyDescent="0.25">
      <c r="A13" t="s">
        <v>673</v>
      </c>
      <c r="B13" s="1">
        <v>910105</v>
      </c>
      <c r="C13" t="s">
        <v>674</v>
      </c>
    </row>
    <row r="14" spans="1:3" x14ac:dyDescent="0.25">
      <c r="A14" t="s">
        <v>675</v>
      </c>
      <c r="B14" s="1">
        <v>910106</v>
      </c>
      <c r="C14" t="s">
        <v>676</v>
      </c>
    </row>
    <row r="15" spans="1:3" x14ac:dyDescent="0.25">
      <c r="A15" t="s">
        <v>697</v>
      </c>
      <c r="B15" s="1">
        <v>910117</v>
      </c>
      <c r="C15" t="s">
        <v>698</v>
      </c>
    </row>
    <row r="16" spans="1:3" x14ac:dyDescent="0.25">
      <c r="A16" t="s">
        <v>695</v>
      </c>
      <c r="B16" s="1">
        <v>910116</v>
      </c>
      <c r="C16" t="s">
        <v>696</v>
      </c>
    </row>
    <row r="17" spans="1:3" x14ac:dyDescent="0.25">
      <c r="A17" t="s">
        <v>691</v>
      </c>
      <c r="B17" s="1">
        <v>910114</v>
      </c>
      <c r="C17" t="s">
        <v>692</v>
      </c>
    </row>
    <row r="18" spans="1:3" x14ac:dyDescent="0.25">
      <c r="A18" t="s">
        <v>693</v>
      </c>
      <c r="B18" s="1">
        <v>910115</v>
      </c>
      <c r="C18" t="s">
        <v>694</v>
      </c>
    </row>
    <row r="19" spans="1:3" x14ac:dyDescent="0.25">
      <c r="A19" t="s">
        <v>659</v>
      </c>
      <c r="B19" s="1">
        <v>910124</v>
      </c>
      <c r="C19" t="s">
        <v>963</v>
      </c>
    </row>
    <row r="20" spans="1:3" x14ac:dyDescent="0.25">
      <c r="A20" t="s">
        <v>655</v>
      </c>
      <c r="B20" s="1">
        <v>910122</v>
      </c>
      <c r="C20" t="s">
        <v>963</v>
      </c>
    </row>
    <row r="21" spans="1:3" x14ac:dyDescent="0.25">
      <c r="A21" t="s">
        <v>961</v>
      </c>
      <c r="B21" s="1">
        <v>902385</v>
      </c>
      <c r="C21" t="s">
        <v>963</v>
      </c>
    </row>
    <row r="22" spans="1:3" x14ac:dyDescent="0.25">
      <c r="A22" t="s">
        <v>653</v>
      </c>
      <c r="B22" s="1">
        <v>910119</v>
      </c>
      <c r="C22" t="s">
        <v>963</v>
      </c>
    </row>
    <row r="23" spans="1:3" x14ac:dyDescent="0.25">
      <c r="A23" t="s">
        <v>654</v>
      </c>
      <c r="B23" s="1">
        <v>910120</v>
      </c>
      <c r="C23" t="s">
        <v>963</v>
      </c>
    </row>
    <row r="24" spans="1:3" x14ac:dyDescent="0.25">
      <c r="A24" t="s">
        <v>652</v>
      </c>
      <c r="B24" s="1">
        <v>910118</v>
      </c>
      <c r="C24" t="s">
        <v>963</v>
      </c>
    </row>
    <row r="25" spans="1:3" x14ac:dyDescent="0.25">
      <c r="A25" t="s">
        <v>960</v>
      </c>
      <c r="B25" s="1">
        <v>900906</v>
      </c>
      <c r="C25" t="s">
        <v>963</v>
      </c>
    </row>
    <row r="26" spans="1:3" x14ac:dyDescent="0.25">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38" t="s">
        <v>6591</v>
      </c>
      <c r="B1" s="38" t="s">
        <v>938</v>
      </c>
      <c r="C1" s="38" t="s">
        <v>939</v>
      </c>
      <c r="E1" s="38" t="s">
        <v>6592</v>
      </c>
      <c r="F1" s="38" t="s">
        <v>938</v>
      </c>
      <c r="G1" s="38" t="s">
        <v>939</v>
      </c>
    </row>
    <row r="2" spans="1:7" x14ac:dyDescent="0.25">
      <c r="A2" s="9" t="s">
        <v>6602</v>
      </c>
      <c r="B2" s="1">
        <v>50008</v>
      </c>
      <c r="C2" s="1">
        <v>30011</v>
      </c>
      <c r="E2" s="9" t="s">
        <v>659</v>
      </c>
      <c r="F2" s="1">
        <v>1811</v>
      </c>
      <c r="G2" s="1">
        <v>18</v>
      </c>
    </row>
    <row r="3" spans="1:7" x14ac:dyDescent="0.25">
      <c r="A3" s="9" t="s">
        <v>659</v>
      </c>
      <c r="B3" s="1">
        <v>1801</v>
      </c>
      <c r="C3" s="1">
        <v>18</v>
      </c>
      <c r="E3" s="9" t="s">
        <v>6594</v>
      </c>
      <c r="F3" s="1">
        <v>440002</v>
      </c>
      <c r="G3" s="1">
        <v>4400</v>
      </c>
    </row>
    <row r="4" spans="1:7" x14ac:dyDescent="0.25">
      <c r="A4" s="9" t="s">
        <v>940</v>
      </c>
      <c r="B4" s="1">
        <v>1700</v>
      </c>
      <c r="C4" s="1">
        <v>17</v>
      </c>
      <c r="E4" s="9" t="s">
        <v>6605</v>
      </c>
      <c r="F4" s="1">
        <v>10086</v>
      </c>
      <c r="G4" s="1">
        <v>9</v>
      </c>
    </row>
    <row r="5" spans="1:7" x14ac:dyDescent="0.25">
      <c r="A5" s="9" t="s">
        <v>941</v>
      </c>
      <c r="B5" s="1">
        <v>1701</v>
      </c>
      <c r="C5" s="1">
        <v>17</v>
      </c>
      <c r="E5" s="9" t="s">
        <v>8038</v>
      </c>
      <c r="F5" s="1">
        <v>6360003</v>
      </c>
      <c r="G5" s="1">
        <v>6360018</v>
      </c>
    </row>
    <row r="6" spans="1:7" x14ac:dyDescent="0.25">
      <c r="A6" s="9" t="s">
        <v>942</v>
      </c>
      <c r="B6" s="1">
        <v>1702</v>
      </c>
      <c r="C6" s="1">
        <v>17</v>
      </c>
      <c r="E6" s="9"/>
      <c r="F6" s="1"/>
      <c r="G6" s="1"/>
    </row>
    <row r="7" spans="1:7" x14ac:dyDescent="0.25">
      <c r="A7" s="9" t="s">
        <v>648</v>
      </c>
      <c r="B7" s="1">
        <v>6</v>
      </c>
      <c r="C7" s="1">
        <v>12</v>
      </c>
      <c r="E7" s="9"/>
      <c r="F7" s="1"/>
      <c r="G7" s="1"/>
    </row>
    <row r="8" spans="1:7" x14ac:dyDescent="0.25">
      <c r="A8" s="9" t="s">
        <v>6593</v>
      </c>
      <c r="B8" s="1">
        <v>440001</v>
      </c>
      <c r="C8" s="1">
        <v>4400</v>
      </c>
      <c r="E8" s="9"/>
      <c r="F8" s="1"/>
      <c r="G8" s="1"/>
    </row>
    <row r="9" spans="1:7" x14ac:dyDescent="0.25">
      <c r="A9" s="9" t="s">
        <v>6603</v>
      </c>
      <c r="B9" s="1">
        <v>5</v>
      </c>
      <c r="C9" s="1">
        <v>6</v>
      </c>
      <c r="E9" s="9"/>
      <c r="F9" s="1"/>
      <c r="G9" s="1"/>
    </row>
    <row r="10" spans="1:7" x14ac:dyDescent="0.25">
      <c r="A10" s="9" t="s">
        <v>6339</v>
      </c>
      <c r="B10" s="1">
        <v>2000</v>
      </c>
      <c r="C10" s="1">
        <v>20</v>
      </c>
      <c r="E10" s="9"/>
      <c r="F10" s="1"/>
      <c r="G10" s="1"/>
    </row>
    <row r="11" spans="1:7" x14ac:dyDescent="0.25">
      <c r="A11" s="9" t="s">
        <v>6340</v>
      </c>
      <c r="B11" s="1">
        <v>1900</v>
      </c>
      <c r="C11" s="1">
        <v>19</v>
      </c>
      <c r="E11" s="9"/>
      <c r="F11" s="1"/>
      <c r="G11" s="1"/>
    </row>
    <row r="12" spans="1:7" x14ac:dyDescent="0.25">
      <c r="A12" t="s">
        <v>7309</v>
      </c>
      <c r="B12" s="1">
        <v>6580005</v>
      </c>
      <c r="C12" s="1">
        <v>65800</v>
      </c>
      <c r="E12" s="9"/>
      <c r="F12" s="1"/>
      <c r="G12" s="1"/>
    </row>
    <row r="13" spans="1:7" x14ac:dyDescent="0.25">
      <c r="A13" t="s">
        <v>7310</v>
      </c>
      <c r="B13" s="1">
        <v>6580007</v>
      </c>
      <c r="C13" s="1">
        <v>65800</v>
      </c>
      <c r="E13" s="9"/>
      <c r="F13" s="1"/>
      <c r="G13" s="1"/>
    </row>
    <row r="14" spans="1:7" x14ac:dyDescent="0.25">
      <c r="A14" t="s">
        <v>7311</v>
      </c>
      <c r="B14" s="1">
        <v>6580008</v>
      </c>
      <c r="C14" s="1">
        <v>65800</v>
      </c>
      <c r="E14" s="9"/>
      <c r="F14" s="1"/>
      <c r="G14" s="1"/>
    </row>
    <row r="15" spans="1:7" x14ac:dyDescent="0.25">
      <c r="A15" t="s">
        <v>7312</v>
      </c>
      <c r="B15" s="1">
        <v>6580009</v>
      </c>
      <c r="C15" s="1">
        <v>65800</v>
      </c>
      <c r="E15" s="9"/>
      <c r="F15" s="1"/>
      <c r="G15" s="1"/>
    </row>
    <row r="16" spans="1:7" x14ac:dyDescent="0.25">
      <c r="A16" t="s">
        <v>7313</v>
      </c>
      <c r="B16" s="1">
        <v>580121</v>
      </c>
      <c r="C16" s="1">
        <v>580120</v>
      </c>
    </row>
    <row r="17" spans="1:3" x14ac:dyDescent="0.25">
      <c r="A17" s="9" t="s">
        <v>651</v>
      </c>
      <c r="B17" s="1">
        <v>15</v>
      </c>
      <c r="C17" s="1">
        <v>15</v>
      </c>
    </row>
    <row r="18" spans="1:3" x14ac:dyDescent="0.25">
      <c r="A18" s="9" t="s">
        <v>1700</v>
      </c>
      <c r="B18" s="1">
        <v>50005</v>
      </c>
      <c r="C18" s="1">
        <v>30007</v>
      </c>
    </row>
    <row r="19" spans="1:3" x14ac:dyDescent="0.25">
      <c r="A19" s="9" t="s">
        <v>6463</v>
      </c>
      <c r="B19" s="1">
        <v>50007</v>
      </c>
      <c r="C19" s="1">
        <v>30009</v>
      </c>
    </row>
    <row r="20" spans="1:3" x14ac:dyDescent="0.25">
      <c r="A20" s="9" t="s">
        <v>7970</v>
      </c>
      <c r="B20" s="1">
        <v>6540000</v>
      </c>
      <c r="C20" s="1">
        <v>6540001</v>
      </c>
    </row>
    <row r="21" spans="1:3" x14ac:dyDescent="0.25">
      <c r="A21" s="9" t="s">
        <v>7971</v>
      </c>
      <c r="B21" s="1">
        <v>6540003</v>
      </c>
      <c r="C21" s="1">
        <v>6540001</v>
      </c>
    </row>
    <row r="22" spans="1:3" x14ac:dyDescent="0.25">
      <c r="A22" s="9" t="s">
        <v>7972</v>
      </c>
      <c r="B22" s="1">
        <v>6540006</v>
      </c>
      <c r="C22" s="1">
        <v>6540001</v>
      </c>
    </row>
    <row r="23" spans="1:3" x14ac:dyDescent="0.25">
      <c r="A23" s="9" t="s">
        <v>7973</v>
      </c>
      <c r="B23" s="1">
        <v>6540010</v>
      </c>
      <c r="C23" s="1">
        <v>6540001</v>
      </c>
    </row>
    <row r="24" spans="1:3" x14ac:dyDescent="0.25">
      <c r="A24" s="9" t="s">
        <v>6604</v>
      </c>
      <c r="B24" s="1">
        <v>10086</v>
      </c>
      <c r="C24" s="1">
        <v>9</v>
      </c>
    </row>
    <row r="25" spans="1:3" x14ac:dyDescent="0.25">
      <c r="A25" s="9" t="s">
        <v>8037</v>
      </c>
      <c r="B25" s="1">
        <v>6360007</v>
      </c>
      <c r="C25" s="1">
        <v>6360013</v>
      </c>
    </row>
    <row r="26" spans="1:3" x14ac:dyDescent="0.25">
      <c r="A26" s="9" t="s">
        <v>647</v>
      </c>
      <c r="B26" s="1">
        <v>2300</v>
      </c>
      <c r="C26" s="1">
        <v>23</v>
      </c>
    </row>
    <row r="27" spans="1:3" x14ac:dyDescent="0.25">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19"/>
  <sheetViews>
    <sheetView topLeftCell="Z1" workbookViewId="0">
      <pane ySplit="1" topLeftCell="A394" activePane="bottomLeft" state="frozen"/>
      <selection activeCell="AV2" sqref="AV2:AV306"/>
      <selection pane="bottomLeft" activeCell="AV2" sqref="AV2:AV306"/>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08"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50" x14ac:dyDescent="0.25">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25">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25">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25">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25">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25">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25">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25">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25">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25">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25">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25">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25">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25">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25">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25">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25">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25">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25">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25">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25">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25">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25">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25">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25">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25">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25">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25">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25">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25">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25">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25">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25">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25">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25">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25">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25">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25">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25">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25">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25">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25">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25">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25">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25">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25">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25">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25">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25">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25">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25">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25">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25">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25">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25">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25">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25">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25">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25">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25">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25">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25">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25">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25">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25">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25">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25">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25">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25">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25">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25">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25">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25">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25">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25">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25">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25">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25">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25">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25">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25">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25">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25">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25">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25">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25">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25">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25">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25">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25">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25">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25">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25">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25">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25">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25">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25">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25">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25">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25">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25">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25">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25">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25">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25">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25">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25">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25">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25">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25">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25">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25">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25">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25">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25">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25">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25">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25">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25">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25">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25">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25">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25">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25">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25">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25">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25">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25">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25">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25">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25">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25">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25">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25">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25">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25">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25">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25">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25">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25">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25">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25">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25">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25">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25">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25">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25">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25">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25">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25">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25">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25">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25">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25">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25">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25">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25">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25">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25">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25">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25">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25">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25">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25">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25">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25">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25">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25">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25">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25">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25">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25">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25">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25">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25">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25">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25">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25">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25">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25">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25">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25">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25">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25">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25">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25">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25">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25">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25">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25">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25">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25">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25">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25">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25">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25">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25">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25">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25">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25">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25">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25">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25">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25">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25">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25">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25">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25">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25">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25">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25">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25">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25">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25">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25">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25">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25">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25">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25">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25">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25">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25">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25">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25">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25">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25">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25">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25">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25">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25">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25">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25">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25">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25">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25">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25">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25">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25">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25">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25">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25">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25">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25">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25">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25">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25">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25">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25">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25">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25">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25">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25">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25">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25">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25">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25">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25">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25">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25">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25">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25">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25">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25">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25">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25">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25">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25">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25">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25">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25">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25">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25">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25">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25">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25">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25">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25">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25">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25">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25">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25">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25">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25">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25">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25">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25">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25">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25">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25">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25">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25">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25">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25">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25">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25">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25">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25">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25">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25">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25">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25">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25">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25">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25">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25">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25">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25">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25">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25">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25">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25">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25">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25">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25">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25">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25">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25">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25">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25">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25">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25">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25">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25">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25">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25">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25">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25">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25">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25">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25">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25">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25">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25">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25">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25">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25">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25">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25">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25">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25">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25">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25">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25">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25">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25">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25">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25">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25">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25">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25">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25">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25">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25">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25">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25">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25">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25">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25">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25">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25">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25">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25">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25">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25">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25">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25">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25">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25">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25">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25">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25">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25">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25">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25">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25">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25">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25">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25">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25">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25">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25">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25">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25">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25">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25">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25">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25">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25">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25">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25">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25">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25">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25">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25">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25">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25">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25">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25">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25">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25">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25">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25">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25">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25">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25">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25">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25">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25">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25">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25">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25">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25">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25">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25">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25">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25">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row r="417" spans="1:50" x14ac:dyDescent="0.25">
      <c r="A417">
        <v>418</v>
      </c>
      <c r="B417" t="s">
        <v>9046</v>
      </c>
      <c r="C417" t="s">
        <v>9047</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9048</v>
      </c>
      <c r="AL417" s="1" t="s">
        <v>9049</v>
      </c>
      <c r="AM417" s="1">
        <v>0.3</v>
      </c>
      <c r="AN417" s="1">
        <v>0.25</v>
      </c>
      <c r="AO417" s="1">
        <v>0.12</v>
      </c>
      <c r="AP417" s="1">
        <v>0.38</v>
      </c>
      <c r="AQ417" s="1">
        <v>3</v>
      </c>
      <c r="AR417" t="s">
        <v>9050</v>
      </c>
      <c r="AS417">
        <v>0</v>
      </c>
      <c r="AT417" t="s">
        <v>9051</v>
      </c>
      <c r="AU417">
        <v>10</v>
      </c>
      <c r="AV417">
        <v>20093</v>
      </c>
      <c r="AX417">
        <v>0</v>
      </c>
    </row>
    <row r="418" spans="1:50" x14ac:dyDescent="0.25">
      <c r="A418">
        <v>419</v>
      </c>
      <c r="B418" t="s">
        <v>9063</v>
      </c>
      <c r="C418" t="s">
        <v>9064</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9075</v>
      </c>
      <c r="AH418" s="1">
        <v>3600</v>
      </c>
      <c r="AI418" t="s">
        <v>1843</v>
      </c>
      <c r="AJ418">
        <v>0</v>
      </c>
      <c r="AK418" s="1" t="s">
        <v>442</v>
      </c>
      <c r="AL418" s="1" t="s">
        <v>9065</v>
      </c>
      <c r="AM418" s="1">
        <v>0.15</v>
      </c>
      <c r="AN418" s="1">
        <v>0.6</v>
      </c>
      <c r="AO418" s="1">
        <v>0.38</v>
      </c>
      <c r="AP418" s="1">
        <v>0.23</v>
      </c>
      <c r="AQ418" s="1">
        <v>3</v>
      </c>
      <c r="AR418" t="s">
        <v>1475</v>
      </c>
      <c r="AS418">
        <v>0</v>
      </c>
      <c r="AT418" t="s">
        <v>9066</v>
      </c>
      <c r="AU418">
        <v>10</v>
      </c>
      <c r="AV418">
        <v>19083</v>
      </c>
      <c r="AX418">
        <v>0</v>
      </c>
    </row>
    <row r="419" spans="1:50" x14ac:dyDescent="0.25">
      <c r="A419">
        <v>420</v>
      </c>
      <c r="B419" t="s">
        <v>9067</v>
      </c>
      <c r="C419" t="s">
        <v>9068</v>
      </c>
      <c r="D419">
        <v>5</v>
      </c>
      <c r="E419">
        <v>3</v>
      </c>
      <c r="F419">
        <v>20</v>
      </c>
      <c r="G419" s="1" t="s">
        <v>328</v>
      </c>
      <c r="H419" s="1" t="s">
        <v>335</v>
      </c>
      <c r="I419" s="1" t="s">
        <v>328</v>
      </c>
      <c r="J419" s="1" t="s">
        <v>328</v>
      </c>
      <c r="K419" s="1" t="s">
        <v>328</v>
      </c>
      <c r="L419" s="1" t="s">
        <v>328</v>
      </c>
      <c r="M419" s="1" t="s">
        <v>328</v>
      </c>
      <c r="N419" s="1" t="s">
        <v>328</v>
      </c>
      <c r="O419" s="1" t="s">
        <v>9069</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9076</v>
      </c>
      <c r="AH419" s="1">
        <v>3060</v>
      </c>
      <c r="AI419" t="s">
        <v>1843</v>
      </c>
      <c r="AJ419">
        <v>0</v>
      </c>
      <c r="AK419" s="1" t="s">
        <v>9070</v>
      </c>
      <c r="AL419" s="1" t="s">
        <v>9071</v>
      </c>
      <c r="AM419" s="1">
        <v>0.23</v>
      </c>
      <c r="AN419" s="1">
        <v>0.23</v>
      </c>
      <c r="AO419" s="1">
        <v>0.33</v>
      </c>
      <c r="AP419" s="1">
        <v>0.38</v>
      </c>
      <c r="AQ419" s="1">
        <v>3</v>
      </c>
      <c r="AR419" t="s">
        <v>9072</v>
      </c>
      <c r="AS419">
        <v>0</v>
      </c>
      <c r="AT419" t="s">
        <v>9073</v>
      </c>
      <c r="AU419">
        <v>10</v>
      </c>
      <c r="AV419">
        <v>20094</v>
      </c>
      <c r="AX419">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3"/>
  <sheetViews>
    <sheetView workbookViewId="0">
      <pane ySplit="1" topLeftCell="A609" activePane="bottomLeft" state="frozen"/>
      <selection activeCell="AV2" sqref="AV2:AV306"/>
      <selection pane="bottomLeft" activeCell="AV2" sqref="AV2:AV306"/>
    </sheetView>
  </sheetViews>
  <sheetFormatPr defaultRowHeight="15" x14ac:dyDescent="0.25"/>
  <cols>
    <col min="1" max="1" width="7.28515625" bestFit="1" customWidth="1"/>
    <col min="2" max="2" width="13.140625" bestFit="1" customWidth="1"/>
    <col min="3" max="3" width="19.28515625" style="208"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25">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25">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25">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25">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25">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25">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25">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25">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25">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25">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25">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25">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25">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25">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25">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25">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25">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25">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25">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25">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25">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25">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25">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25">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25">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25">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25">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25">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25">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25">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25">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25">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25">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25">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25">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25">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25">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25">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25">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25">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25">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25">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25">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25">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25">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25">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25">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25">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25">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25">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25">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25">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25">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25">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25">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25">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25">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25">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25">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25">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25">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25">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25">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25">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25">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25">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25">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25">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25">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25">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25">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25">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25">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25">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25">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25">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25">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25">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25">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25">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25">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25">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25">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25">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25">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25">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25">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25">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25">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25">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25">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25">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25">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25">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25">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25">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25">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25">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25">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25">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25">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25">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25">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25">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25">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25">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25">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25">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25">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25">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25">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25">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25">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25">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25">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25">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25">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25">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25">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25">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25">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25">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25">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25">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25">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25">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25">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25">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25">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25">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25">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25">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25">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25">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25">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25">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25">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25">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25">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25">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25">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25">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25">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25">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25">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25">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25">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25">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25">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25">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25">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25">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25">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25">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25">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25">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25">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25">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25">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25">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25">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25">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25">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25">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25">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25">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25">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25">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25">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25">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25">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25">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25">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25">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25">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25">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25">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25">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25">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25">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25">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25">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25">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25">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25">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25">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25">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25">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25">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25">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25">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25">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25">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25">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25">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25">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25">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25">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25">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25">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25">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25">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25">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25">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25">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25">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25">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25">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25">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25">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25">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25">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25">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25">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25">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25">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25">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25">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25">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25">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25">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25">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25">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25">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25">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25">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25">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25">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25">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25">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25">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25">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25">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25">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25">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25">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25">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25">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25">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25">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25">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25">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25">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25">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25">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25">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25">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25">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25">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25">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25">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25">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25">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25">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25">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25">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25">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25">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25">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25">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25">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25">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25">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25">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25">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25">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25">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25">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25">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25">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25">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25">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25">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25">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25">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25">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25">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25">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25">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25">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25">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25">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25">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25">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25">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25">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25">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25">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25">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25">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25">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25">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25">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25">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25">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25">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25">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25">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25">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25">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25">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25">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25">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25">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25">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25">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25">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25">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25">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25">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25">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25">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25">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25">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25">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25">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25">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25">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25">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25">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25">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25">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25">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25">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25">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25">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25">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25">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25">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25">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25">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25">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25">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25">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25">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25">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25">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25">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25">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25">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25">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25">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25">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25">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25">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25">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25">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25">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25">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25">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25">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25">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25">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25">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25">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25">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25">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25">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25">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25">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25">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25">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25">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25">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25">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25">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25">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25">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25">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25">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25">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25">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25">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25">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25">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25">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25">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25">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25">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25">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25">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25">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25">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25">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25">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25">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25">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25">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25">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25">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25">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25">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25">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25">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25">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25">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25">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25">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25">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25">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25">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25">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25">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25">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25">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25">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25">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25">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25">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25">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25">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25">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25">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25">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25">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25">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25">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25">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25">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25">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25">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25">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25">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25">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25">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25">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25">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25">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25">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25">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25">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25">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25">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25">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25">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25">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25">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25">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25">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25">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25">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25">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25">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25">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25">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25">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25">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25">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25">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25">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25">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25">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25">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25">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25">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25">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25">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25">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25">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25">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25">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25">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25">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25">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25">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25">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25">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25">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25">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25">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25">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25">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25">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25">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25">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25">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25">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25">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25">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25">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25">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25">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25">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25">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25">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25">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25">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25">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25">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25">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25">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25">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25">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25">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25">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25">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25">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25">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25">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25">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25">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25">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25">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25">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25">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25">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25">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25">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25">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25">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25">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25">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25">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25">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25">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25">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25">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25">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25">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25">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25">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25">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25">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25">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25">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25">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25">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25">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25">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25">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25">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25">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25">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25">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25">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25">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25">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25">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25">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25">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25">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25">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25">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25">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25">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25">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25">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25">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25">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25">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25">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25">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25">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25">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25">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25">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25">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25">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25">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25">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25">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25">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25">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25">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25">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25">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25">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25">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25">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25">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25">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25">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25">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25">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25">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25">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25">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25">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25">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25">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25">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25">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25">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25">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25">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25">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25">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25">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25">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25">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25">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25">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25">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25">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25">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25">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25">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25">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25">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25">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25">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25">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25">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25">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25">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25">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25">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25">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25">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25">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25">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25">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25">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25">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25">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25">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25">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25">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25">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25">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25">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25">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25">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25">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25">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25">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25">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25">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25">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25">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25">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25">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5"/>
  <sheetViews>
    <sheetView workbookViewId="0">
      <pane ySplit="1" topLeftCell="A2" activePane="bottomLeft" state="frozen"/>
      <selection activeCell="AG415" sqref="AG415:AG416"/>
      <selection pane="bottomLeft" activeCell="AG415" sqref="AG415:AG416"/>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25">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25">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25">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25">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25">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25">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25">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25">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25">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25">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25">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25">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25">
      <c r="A14">
        <v>1028</v>
      </c>
      <c r="B14" t="s">
        <v>9037</v>
      </c>
      <c r="C14" t="s">
        <v>9038</v>
      </c>
      <c r="D14" t="s">
        <v>9038</v>
      </c>
      <c r="E14" t="s">
        <v>9039</v>
      </c>
      <c r="F14" t="s">
        <v>6784</v>
      </c>
      <c r="G14" t="s">
        <v>4485</v>
      </c>
      <c r="H14" t="s">
        <v>9040</v>
      </c>
      <c r="I14">
        <v>1</v>
      </c>
      <c r="J14">
        <v>1</v>
      </c>
      <c r="K14" t="s">
        <v>972</v>
      </c>
      <c r="L14">
        <v>1</v>
      </c>
      <c r="M14">
        <v>128</v>
      </c>
      <c r="N14" t="s">
        <v>973</v>
      </c>
      <c r="O14">
        <v>10</v>
      </c>
      <c r="P14">
        <v>0</v>
      </c>
      <c r="Q14">
        <v>5</v>
      </c>
      <c r="R14">
        <v>760002</v>
      </c>
      <c r="S14">
        <v>1</v>
      </c>
      <c r="T14">
        <v>760004</v>
      </c>
      <c r="U14">
        <v>760005</v>
      </c>
      <c r="V14">
        <v>760007</v>
      </c>
      <c r="W14" t="s">
        <v>9041</v>
      </c>
      <c r="X14" t="s">
        <v>9042</v>
      </c>
      <c r="Y14" t="s">
        <v>328</v>
      </c>
      <c r="Z14">
        <v>760001</v>
      </c>
      <c r="AA14">
        <v>10</v>
      </c>
      <c r="AB14">
        <v>10</v>
      </c>
      <c r="AC14">
        <v>5</v>
      </c>
      <c r="AD14">
        <v>5</v>
      </c>
      <c r="AE14">
        <v>100</v>
      </c>
      <c r="AF14">
        <v>115</v>
      </c>
      <c r="AG14">
        <v>125</v>
      </c>
      <c r="AH14">
        <v>95</v>
      </c>
      <c r="AI14">
        <v>80</v>
      </c>
      <c r="AJ14">
        <v>0</v>
      </c>
      <c r="AK14">
        <v>15</v>
      </c>
      <c r="AL14">
        <v>40</v>
      </c>
      <c r="AM14">
        <v>150</v>
      </c>
      <c r="AN14">
        <v>100</v>
      </c>
      <c r="AO14">
        <v>15</v>
      </c>
      <c r="AP14">
        <v>0</v>
      </c>
      <c r="AQ14">
        <v>2</v>
      </c>
      <c r="AR14">
        <v>15</v>
      </c>
      <c r="AS14">
        <v>500</v>
      </c>
      <c r="AT14">
        <v>7</v>
      </c>
      <c r="AU14" t="s">
        <v>9043</v>
      </c>
      <c r="AV14" t="s">
        <v>4491</v>
      </c>
      <c r="AW14" t="s">
        <v>4491</v>
      </c>
      <c r="AX14" t="s">
        <v>4491</v>
      </c>
      <c r="AY14">
        <v>236</v>
      </c>
      <c r="AZ14">
        <v>11002</v>
      </c>
      <c r="BA14">
        <v>1</v>
      </c>
      <c r="BB14" t="s">
        <v>4492</v>
      </c>
      <c r="BC14" t="s">
        <v>1806</v>
      </c>
      <c r="BD14">
        <v>930029</v>
      </c>
      <c r="BE14" t="s">
        <v>4493</v>
      </c>
      <c r="BF14" t="s">
        <v>4494</v>
      </c>
      <c r="BG14">
        <v>100</v>
      </c>
      <c r="BH14">
        <v>10602</v>
      </c>
      <c r="BI14">
        <v>0</v>
      </c>
    </row>
    <row r="15" spans="1:61" x14ac:dyDescent="0.25">
      <c r="A15">
        <v>1003</v>
      </c>
      <c r="B15" t="s">
        <v>4556</v>
      </c>
      <c r="C15" t="s">
        <v>976</v>
      </c>
      <c r="D15" t="s">
        <v>976</v>
      </c>
      <c r="E15" t="s">
        <v>4557</v>
      </c>
      <c r="G15" t="s">
        <v>4485</v>
      </c>
      <c r="H15" t="s">
        <v>4558</v>
      </c>
      <c r="I15">
        <v>1</v>
      </c>
      <c r="J15">
        <v>1</v>
      </c>
      <c r="K15" t="s">
        <v>972</v>
      </c>
      <c r="L15">
        <v>1</v>
      </c>
      <c r="M15">
        <v>103</v>
      </c>
      <c r="N15" t="s">
        <v>973</v>
      </c>
      <c r="O15">
        <v>10</v>
      </c>
      <c r="P15">
        <v>0</v>
      </c>
      <c r="Q15">
        <v>5</v>
      </c>
      <c r="R15">
        <v>900592</v>
      </c>
      <c r="S15">
        <v>1</v>
      </c>
      <c r="T15">
        <v>900594</v>
      </c>
      <c r="U15">
        <v>900596</v>
      </c>
      <c r="V15">
        <v>900597</v>
      </c>
      <c r="W15" t="s">
        <v>4559</v>
      </c>
      <c r="X15" t="s">
        <v>328</v>
      </c>
      <c r="Y15" t="s">
        <v>4560</v>
      </c>
      <c r="Z15">
        <v>900591</v>
      </c>
      <c r="AA15">
        <v>10</v>
      </c>
      <c r="AB15">
        <v>10</v>
      </c>
      <c r="AC15">
        <v>5</v>
      </c>
      <c r="AD15">
        <v>5</v>
      </c>
      <c r="AE15">
        <v>100</v>
      </c>
      <c r="AF15">
        <v>100</v>
      </c>
      <c r="AG15">
        <v>110</v>
      </c>
      <c r="AH15">
        <v>105</v>
      </c>
      <c r="AI15">
        <v>105</v>
      </c>
      <c r="AJ15">
        <v>0</v>
      </c>
      <c r="AK15">
        <v>15</v>
      </c>
      <c r="AL15">
        <v>30</v>
      </c>
      <c r="AM15">
        <v>150</v>
      </c>
      <c r="AN15">
        <v>100</v>
      </c>
      <c r="AO15">
        <v>15</v>
      </c>
      <c r="AP15">
        <v>0</v>
      </c>
      <c r="AQ15">
        <v>2</v>
      </c>
      <c r="AR15">
        <v>15</v>
      </c>
      <c r="AS15">
        <v>500</v>
      </c>
      <c r="AT15">
        <v>7</v>
      </c>
      <c r="AU15" t="s">
        <v>4561</v>
      </c>
      <c r="AV15" t="s">
        <v>4491</v>
      </c>
      <c r="AW15" t="s">
        <v>4491</v>
      </c>
      <c r="AX15" t="s">
        <v>4491</v>
      </c>
      <c r="AY15">
        <v>11</v>
      </c>
      <c r="AZ15">
        <v>11002</v>
      </c>
      <c r="BA15">
        <v>1</v>
      </c>
      <c r="BB15" t="s">
        <v>4492</v>
      </c>
      <c r="BC15" t="s">
        <v>1806</v>
      </c>
      <c r="BD15">
        <v>930003</v>
      </c>
      <c r="BE15" t="s">
        <v>4493</v>
      </c>
      <c r="BF15" t="s">
        <v>4494</v>
      </c>
      <c r="BG15">
        <v>100</v>
      </c>
      <c r="BH15">
        <v>10602</v>
      </c>
    </row>
    <row r="16" spans="1:61" x14ac:dyDescent="0.25">
      <c r="A16">
        <v>1018</v>
      </c>
      <c r="B16" t="s">
        <v>6349</v>
      </c>
      <c r="C16" t="s">
        <v>6350</v>
      </c>
      <c r="D16" t="s">
        <v>6350</v>
      </c>
      <c r="E16" t="s">
        <v>6351</v>
      </c>
      <c r="G16" t="s">
        <v>4485</v>
      </c>
      <c r="H16" t="s">
        <v>6352</v>
      </c>
      <c r="I16">
        <v>1</v>
      </c>
      <c r="J16">
        <v>1</v>
      </c>
      <c r="K16" t="s">
        <v>972</v>
      </c>
      <c r="L16">
        <v>1</v>
      </c>
      <c r="M16">
        <v>118</v>
      </c>
      <c r="N16" t="s">
        <v>973</v>
      </c>
      <c r="O16">
        <v>10</v>
      </c>
      <c r="P16">
        <v>0</v>
      </c>
      <c r="Q16">
        <v>5</v>
      </c>
      <c r="R16">
        <v>750363</v>
      </c>
      <c r="S16">
        <v>1</v>
      </c>
      <c r="T16">
        <v>750365</v>
      </c>
      <c r="U16">
        <v>750366</v>
      </c>
      <c r="V16">
        <v>750367</v>
      </c>
      <c r="W16" t="s">
        <v>6353</v>
      </c>
      <c r="X16" t="s">
        <v>6354</v>
      </c>
      <c r="Y16" t="s">
        <v>6355</v>
      </c>
      <c r="Z16">
        <v>750370</v>
      </c>
      <c r="AA16">
        <v>10</v>
      </c>
      <c r="AB16">
        <v>10</v>
      </c>
      <c r="AC16">
        <v>5</v>
      </c>
      <c r="AD16">
        <v>5</v>
      </c>
      <c r="AE16">
        <v>80</v>
      </c>
      <c r="AF16">
        <v>100</v>
      </c>
      <c r="AG16">
        <v>95</v>
      </c>
      <c r="AH16">
        <v>150</v>
      </c>
      <c r="AI16">
        <v>125</v>
      </c>
      <c r="AJ16">
        <v>0</v>
      </c>
      <c r="AK16">
        <v>200</v>
      </c>
      <c r="AL16">
        <v>40</v>
      </c>
      <c r="AM16">
        <v>150</v>
      </c>
      <c r="AN16">
        <v>100</v>
      </c>
      <c r="AO16">
        <v>15</v>
      </c>
      <c r="AP16">
        <v>0</v>
      </c>
      <c r="AQ16">
        <v>2</v>
      </c>
      <c r="AR16">
        <v>15</v>
      </c>
      <c r="AS16">
        <v>500</v>
      </c>
      <c r="AT16">
        <v>7</v>
      </c>
      <c r="AU16" t="s">
        <v>6356</v>
      </c>
      <c r="AV16" t="s">
        <v>4491</v>
      </c>
      <c r="AW16" t="s">
        <v>4491</v>
      </c>
      <c r="AX16" t="s">
        <v>4491</v>
      </c>
      <c r="AY16">
        <v>157</v>
      </c>
      <c r="AZ16">
        <v>11002</v>
      </c>
      <c r="BA16">
        <v>1</v>
      </c>
      <c r="BB16" t="s">
        <v>4492</v>
      </c>
      <c r="BC16" t="s">
        <v>1806</v>
      </c>
      <c r="BD16">
        <v>930019</v>
      </c>
      <c r="BE16" t="s">
        <v>4493</v>
      </c>
      <c r="BF16" t="s">
        <v>4494</v>
      </c>
      <c r="BG16">
        <v>100</v>
      </c>
      <c r="BH16">
        <v>10602</v>
      </c>
      <c r="BI16">
        <v>0</v>
      </c>
    </row>
    <row r="17" spans="1:61" x14ac:dyDescent="0.25">
      <c r="A17">
        <v>1004</v>
      </c>
      <c r="B17" t="s">
        <v>4562</v>
      </c>
      <c r="C17" t="s">
        <v>977</v>
      </c>
      <c r="D17" t="s">
        <v>977</v>
      </c>
      <c r="E17" t="s">
        <v>4563</v>
      </c>
      <c r="G17" t="s">
        <v>4485</v>
      </c>
      <c r="H17" t="s">
        <v>4564</v>
      </c>
      <c r="I17">
        <v>1</v>
      </c>
      <c r="J17">
        <v>1</v>
      </c>
      <c r="K17" t="s">
        <v>972</v>
      </c>
      <c r="L17">
        <v>1</v>
      </c>
      <c r="M17">
        <v>104</v>
      </c>
      <c r="N17" t="s">
        <v>973</v>
      </c>
      <c r="O17">
        <v>10</v>
      </c>
      <c r="P17">
        <v>0</v>
      </c>
      <c r="Q17">
        <v>5</v>
      </c>
      <c r="R17">
        <v>900667</v>
      </c>
      <c r="S17">
        <v>2</v>
      </c>
      <c r="T17">
        <v>30007</v>
      </c>
      <c r="U17">
        <v>900644</v>
      </c>
      <c r="V17">
        <v>900645</v>
      </c>
      <c r="W17" t="s">
        <v>4565</v>
      </c>
      <c r="X17" t="s">
        <v>328</v>
      </c>
      <c r="Y17" t="s">
        <v>328</v>
      </c>
      <c r="Z17">
        <v>900536</v>
      </c>
      <c r="AA17">
        <v>10</v>
      </c>
      <c r="AB17">
        <v>10</v>
      </c>
      <c r="AC17">
        <v>5</v>
      </c>
      <c r="AD17">
        <v>5</v>
      </c>
      <c r="AE17">
        <v>120</v>
      </c>
      <c r="AF17">
        <v>105</v>
      </c>
      <c r="AG17">
        <v>95</v>
      </c>
      <c r="AH17">
        <v>95</v>
      </c>
      <c r="AI17">
        <v>95</v>
      </c>
      <c r="AJ17">
        <v>0</v>
      </c>
      <c r="AK17">
        <v>15</v>
      </c>
      <c r="AL17">
        <v>20</v>
      </c>
      <c r="AM17">
        <v>150</v>
      </c>
      <c r="AN17">
        <v>100</v>
      </c>
      <c r="AO17">
        <v>15</v>
      </c>
      <c r="AP17">
        <v>0</v>
      </c>
      <c r="AQ17">
        <v>2</v>
      </c>
      <c r="AR17">
        <v>15</v>
      </c>
      <c r="AS17">
        <v>500</v>
      </c>
      <c r="AT17">
        <v>7</v>
      </c>
      <c r="AU17" t="s">
        <v>4566</v>
      </c>
      <c r="AV17" t="s">
        <v>4491</v>
      </c>
      <c r="AW17" t="s">
        <v>4491</v>
      </c>
      <c r="AX17" t="s">
        <v>4491</v>
      </c>
      <c r="AY17">
        <v>17</v>
      </c>
      <c r="AZ17">
        <v>11002</v>
      </c>
      <c r="BA17">
        <v>1</v>
      </c>
      <c r="BB17" t="s">
        <v>4492</v>
      </c>
      <c r="BC17" t="s">
        <v>1806</v>
      </c>
      <c r="BD17">
        <v>930004</v>
      </c>
      <c r="BE17" t="s">
        <v>4493</v>
      </c>
      <c r="BF17" t="s">
        <v>4494</v>
      </c>
      <c r="BG17">
        <v>100</v>
      </c>
      <c r="BH17">
        <v>10602</v>
      </c>
    </row>
    <row r="18" spans="1:61" x14ac:dyDescent="0.25">
      <c r="A18">
        <v>1016</v>
      </c>
      <c r="B18" t="s">
        <v>4482</v>
      </c>
      <c r="C18" t="s">
        <v>4483</v>
      </c>
      <c r="D18" t="s">
        <v>4483</v>
      </c>
      <c r="E18" t="s">
        <v>4484</v>
      </c>
      <c r="G18" t="s">
        <v>4485</v>
      </c>
      <c r="H18" t="s">
        <v>4486</v>
      </c>
      <c r="I18">
        <v>1</v>
      </c>
      <c r="J18">
        <v>1</v>
      </c>
      <c r="K18" t="s">
        <v>972</v>
      </c>
      <c r="L18">
        <v>1</v>
      </c>
      <c r="M18">
        <v>116</v>
      </c>
      <c r="N18" t="s">
        <v>973</v>
      </c>
      <c r="O18">
        <v>10</v>
      </c>
      <c r="P18">
        <v>0</v>
      </c>
      <c r="Q18">
        <v>5</v>
      </c>
      <c r="R18">
        <v>750126</v>
      </c>
      <c r="S18">
        <v>1</v>
      </c>
      <c r="T18">
        <v>750081</v>
      </c>
      <c r="U18">
        <v>750082</v>
      </c>
      <c r="V18">
        <v>750086</v>
      </c>
      <c r="W18" t="s">
        <v>4487</v>
      </c>
      <c r="X18" t="s">
        <v>4488</v>
      </c>
      <c r="Y18" t="s">
        <v>4489</v>
      </c>
      <c r="Z18">
        <v>900536</v>
      </c>
      <c r="AA18">
        <v>10</v>
      </c>
      <c r="AB18">
        <v>10</v>
      </c>
      <c r="AC18">
        <v>5</v>
      </c>
      <c r="AD18">
        <v>5</v>
      </c>
      <c r="AE18">
        <v>125</v>
      </c>
      <c r="AF18">
        <v>98</v>
      </c>
      <c r="AG18">
        <v>108</v>
      </c>
      <c r="AH18">
        <v>85</v>
      </c>
      <c r="AI18">
        <v>105</v>
      </c>
      <c r="AJ18">
        <v>0</v>
      </c>
      <c r="AK18">
        <v>15</v>
      </c>
      <c r="AL18">
        <v>20</v>
      </c>
      <c r="AM18">
        <v>150</v>
      </c>
      <c r="AN18">
        <v>100</v>
      </c>
      <c r="AO18">
        <v>15</v>
      </c>
      <c r="AP18">
        <v>0</v>
      </c>
      <c r="AQ18">
        <v>2</v>
      </c>
      <c r="AR18">
        <v>15</v>
      </c>
      <c r="AS18">
        <v>500</v>
      </c>
      <c r="AT18">
        <v>7</v>
      </c>
      <c r="AU18" t="s">
        <v>4490</v>
      </c>
      <c r="AV18" t="s">
        <v>4491</v>
      </c>
      <c r="AW18" t="s">
        <v>4491</v>
      </c>
      <c r="AX18" t="s">
        <v>4491</v>
      </c>
      <c r="AY18">
        <v>140</v>
      </c>
      <c r="AZ18">
        <v>11002</v>
      </c>
      <c r="BA18">
        <v>1</v>
      </c>
      <c r="BB18" t="s">
        <v>4492</v>
      </c>
      <c r="BC18" t="s">
        <v>1806</v>
      </c>
      <c r="BD18">
        <v>930017</v>
      </c>
      <c r="BE18" t="s">
        <v>4493</v>
      </c>
      <c r="BF18" t="s">
        <v>4494</v>
      </c>
      <c r="BG18">
        <v>100</v>
      </c>
      <c r="BH18">
        <v>10602</v>
      </c>
    </row>
    <row r="19" spans="1:61" x14ac:dyDescent="0.25">
      <c r="A19">
        <v>1011</v>
      </c>
      <c r="B19" t="s">
        <v>4567</v>
      </c>
      <c r="C19" t="s">
        <v>983</v>
      </c>
      <c r="D19" t="s">
        <v>983</v>
      </c>
      <c r="E19" t="s">
        <v>4568</v>
      </c>
      <c r="G19" t="s">
        <v>4485</v>
      </c>
      <c r="H19" t="s">
        <v>4569</v>
      </c>
      <c r="I19">
        <v>1</v>
      </c>
      <c r="J19">
        <v>1</v>
      </c>
      <c r="K19" t="s">
        <v>984</v>
      </c>
      <c r="L19">
        <v>1</v>
      </c>
      <c r="M19">
        <v>111</v>
      </c>
      <c r="N19" t="s">
        <v>973</v>
      </c>
      <c r="O19">
        <v>10</v>
      </c>
      <c r="P19">
        <v>0</v>
      </c>
      <c r="Q19">
        <v>5</v>
      </c>
      <c r="R19">
        <v>901200</v>
      </c>
      <c r="S19">
        <v>2</v>
      </c>
      <c r="T19">
        <v>30009</v>
      </c>
      <c r="U19">
        <v>901225</v>
      </c>
      <c r="V19">
        <v>901226</v>
      </c>
      <c r="W19" t="s">
        <v>4570</v>
      </c>
      <c r="X19" t="s">
        <v>4571</v>
      </c>
      <c r="Y19" t="s">
        <v>4572</v>
      </c>
      <c r="Z19">
        <v>901223</v>
      </c>
      <c r="AA19">
        <v>10</v>
      </c>
      <c r="AB19">
        <v>10</v>
      </c>
      <c r="AC19">
        <v>5</v>
      </c>
      <c r="AD19">
        <v>5</v>
      </c>
      <c r="AE19">
        <v>130</v>
      </c>
      <c r="AF19">
        <v>95</v>
      </c>
      <c r="AG19">
        <v>110</v>
      </c>
      <c r="AH19">
        <v>110</v>
      </c>
      <c r="AI19">
        <v>80</v>
      </c>
      <c r="AJ19">
        <v>48</v>
      </c>
      <c r="AK19">
        <v>15</v>
      </c>
      <c r="AL19">
        <v>20</v>
      </c>
      <c r="AM19">
        <v>150</v>
      </c>
      <c r="AN19">
        <v>100</v>
      </c>
      <c r="AO19">
        <v>15</v>
      </c>
      <c r="AP19">
        <v>0</v>
      </c>
      <c r="AQ19">
        <v>2</v>
      </c>
      <c r="AR19">
        <v>15</v>
      </c>
      <c r="AS19">
        <v>500</v>
      </c>
      <c r="AT19">
        <v>7</v>
      </c>
      <c r="AU19" t="s">
        <v>4573</v>
      </c>
      <c r="AV19" t="s">
        <v>4491</v>
      </c>
      <c r="AW19" t="s">
        <v>4491</v>
      </c>
      <c r="AX19" t="s">
        <v>4491</v>
      </c>
      <c r="AY19">
        <v>35</v>
      </c>
      <c r="AZ19">
        <v>11002</v>
      </c>
      <c r="BA19">
        <v>1</v>
      </c>
      <c r="BB19" t="s">
        <v>4492</v>
      </c>
      <c r="BC19" t="s">
        <v>1806</v>
      </c>
      <c r="BD19">
        <v>930011</v>
      </c>
      <c r="BE19" t="s">
        <v>4493</v>
      </c>
      <c r="BF19" t="s">
        <v>4494</v>
      </c>
      <c r="BG19">
        <v>100</v>
      </c>
      <c r="BH19">
        <v>10604</v>
      </c>
    </row>
    <row r="20" spans="1:61" x14ac:dyDescent="0.25">
      <c r="A20">
        <v>1025</v>
      </c>
      <c r="B20" t="s">
        <v>8128</v>
      </c>
      <c r="C20" t="s">
        <v>8129</v>
      </c>
      <c r="D20" t="s">
        <v>8130</v>
      </c>
      <c r="E20" t="s">
        <v>8131</v>
      </c>
      <c r="F20" t="s">
        <v>6784</v>
      </c>
      <c r="G20" t="s">
        <v>4485</v>
      </c>
      <c r="H20" t="s">
        <v>8132</v>
      </c>
      <c r="I20">
        <v>3</v>
      </c>
      <c r="J20">
        <v>1</v>
      </c>
      <c r="K20" t="s">
        <v>972</v>
      </c>
      <c r="L20">
        <v>1</v>
      </c>
      <c r="M20">
        <v>125</v>
      </c>
      <c r="N20" t="s">
        <v>973</v>
      </c>
      <c r="O20">
        <v>10</v>
      </c>
      <c r="P20">
        <v>0</v>
      </c>
      <c r="Q20">
        <v>5</v>
      </c>
      <c r="R20">
        <v>750870</v>
      </c>
      <c r="S20">
        <v>1</v>
      </c>
      <c r="T20">
        <v>750872</v>
      </c>
      <c r="U20">
        <v>750873</v>
      </c>
      <c r="V20">
        <v>750874</v>
      </c>
      <c r="W20" t="s">
        <v>8133</v>
      </c>
      <c r="X20" t="s">
        <v>8134</v>
      </c>
      <c r="Y20" t="s">
        <v>8135</v>
      </c>
      <c r="Z20">
        <v>750875</v>
      </c>
      <c r="AA20">
        <v>10</v>
      </c>
      <c r="AB20">
        <v>10</v>
      </c>
      <c r="AC20">
        <v>5</v>
      </c>
      <c r="AD20">
        <v>5</v>
      </c>
      <c r="AE20">
        <v>105</v>
      </c>
      <c r="AF20">
        <v>170</v>
      </c>
      <c r="AG20">
        <v>60</v>
      </c>
      <c r="AH20">
        <v>150</v>
      </c>
      <c r="AI20">
        <v>130</v>
      </c>
      <c r="AJ20">
        <v>0</v>
      </c>
      <c r="AK20">
        <v>180</v>
      </c>
      <c r="AL20">
        <v>40</v>
      </c>
      <c r="AM20">
        <v>200</v>
      </c>
      <c r="AN20">
        <v>100</v>
      </c>
      <c r="AO20">
        <v>18</v>
      </c>
      <c r="AP20">
        <v>0</v>
      </c>
      <c r="AQ20">
        <v>2</v>
      </c>
      <c r="AR20">
        <v>15</v>
      </c>
      <c r="AS20">
        <v>500</v>
      </c>
      <c r="AT20">
        <v>8</v>
      </c>
      <c r="AU20" t="s">
        <v>8136</v>
      </c>
      <c r="AV20" t="s">
        <v>4491</v>
      </c>
      <c r="AW20" t="s">
        <v>4491</v>
      </c>
      <c r="AX20" t="s">
        <v>4491</v>
      </c>
      <c r="AY20">
        <v>215</v>
      </c>
      <c r="AZ20">
        <v>11002</v>
      </c>
      <c r="BA20">
        <v>1</v>
      </c>
      <c r="BB20" t="s">
        <v>4492</v>
      </c>
      <c r="BC20" t="s">
        <v>1806</v>
      </c>
      <c r="BD20">
        <v>930026</v>
      </c>
      <c r="BE20" t="s">
        <v>4493</v>
      </c>
      <c r="BF20" t="s">
        <v>4494</v>
      </c>
      <c r="BG20">
        <v>100</v>
      </c>
      <c r="BH20">
        <v>10603</v>
      </c>
      <c r="BI20">
        <v>0</v>
      </c>
    </row>
    <row r="21" spans="1:61" x14ac:dyDescent="0.25">
      <c r="A21">
        <v>1013</v>
      </c>
      <c r="B21" t="s">
        <v>4574</v>
      </c>
      <c r="C21" t="s">
        <v>986</v>
      </c>
      <c r="D21" t="s">
        <v>986</v>
      </c>
      <c r="E21" t="s">
        <v>4575</v>
      </c>
      <c r="G21" t="s">
        <v>4485</v>
      </c>
      <c r="H21" t="s">
        <v>4576</v>
      </c>
      <c r="I21">
        <v>3</v>
      </c>
      <c r="J21">
        <v>1</v>
      </c>
      <c r="K21" t="s">
        <v>972</v>
      </c>
      <c r="L21">
        <v>1</v>
      </c>
      <c r="M21">
        <v>113</v>
      </c>
      <c r="N21" t="s">
        <v>973</v>
      </c>
      <c r="O21">
        <v>8</v>
      </c>
      <c r="P21">
        <v>0</v>
      </c>
      <c r="Q21">
        <v>5</v>
      </c>
      <c r="R21">
        <v>902356</v>
      </c>
      <c r="S21">
        <v>3</v>
      </c>
      <c r="T21">
        <v>1013</v>
      </c>
      <c r="U21">
        <v>902358</v>
      </c>
      <c r="V21">
        <v>902359</v>
      </c>
      <c r="W21" t="s">
        <v>4577</v>
      </c>
      <c r="X21" t="s">
        <v>328</v>
      </c>
      <c r="Y21" t="s">
        <v>4578</v>
      </c>
      <c r="Z21">
        <v>902361</v>
      </c>
      <c r="AA21">
        <v>10</v>
      </c>
      <c r="AB21">
        <v>10</v>
      </c>
      <c r="AC21">
        <v>5</v>
      </c>
      <c r="AD21">
        <v>5</v>
      </c>
      <c r="AE21">
        <v>90</v>
      </c>
      <c r="AF21">
        <v>132</v>
      </c>
      <c r="AG21">
        <v>72</v>
      </c>
      <c r="AH21">
        <v>128</v>
      </c>
      <c r="AI21">
        <v>55</v>
      </c>
      <c r="AJ21">
        <v>0</v>
      </c>
      <c r="AK21">
        <v>180</v>
      </c>
      <c r="AL21">
        <v>40</v>
      </c>
      <c r="AM21">
        <v>150</v>
      </c>
      <c r="AN21">
        <v>100</v>
      </c>
      <c r="AO21">
        <v>15</v>
      </c>
      <c r="AP21">
        <v>0</v>
      </c>
      <c r="AQ21">
        <v>2</v>
      </c>
      <c r="AR21">
        <v>15</v>
      </c>
      <c r="AS21">
        <v>500</v>
      </c>
      <c r="AT21">
        <v>7</v>
      </c>
      <c r="AU21" t="s">
        <v>4579</v>
      </c>
      <c r="AV21" t="s">
        <v>4491</v>
      </c>
      <c r="AW21" t="s">
        <v>4491</v>
      </c>
      <c r="AX21" t="s">
        <v>4491</v>
      </c>
      <c r="AY21">
        <v>50</v>
      </c>
      <c r="AZ21">
        <v>11002</v>
      </c>
      <c r="BA21">
        <v>1</v>
      </c>
      <c r="BB21" t="s">
        <v>4492</v>
      </c>
      <c r="BC21" t="s">
        <v>1806</v>
      </c>
      <c r="BD21">
        <v>930013</v>
      </c>
      <c r="BE21" t="s">
        <v>4493</v>
      </c>
      <c r="BF21" t="s">
        <v>4494</v>
      </c>
      <c r="BG21">
        <v>100</v>
      </c>
      <c r="BH21">
        <v>10603</v>
      </c>
    </row>
    <row r="22" spans="1:61" x14ac:dyDescent="0.25">
      <c r="A22">
        <v>1022</v>
      </c>
      <c r="B22" t="s">
        <v>6921</v>
      </c>
      <c r="C22" t="s">
        <v>6922</v>
      </c>
      <c r="D22" t="s">
        <v>6922</v>
      </c>
      <c r="E22" t="s">
        <v>6923</v>
      </c>
      <c r="F22" t="s">
        <v>6784</v>
      </c>
      <c r="G22" t="s">
        <v>4485</v>
      </c>
      <c r="H22" t="s">
        <v>6924</v>
      </c>
      <c r="I22">
        <v>3</v>
      </c>
      <c r="J22">
        <v>1</v>
      </c>
      <c r="K22" t="s">
        <v>984</v>
      </c>
      <c r="L22">
        <v>1</v>
      </c>
      <c r="M22">
        <v>122</v>
      </c>
      <c r="N22" t="s">
        <v>973</v>
      </c>
      <c r="O22">
        <v>10</v>
      </c>
      <c r="P22">
        <v>0</v>
      </c>
      <c r="Q22">
        <v>5</v>
      </c>
      <c r="R22">
        <v>750622</v>
      </c>
      <c r="S22">
        <v>3</v>
      </c>
      <c r="T22">
        <v>1018</v>
      </c>
      <c r="U22">
        <v>750625</v>
      </c>
      <c r="V22">
        <v>750626</v>
      </c>
      <c r="W22" t="s">
        <v>6925</v>
      </c>
      <c r="X22" t="s">
        <v>6926</v>
      </c>
      <c r="Y22" t="s">
        <v>6927</v>
      </c>
      <c r="Z22">
        <v>750631</v>
      </c>
      <c r="AA22">
        <v>10</v>
      </c>
      <c r="AB22">
        <v>10</v>
      </c>
      <c r="AC22">
        <v>5</v>
      </c>
      <c r="AD22">
        <v>5</v>
      </c>
      <c r="AE22">
        <v>200</v>
      </c>
      <c r="AF22">
        <v>65</v>
      </c>
      <c r="AG22">
        <v>65</v>
      </c>
      <c r="AH22">
        <v>150</v>
      </c>
      <c r="AI22">
        <v>40</v>
      </c>
      <c r="AJ22">
        <v>120</v>
      </c>
      <c r="AK22">
        <v>180</v>
      </c>
      <c r="AL22">
        <v>20</v>
      </c>
      <c r="AM22">
        <v>150</v>
      </c>
      <c r="AN22">
        <v>100</v>
      </c>
      <c r="AO22">
        <v>10</v>
      </c>
      <c r="AP22">
        <v>0</v>
      </c>
      <c r="AQ22">
        <v>2</v>
      </c>
      <c r="AR22">
        <v>15</v>
      </c>
      <c r="AS22">
        <v>500</v>
      </c>
      <c r="AT22">
        <v>8</v>
      </c>
      <c r="AU22" t="s">
        <v>6928</v>
      </c>
      <c r="AV22" t="s">
        <v>4491</v>
      </c>
      <c r="AW22" t="s">
        <v>4491</v>
      </c>
      <c r="AX22" t="s">
        <v>4491</v>
      </c>
      <c r="AY22">
        <v>176</v>
      </c>
      <c r="AZ22">
        <v>11002</v>
      </c>
      <c r="BA22">
        <v>1</v>
      </c>
      <c r="BB22" t="s">
        <v>4492</v>
      </c>
      <c r="BC22" t="s">
        <v>1806</v>
      </c>
      <c r="BD22">
        <v>930023</v>
      </c>
      <c r="BE22" t="s">
        <v>4493</v>
      </c>
      <c r="BF22" t="s">
        <v>4494</v>
      </c>
      <c r="BG22">
        <v>100</v>
      </c>
      <c r="BH22">
        <v>10603</v>
      </c>
      <c r="BI22">
        <v>0</v>
      </c>
    </row>
    <row r="23" spans="1:61" x14ac:dyDescent="0.25">
      <c r="A23">
        <v>1014</v>
      </c>
      <c r="B23" t="s">
        <v>4580</v>
      </c>
      <c r="C23" t="s">
        <v>987</v>
      </c>
      <c r="D23" t="s">
        <v>987</v>
      </c>
      <c r="E23" t="s">
        <v>4581</v>
      </c>
      <c r="G23" t="s">
        <v>4485</v>
      </c>
      <c r="H23" t="s">
        <v>4582</v>
      </c>
      <c r="I23">
        <v>3</v>
      </c>
      <c r="J23">
        <v>1</v>
      </c>
      <c r="K23" t="s">
        <v>975</v>
      </c>
      <c r="L23">
        <v>1</v>
      </c>
      <c r="M23">
        <v>114</v>
      </c>
      <c r="N23" t="s">
        <v>973</v>
      </c>
      <c r="O23">
        <v>8</v>
      </c>
      <c r="P23">
        <v>0</v>
      </c>
      <c r="Q23">
        <v>5</v>
      </c>
      <c r="R23">
        <v>902431</v>
      </c>
      <c r="S23">
        <v>3</v>
      </c>
      <c r="T23">
        <v>1014</v>
      </c>
      <c r="U23">
        <v>902433</v>
      </c>
      <c r="V23">
        <v>902434</v>
      </c>
      <c r="W23" t="s">
        <v>4583</v>
      </c>
      <c r="X23" t="s">
        <v>4584</v>
      </c>
      <c r="Y23" t="s">
        <v>4585</v>
      </c>
      <c r="Z23">
        <v>902436</v>
      </c>
      <c r="AA23">
        <v>10</v>
      </c>
      <c r="AB23">
        <v>10</v>
      </c>
      <c r="AC23">
        <v>5</v>
      </c>
      <c r="AD23">
        <v>5</v>
      </c>
      <c r="AE23">
        <v>105</v>
      </c>
      <c r="AF23">
        <v>135</v>
      </c>
      <c r="AG23">
        <v>55</v>
      </c>
      <c r="AH23">
        <v>110</v>
      </c>
      <c r="AI23">
        <v>90</v>
      </c>
      <c r="AJ23">
        <v>0</v>
      </c>
      <c r="AK23">
        <v>180</v>
      </c>
      <c r="AL23">
        <v>40</v>
      </c>
      <c r="AM23">
        <v>150</v>
      </c>
      <c r="AN23">
        <v>100</v>
      </c>
      <c r="AO23">
        <v>15</v>
      </c>
      <c r="AP23">
        <v>0</v>
      </c>
      <c r="AQ23">
        <v>1</v>
      </c>
      <c r="AR23">
        <v>15</v>
      </c>
      <c r="AS23">
        <v>500</v>
      </c>
      <c r="AT23">
        <v>4</v>
      </c>
      <c r="AU23" t="s">
        <v>4586</v>
      </c>
      <c r="AV23" t="s">
        <v>4491</v>
      </c>
      <c r="AW23" t="s">
        <v>4491</v>
      </c>
      <c r="AX23" t="s">
        <v>4491</v>
      </c>
      <c r="AY23">
        <v>51</v>
      </c>
      <c r="AZ23">
        <v>11002</v>
      </c>
      <c r="BA23">
        <v>1</v>
      </c>
      <c r="BB23" t="s">
        <v>4492</v>
      </c>
      <c r="BC23" t="s">
        <v>1806</v>
      </c>
      <c r="BD23">
        <v>930014</v>
      </c>
      <c r="BE23" t="s">
        <v>4493</v>
      </c>
      <c r="BF23" t="s">
        <v>4494</v>
      </c>
      <c r="BG23">
        <v>100</v>
      </c>
      <c r="BH23">
        <v>10603</v>
      </c>
    </row>
    <row r="24" spans="1:61" x14ac:dyDescent="0.25">
      <c r="A24">
        <v>1020</v>
      </c>
      <c r="B24" t="s">
        <v>6525</v>
      </c>
      <c r="C24" t="s">
        <v>6526</v>
      </c>
      <c r="D24" t="s">
        <v>6526</v>
      </c>
      <c r="E24" t="s">
        <v>6527</v>
      </c>
      <c r="G24" t="s">
        <v>4485</v>
      </c>
      <c r="H24" t="s">
        <v>6528</v>
      </c>
      <c r="I24">
        <v>3</v>
      </c>
      <c r="J24">
        <v>1</v>
      </c>
      <c r="K24" t="s">
        <v>975</v>
      </c>
      <c r="L24">
        <v>1</v>
      </c>
      <c r="M24">
        <v>120</v>
      </c>
      <c r="N24" t="s">
        <v>973</v>
      </c>
      <c r="O24">
        <v>8</v>
      </c>
      <c r="P24">
        <v>0</v>
      </c>
      <c r="Q24">
        <v>5</v>
      </c>
      <c r="R24">
        <v>750409</v>
      </c>
      <c r="S24">
        <v>1</v>
      </c>
      <c r="T24">
        <v>750411</v>
      </c>
      <c r="U24">
        <v>750412</v>
      </c>
      <c r="V24">
        <v>750413</v>
      </c>
      <c r="W24" t="s">
        <v>6529</v>
      </c>
      <c r="X24" t="s">
        <v>6530</v>
      </c>
      <c r="Y24" t="s">
        <v>6531</v>
      </c>
      <c r="Z24">
        <v>750414</v>
      </c>
      <c r="AA24">
        <v>10</v>
      </c>
      <c r="AB24">
        <v>10</v>
      </c>
      <c r="AC24">
        <v>5</v>
      </c>
      <c r="AD24">
        <v>5</v>
      </c>
      <c r="AE24">
        <v>140</v>
      </c>
      <c r="AF24">
        <v>90</v>
      </c>
      <c r="AG24">
        <v>55</v>
      </c>
      <c r="AH24">
        <v>130</v>
      </c>
      <c r="AI24">
        <v>95</v>
      </c>
      <c r="AJ24">
        <v>0</v>
      </c>
      <c r="AK24">
        <v>180</v>
      </c>
      <c r="AL24">
        <v>40</v>
      </c>
      <c r="AM24">
        <v>150</v>
      </c>
      <c r="AN24">
        <v>100</v>
      </c>
      <c r="AO24">
        <v>18</v>
      </c>
      <c r="AP24">
        <v>0</v>
      </c>
      <c r="AQ24">
        <v>1</v>
      </c>
      <c r="AR24">
        <v>15</v>
      </c>
      <c r="AS24">
        <v>500</v>
      </c>
      <c r="AT24">
        <v>4</v>
      </c>
      <c r="AU24" t="s">
        <v>6532</v>
      </c>
      <c r="AV24" t="s">
        <v>4491</v>
      </c>
      <c r="AW24" t="s">
        <v>4491</v>
      </c>
      <c r="AX24" t="s">
        <v>4491</v>
      </c>
      <c r="AY24">
        <v>166</v>
      </c>
      <c r="AZ24">
        <v>11002</v>
      </c>
      <c r="BA24">
        <v>1</v>
      </c>
      <c r="BB24" t="s">
        <v>4492</v>
      </c>
      <c r="BC24" t="s">
        <v>1806</v>
      </c>
      <c r="BD24">
        <v>930021</v>
      </c>
      <c r="BE24" t="s">
        <v>4493</v>
      </c>
      <c r="BF24" t="s">
        <v>4494</v>
      </c>
      <c r="BG24">
        <v>100</v>
      </c>
      <c r="BH24">
        <v>10603</v>
      </c>
      <c r="BI24">
        <v>0</v>
      </c>
    </row>
    <row r="25" spans="1:61" x14ac:dyDescent="0.25">
      <c r="A25">
        <v>1024</v>
      </c>
      <c r="B25" t="s">
        <v>7990</v>
      </c>
      <c r="C25" t="s">
        <v>7991</v>
      </c>
      <c r="D25" t="s">
        <v>7992</v>
      </c>
      <c r="E25" t="s">
        <v>7993</v>
      </c>
      <c r="F25" t="s">
        <v>6784</v>
      </c>
      <c r="G25" t="s">
        <v>4485</v>
      </c>
      <c r="H25" t="s">
        <v>7994</v>
      </c>
      <c r="I25">
        <v>3</v>
      </c>
      <c r="J25">
        <v>1</v>
      </c>
      <c r="K25" t="s">
        <v>984</v>
      </c>
      <c r="L25">
        <v>1</v>
      </c>
      <c r="M25">
        <v>124</v>
      </c>
      <c r="N25" t="s">
        <v>973</v>
      </c>
      <c r="O25">
        <v>10</v>
      </c>
      <c r="P25">
        <v>0</v>
      </c>
      <c r="Q25">
        <v>5</v>
      </c>
      <c r="R25">
        <v>750783</v>
      </c>
      <c r="S25">
        <v>1</v>
      </c>
      <c r="T25">
        <v>750785</v>
      </c>
      <c r="U25">
        <v>750786</v>
      </c>
      <c r="V25">
        <v>750787</v>
      </c>
      <c r="W25" t="s">
        <v>7995</v>
      </c>
      <c r="X25" t="s">
        <v>7996</v>
      </c>
      <c r="Y25" t="s">
        <v>7997</v>
      </c>
      <c r="Z25">
        <v>750788</v>
      </c>
      <c r="AA25">
        <v>10</v>
      </c>
      <c r="AB25">
        <v>10</v>
      </c>
      <c r="AC25">
        <v>5</v>
      </c>
      <c r="AD25">
        <v>5</v>
      </c>
      <c r="AE25">
        <v>170</v>
      </c>
      <c r="AF25">
        <v>138</v>
      </c>
      <c r="AG25">
        <v>50</v>
      </c>
      <c r="AH25">
        <v>200</v>
      </c>
      <c r="AI25">
        <v>60</v>
      </c>
      <c r="AJ25">
        <v>75</v>
      </c>
      <c r="AK25">
        <v>180</v>
      </c>
      <c r="AL25">
        <v>20</v>
      </c>
      <c r="AM25">
        <v>150</v>
      </c>
      <c r="AN25">
        <v>100</v>
      </c>
      <c r="AO25">
        <v>10</v>
      </c>
      <c r="AP25">
        <v>0</v>
      </c>
      <c r="AQ25">
        <v>2</v>
      </c>
      <c r="AR25">
        <v>15</v>
      </c>
      <c r="AS25">
        <v>500</v>
      </c>
      <c r="AT25">
        <v>8</v>
      </c>
      <c r="AU25" t="s">
        <v>7998</v>
      </c>
      <c r="AV25" t="s">
        <v>4491</v>
      </c>
      <c r="AW25" t="s">
        <v>4491</v>
      </c>
      <c r="AX25" t="s">
        <v>4491</v>
      </c>
      <c r="AY25">
        <v>214</v>
      </c>
      <c r="AZ25">
        <v>11002</v>
      </c>
      <c r="BA25">
        <v>1</v>
      </c>
      <c r="BB25" t="s">
        <v>4492</v>
      </c>
      <c r="BC25" t="s">
        <v>1806</v>
      </c>
      <c r="BD25">
        <v>930025</v>
      </c>
      <c r="BE25" t="s">
        <v>4493</v>
      </c>
      <c r="BF25" t="s">
        <v>4494</v>
      </c>
      <c r="BG25">
        <v>100</v>
      </c>
      <c r="BH25">
        <v>10604</v>
      </c>
      <c r="BI25">
        <v>0</v>
      </c>
    </row>
    <row r="26" spans="1:61" x14ac:dyDescent="0.25">
      <c r="A26">
        <v>1001</v>
      </c>
      <c r="B26" t="s">
        <v>4587</v>
      </c>
      <c r="C26" t="s">
        <v>971</v>
      </c>
      <c r="D26" t="s">
        <v>971</v>
      </c>
      <c r="E26" t="s">
        <v>4588</v>
      </c>
      <c r="G26" t="s">
        <v>4485</v>
      </c>
      <c r="H26" t="s">
        <v>4589</v>
      </c>
      <c r="I26">
        <v>1</v>
      </c>
      <c r="J26">
        <v>1</v>
      </c>
      <c r="K26" t="s">
        <v>972</v>
      </c>
      <c r="L26">
        <v>1</v>
      </c>
      <c r="M26">
        <v>101</v>
      </c>
      <c r="N26" t="s">
        <v>973</v>
      </c>
      <c r="O26">
        <v>10</v>
      </c>
      <c r="P26">
        <v>0</v>
      </c>
      <c r="Q26">
        <v>5</v>
      </c>
      <c r="R26">
        <v>900515</v>
      </c>
      <c r="S26">
        <v>2</v>
      </c>
      <c r="T26">
        <v>30006</v>
      </c>
      <c r="U26">
        <v>900511</v>
      </c>
      <c r="V26">
        <v>900512</v>
      </c>
      <c r="W26" t="s">
        <v>4590</v>
      </c>
      <c r="X26" t="s">
        <v>328</v>
      </c>
      <c r="Y26" t="s">
        <v>4591</v>
      </c>
      <c r="Z26">
        <v>900510</v>
      </c>
      <c r="AA26">
        <v>10</v>
      </c>
      <c r="AB26">
        <v>10</v>
      </c>
      <c r="AC26">
        <v>5</v>
      </c>
      <c r="AD26">
        <v>5</v>
      </c>
      <c r="AE26">
        <v>95</v>
      </c>
      <c r="AF26">
        <v>95</v>
      </c>
      <c r="AG26">
        <v>116</v>
      </c>
      <c r="AH26">
        <v>90</v>
      </c>
      <c r="AI26">
        <v>120</v>
      </c>
      <c r="AJ26">
        <v>0</v>
      </c>
      <c r="AK26">
        <v>15</v>
      </c>
      <c r="AL26">
        <v>20</v>
      </c>
      <c r="AM26">
        <v>150</v>
      </c>
      <c r="AN26">
        <v>100</v>
      </c>
      <c r="AO26">
        <v>12</v>
      </c>
      <c r="AP26">
        <v>0</v>
      </c>
      <c r="AQ26">
        <v>2</v>
      </c>
      <c r="AR26">
        <v>15</v>
      </c>
      <c r="AS26">
        <v>500</v>
      </c>
      <c r="AT26">
        <v>7</v>
      </c>
      <c r="AU26" t="s">
        <v>4592</v>
      </c>
      <c r="AV26" t="s">
        <v>4491</v>
      </c>
      <c r="AW26" t="s">
        <v>4491</v>
      </c>
      <c r="AX26" t="s">
        <v>4491</v>
      </c>
      <c r="AY26">
        <v>5</v>
      </c>
      <c r="AZ26">
        <v>11001</v>
      </c>
      <c r="BA26">
        <v>1</v>
      </c>
      <c r="BB26" t="s">
        <v>4492</v>
      </c>
      <c r="BC26" t="s">
        <v>1806</v>
      </c>
      <c r="BD26">
        <v>930001</v>
      </c>
      <c r="BE26" t="s">
        <v>4493</v>
      </c>
      <c r="BF26" t="s">
        <v>4494</v>
      </c>
      <c r="BG26">
        <v>100</v>
      </c>
      <c r="BH26">
        <v>10604</v>
      </c>
    </row>
    <row r="27" spans="1:61" x14ac:dyDescent="0.25">
      <c r="A27">
        <v>1023</v>
      </c>
      <c r="B27" t="s">
        <v>6962</v>
      </c>
      <c r="C27" t="s">
        <v>6963</v>
      </c>
      <c r="D27" t="s">
        <v>6963</v>
      </c>
      <c r="E27" t="s">
        <v>6964</v>
      </c>
      <c r="F27" t="s">
        <v>6784</v>
      </c>
      <c r="G27" t="s">
        <v>4485</v>
      </c>
      <c r="H27" t="s">
        <v>6965</v>
      </c>
      <c r="I27">
        <v>1</v>
      </c>
      <c r="J27">
        <v>1</v>
      </c>
      <c r="K27" t="s">
        <v>972</v>
      </c>
      <c r="L27">
        <v>1</v>
      </c>
      <c r="M27">
        <v>123</v>
      </c>
      <c r="N27" t="s">
        <v>973</v>
      </c>
      <c r="O27">
        <v>10</v>
      </c>
      <c r="P27">
        <v>0</v>
      </c>
      <c r="Q27">
        <v>5</v>
      </c>
      <c r="R27">
        <v>750700</v>
      </c>
      <c r="S27">
        <v>1</v>
      </c>
      <c r="T27">
        <v>750702</v>
      </c>
      <c r="U27">
        <v>750703</v>
      </c>
      <c r="V27">
        <v>750704</v>
      </c>
      <c r="W27" t="s">
        <v>6966</v>
      </c>
      <c r="X27" t="s">
        <v>6967</v>
      </c>
      <c r="Y27" t="s">
        <v>328</v>
      </c>
      <c r="Z27">
        <v>750706</v>
      </c>
      <c r="AA27">
        <v>10</v>
      </c>
      <c r="AB27">
        <v>10</v>
      </c>
      <c r="AC27">
        <v>5</v>
      </c>
      <c r="AD27">
        <v>5</v>
      </c>
      <c r="AE27">
        <v>135</v>
      </c>
      <c r="AF27">
        <v>112</v>
      </c>
      <c r="AG27">
        <v>100</v>
      </c>
      <c r="AH27">
        <v>126</v>
      </c>
      <c r="AI27">
        <v>90</v>
      </c>
      <c r="AJ27">
        <v>0</v>
      </c>
      <c r="AK27">
        <v>15</v>
      </c>
      <c r="AL27">
        <v>20</v>
      </c>
      <c r="AM27">
        <v>150</v>
      </c>
      <c r="AN27">
        <v>100</v>
      </c>
      <c r="AO27">
        <v>18</v>
      </c>
      <c r="AP27">
        <v>0</v>
      </c>
      <c r="AQ27">
        <v>2</v>
      </c>
      <c r="AR27">
        <v>15</v>
      </c>
      <c r="AS27">
        <v>500</v>
      </c>
      <c r="AT27">
        <v>7</v>
      </c>
      <c r="AU27" t="s">
        <v>6968</v>
      </c>
      <c r="AV27" t="s">
        <v>4491</v>
      </c>
      <c r="AW27" t="s">
        <v>4491</v>
      </c>
      <c r="AX27" t="s">
        <v>4491</v>
      </c>
      <c r="AY27">
        <v>181</v>
      </c>
      <c r="AZ27">
        <v>11002</v>
      </c>
      <c r="BA27">
        <v>1</v>
      </c>
      <c r="BB27" t="s">
        <v>6969</v>
      </c>
      <c r="BC27" t="s">
        <v>1806</v>
      </c>
      <c r="BD27">
        <v>930024</v>
      </c>
      <c r="BE27" t="s">
        <v>4493</v>
      </c>
      <c r="BF27" t="s">
        <v>4494</v>
      </c>
      <c r="BG27">
        <v>100</v>
      </c>
      <c r="BH27">
        <v>10604</v>
      </c>
      <c r="BI27">
        <v>0</v>
      </c>
    </row>
    <row r="28" spans="1:61" x14ac:dyDescent="0.25">
      <c r="A28">
        <v>1007</v>
      </c>
      <c r="B28" t="s">
        <v>4593</v>
      </c>
      <c r="C28" t="s">
        <v>979</v>
      </c>
      <c r="D28" t="s">
        <v>979</v>
      </c>
      <c r="E28" t="s">
        <v>4594</v>
      </c>
      <c r="G28" t="s">
        <v>4485</v>
      </c>
      <c r="H28" t="s">
        <v>4595</v>
      </c>
      <c r="I28">
        <v>1</v>
      </c>
      <c r="J28">
        <v>1</v>
      </c>
      <c r="K28" t="s">
        <v>972</v>
      </c>
      <c r="L28">
        <v>1</v>
      </c>
      <c r="M28">
        <v>107</v>
      </c>
      <c r="N28" t="s">
        <v>973</v>
      </c>
      <c r="O28">
        <v>10</v>
      </c>
      <c r="P28">
        <v>0</v>
      </c>
      <c r="Q28">
        <v>5</v>
      </c>
      <c r="R28">
        <v>900833</v>
      </c>
      <c r="S28">
        <v>2</v>
      </c>
      <c r="T28">
        <v>30008</v>
      </c>
      <c r="U28">
        <v>900831</v>
      </c>
      <c r="V28">
        <v>900832</v>
      </c>
      <c r="W28" t="s">
        <v>4596</v>
      </c>
      <c r="X28" t="s">
        <v>328</v>
      </c>
      <c r="Y28" t="s">
        <v>4597</v>
      </c>
      <c r="Z28">
        <v>900830</v>
      </c>
      <c r="AA28">
        <v>10</v>
      </c>
      <c r="AB28">
        <v>10</v>
      </c>
      <c r="AC28">
        <v>5</v>
      </c>
      <c r="AD28">
        <v>5</v>
      </c>
      <c r="AE28">
        <v>105</v>
      </c>
      <c r="AF28">
        <v>105</v>
      </c>
      <c r="AG28">
        <v>105</v>
      </c>
      <c r="AH28">
        <v>105</v>
      </c>
      <c r="AI28">
        <v>105</v>
      </c>
      <c r="AJ28">
        <v>0</v>
      </c>
      <c r="AK28">
        <v>15</v>
      </c>
      <c r="AL28">
        <v>40</v>
      </c>
      <c r="AM28">
        <v>150</v>
      </c>
      <c r="AN28">
        <v>100</v>
      </c>
      <c r="AO28">
        <v>15</v>
      </c>
      <c r="AP28">
        <v>0</v>
      </c>
      <c r="AQ28">
        <v>2</v>
      </c>
      <c r="AR28">
        <v>15</v>
      </c>
      <c r="AS28">
        <v>500</v>
      </c>
      <c r="AT28">
        <v>7</v>
      </c>
      <c r="AU28" t="s">
        <v>4598</v>
      </c>
      <c r="AV28" t="s">
        <v>4491</v>
      </c>
      <c r="AW28" t="s">
        <v>4491</v>
      </c>
      <c r="AX28" t="s">
        <v>4491</v>
      </c>
      <c r="AY28">
        <v>21</v>
      </c>
      <c r="AZ28">
        <v>11002</v>
      </c>
      <c r="BA28">
        <v>1</v>
      </c>
      <c r="BB28" t="s">
        <v>4492</v>
      </c>
      <c r="BC28" t="s">
        <v>1806</v>
      </c>
      <c r="BD28">
        <v>930007</v>
      </c>
      <c r="BE28" t="s">
        <v>4493</v>
      </c>
      <c r="BF28" t="s">
        <v>4494</v>
      </c>
      <c r="BG28">
        <v>88</v>
      </c>
      <c r="BH28">
        <v>10603</v>
      </c>
    </row>
    <row r="29" spans="1:61" x14ac:dyDescent="0.25">
      <c r="A29">
        <v>2003</v>
      </c>
      <c r="B29" t="s">
        <v>4599</v>
      </c>
      <c r="C29" t="s">
        <v>990</v>
      </c>
      <c r="D29" t="s">
        <v>990</v>
      </c>
      <c r="E29" t="s">
        <v>4600</v>
      </c>
      <c r="G29" t="s">
        <v>4485</v>
      </c>
      <c r="H29" t="s">
        <v>4601</v>
      </c>
      <c r="I29">
        <v>1</v>
      </c>
      <c r="J29">
        <v>2</v>
      </c>
      <c r="K29" t="s">
        <v>991</v>
      </c>
      <c r="L29">
        <v>5</v>
      </c>
      <c r="M29">
        <v>203</v>
      </c>
      <c r="N29" t="s">
        <v>973</v>
      </c>
      <c r="O29">
        <v>6</v>
      </c>
      <c r="P29">
        <v>0</v>
      </c>
      <c r="Q29">
        <v>4</v>
      </c>
      <c r="R29">
        <v>0</v>
      </c>
      <c r="S29">
        <v>1</v>
      </c>
      <c r="T29">
        <v>0</v>
      </c>
      <c r="U29">
        <v>600701</v>
      </c>
      <c r="V29">
        <v>600703</v>
      </c>
      <c r="W29" t="s">
        <v>1806</v>
      </c>
      <c r="X29" t="s">
        <v>4499</v>
      </c>
      <c r="Y29" t="s">
        <v>4602</v>
      </c>
      <c r="Z29">
        <v>600704</v>
      </c>
      <c r="AA29">
        <v>10</v>
      </c>
      <c r="AB29">
        <v>10</v>
      </c>
      <c r="AC29">
        <v>5</v>
      </c>
      <c r="AD29">
        <v>5</v>
      </c>
      <c r="AE29">
        <v>140</v>
      </c>
      <c r="AF29">
        <v>90</v>
      </c>
      <c r="AG29">
        <v>75</v>
      </c>
      <c r="AH29">
        <v>110</v>
      </c>
      <c r="AI29">
        <v>40</v>
      </c>
      <c r="AJ29">
        <v>100</v>
      </c>
      <c r="AK29">
        <v>15</v>
      </c>
      <c r="AL29">
        <v>20</v>
      </c>
      <c r="AM29">
        <v>150</v>
      </c>
      <c r="AN29">
        <v>95</v>
      </c>
      <c r="AO29">
        <v>8</v>
      </c>
      <c r="AP29">
        <v>0</v>
      </c>
      <c r="AQ29">
        <v>1</v>
      </c>
      <c r="AR29">
        <v>15</v>
      </c>
      <c r="AS29">
        <v>500</v>
      </c>
      <c r="AT29">
        <v>3</v>
      </c>
      <c r="AU29" t="s">
        <v>328</v>
      </c>
      <c r="AV29" t="s">
        <v>328</v>
      </c>
      <c r="AW29" t="s">
        <v>328</v>
      </c>
      <c r="AX29" t="s">
        <v>328</v>
      </c>
      <c r="AY29">
        <v>15</v>
      </c>
      <c r="AZ29">
        <v>3045</v>
      </c>
      <c r="BA29">
        <v>9</v>
      </c>
      <c r="BB29" t="s">
        <v>4492</v>
      </c>
      <c r="BC29" t="s">
        <v>1806</v>
      </c>
      <c r="BD29">
        <v>910015</v>
      </c>
      <c r="BE29" t="s">
        <v>4493</v>
      </c>
      <c r="BF29" t="s">
        <v>4494</v>
      </c>
      <c r="BG29">
        <v>100</v>
      </c>
      <c r="BH29">
        <v>0</v>
      </c>
    </row>
    <row r="30" spans="1:61" x14ac:dyDescent="0.25">
      <c r="A30">
        <v>2014</v>
      </c>
      <c r="B30" t="s">
        <v>4603</v>
      </c>
      <c r="C30" t="s">
        <v>1004</v>
      </c>
      <c r="D30" t="s">
        <v>1004</v>
      </c>
      <c r="E30" t="s">
        <v>4604</v>
      </c>
      <c r="G30" t="s">
        <v>4485</v>
      </c>
      <c r="H30" t="s">
        <v>4605</v>
      </c>
      <c r="I30">
        <v>1</v>
      </c>
      <c r="J30">
        <v>2</v>
      </c>
      <c r="K30" t="s">
        <v>991</v>
      </c>
      <c r="L30">
        <v>5</v>
      </c>
      <c r="M30">
        <v>214</v>
      </c>
      <c r="N30" t="s">
        <v>973</v>
      </c>
      <c r="O30">
        <v>6</v>
      </c>
      <c r="P30">
        <v>0</v>
      </c>
      <c r="Q30">
        <v>4</v>
      </c>
      <c r="R30">
        <v>0</v>
      </c>
      <c r="S30">
        <v>1</v>
      </c>
      <c r="T30">
        <v>0</v>
      </c>
      <c r="U30">
        <v>902200</v>
      </c>
      <c r="V30">
        <v>902201</v>
      </c>
      <c r="W30" t="s">
        <v>1806</v>
      </c>
      <c r="X30" t="s">
        <v>4499</v>
      </c>
      <c r="Y30" t="s">
        <v>328</v>
      </c>
      <c r="Z30">
        <v>600704</v>
      </c>
      <c r="AA30">
        <v>10</v>
      </c>
      <c r="AB30">
        <v>10</v>
      </c>
      <c r="AC30">
        <v>5</v>
      </c>
      <c r="AD30">
        <v>5</v>
      </c>
      <c r="AE30">
        <v>180</v>
      </c>
      <c r="AF30">
        <v>75</v>
      </c>
      <c r="AG30">
        <v>50</v>
      </c>
      <c r="AH30">
        <v>110</v>
      </c>
      <c r="AI30">
        <v>50</v>
      </c>
      <c r="AJ30">
        <v>105</v>
      </c>
      <c r="AK30">
        <v>15</v>
      </c>
      <c r="AL30">
        <v>20</v>
      </c>
      <c r="AM30">
        <v>150</v>
      </c>
      <c r="AN30">
        <v>95</v>
      </c>
      <c r="AO30">
        <v>8</v>
      </c>
      <c r="AP30">
        <v>0</v>
      </c>
      <c r="AQ30">
        <v>1</v>
      </c>
      <c r="AR30">
        <v>15</v>
      </c>
      <c r="AS30">
        <v>500</v>
      </c>
      <c r="AT30">
        <v>3</v>
      </c>
      <c r="AU30" t="s">
        <v>328</v>
      </c>
      <c r="AV30" t="s">
        <v>328</v>
      </c>
      <c r="AW30" t="s">
        <v>328</v>
      </c>
      <c r="AX30" t="s">
        <v>328</v>
      </c>
      <c r="AY30">
        <v>60</v>
      </c>
      <c r="AZ30">
        <v>3045</v>
      </c>
      <c r="BA30">
        <v>9</v>
      </c>
      <c r="BB30" t="s">
        <v>4492</v>
      </c>
      <c r="BC30" t="s">
        <v>1806</v>
      </c>
      <c r="BD30">
        <v>911011</v>
      </c>
      <c r="BE30" t="s">
        <v>4493</v>
      </c>
      <c r="BF30" t="s">
        <v>4494</v>
      </c>
      <c r="BG30">
        <v>95</v>
      </c>
      <c r="BH30">
        <v>0</v>
      </c>
    </row>
    <row r="31" spans="1:61" x14ac:dyDescent="0.25">
      <c r="A31">
        <v>2001</v>
      </c>
      <c r="B31" t="s">
        <v>4606</v>
      </c>
      <c r="C31" t="s">
        <v>988</v>
      </c>
      <c r="D31" t="s">
        <v>988</v>
      </c>
      <c r="E31" t="s">
        <v>4607</v>
      </c>
      <c r="G31" t="s">
        <v>4485</v>
      </c>
      <c r="H31" t="s">
        <v>4608</v>
      </c>
      <c r="I31">
        <v>1</v>
      </c>
      <c r="J31">
        <v>2</v>
      </c>
      <c r="K31" t="s">
        <v>975</v>
      </c>
      <c r="L31">
        <v>5</v>
      </c>
      <c r="M31">
        <v>201</v>
      </c>
      <c r="N31" t="s">
        <v>973</v>
      </c>
      <c r="O31">
        <v>4</v>
      </c>
      <c r="P31">
        <v>0</v>
      </c>
      <c r="Q31">
        <v>4</v>
      </c>
      <c r="R31">
        <v>0</v>
      </c>
      <c r="S31">
        <v>1</v>
      </c>
      <c r="T31">
        <v>0</v>
      </c>
      <c r="U31">
        <v>900578</v>
      </c>
      <c r="V31">
        <v>900579</v>
      </c>
      <c r="W31" t="s">
        <v>1806</v>
      </c>
      <c r="X31" t="s">
        <v>4499</v>
      </c>
      <c r="Y31" t="s">
        <v>4609</v>
      </c>
      <c r="Z31">
        <v>900577</v>
      </c>
      <c r="AA31">
        <v>10</v>
      </c>
      <c r="AB31">
        <v>10</v>
      </c>
      <c r="AC31">
        <v>5</v>
      </c>
      <c r="AD31">
        <v>5</v>
      </c>
      <c r="AE31">
        <v>75</v>
      </c>
      <c r="AF31">
        <v>62</v>
      </c>
      <c r="AG31">
        <v>80</v>
      </c>
      <c r="AH31">
        <v>100</v>
      </c>
      <c r="AI31">
        <v>90</v>
      </c>
      <c r="AJ31">
        <v>0</v>
      </c>
      <c r="AK31">
        <v>180</v>
      </c>
      <c r="AL31">
        <v>10</v>
      </c>
      <c r="AM31">
        <v>150</v>
      </c>
      <c r="AN31">
        <v>95</v>
      </c>
      <c r="AO31">
        <v>20</v>
      </c>
      <c r="AP31">
        <v>0</v>
      </c>
      <c r="AQ31">
        <v>1</v>
      </c>
      <c r="AR31">
        <v>15</v>
      </c>
      <c r="AS31">
        <v>500</v>
      </c>
      <c r="AT31">
        <v>3</v>
      </c>
      <c r="AU31" t="s">
        <v>328</v>
      </c>
      <c r="AV31" t="s">
        <v>328</v>
      </c>
      <c r="AW31" t="s">
        <v>328</v>
      </c>
      <c r="AX31" t="s">
        <v>328</v>
      </c>
      <c r="AY31">
        <v>28</v>
      </c>
      <c r="AZ31">
        <v>3045</v>
      </c>
      <c r="BA31">
        <v>7</v>
      </c>
      <c r="BB31" t="s">
        <v>4492</v>
      </c>
      <c r="BC31" t="s">
        <v>1806</v>
      </c>
      <c r="BD31">
        <v>910017</v>
      </c>
      <c r="BE31" t="s">
        <v>4493</v>
      </c>
      <c r="BF31" t="s">
        <v>4494</v>
      </c>
      <c r="BG31">
        <v>75</v>
      </c>
      <c r="BH31">
        <v>0</v>
      </c>
    </row>
    <row r="32" spans="1:61" x14ac:dyDescent="0.25">
      <c r="A32">
        <v>2002</v>
      </c>
      <c r="B32" t="s">
        <v>4610</v>
      </c>
      <c r="C32" t="s">
        <v>989</v>
      </c>
      <c r="D32" t="s">
        <v>989</v>
      </c>
      <c r="E32" t="s">
        <v>4611</v>
      </c>
      <c r="G32" t="s">
        <v>4485</v>
      </c>
      <c r="H32" t="s">
        <v>4612</v>
      </c>
      <c r="I32">
        <v>1</v>
      </c>
      <c r="J32">
        <v>2</v>
      </c>
      <c r="K32" t="s">
        <v>975</v>
      </c>
      <c r="L32">
        <v>5</v>
      </c>
      <c r="M32">
        <v>202</v>
      </c>
      <c r="N32" t="s">
        <v>973</v>
      </c>
      <c r="O32">
        <v>6</v>
      </c>
      <c r="P32">
        <v>0</v>
      </c>
      <c r="Q32">
        <v>4</v>
      </c>
      <c r="R32">
        <v>0</v>
      </c>
      <c r="S32">
        <v>1</v>
      </c>
      <c r="T32">
        <v>0</v>
      </c>
      <c r="U32">
        <v>900520</v>
      </c>
      <c r="V32">
        <v>900527</v>
      </c>
      <c r="W32" t="s">
        <v>1806</v>
      </c>
      <c r="X32" t="s">
        <v>4613</v>
      </c>
      <c r="Y32" t="s">
        <v>328</v>
      </c>
      <c r="Z32">
        <v>900519</v>
      </c>
      <c r="AA32">
        <v>10</v>
      </c>
      <c r="AB32">
        <v>10</v>
      </c>
      <c r="AC32">
        <v>5</v>
      </c>
      <c r="AD32">
        <v>5</v>
      </c>
      <c r="AE32">
        <v>132</v>
      </c>
      <c r="AF32">
        <v>105</v>
      </c>
      <c r="AG32">
        <v>65</v>
      </c>
      <c r="AH32">
        <v>105</v>
      </c>
      <c r="AI32">
        <v>75</v>
      </c>
      <c r="AJ32">
        <v>0</v>
      </c>
      <c r="AK32">
        <v>50</v>
      </c>
      <c r="AL32">
        <v>20</v>
      </c>
      <c r="AM32">
        <v>150</v>
      </c>
      <c r="AN32">
        <v>95</v>
      </c>
      <c r="AO32">
        <v>16</v>
      </c>
      <c r="AP32">
        <v>0</v>
      </c>
      <c r="AQ32">
        <v>1</v>
      </c>
      <c r="AR32">
        <v>15</v>
      </c>
      <c r="AS32">
        <v>500</v>
      </c>
      <c r="AT32">
        <v>4</v>
      </c>
      <c r="AU32" t="s">
        <v>328</v>
      </c>
      <c r="AV32" t="s">
        <v>328</v>
      </c>
      <c r="AW32" t="s">
        <v>328</v>
      </c>
      <c r="AX32" t="s">
        <v>328</v>
      </c>
      <c r="AY32">
        <v>12</v>
      </c>
      <c r="AZ32">
        <v>3045</v>
      </c>
      <c r="BA32">
        <v>8</v>
      </c>
      <c r="BB32" t="s">
        <v>4492</v>
      </c>
      <c r="BC32" t="s">
        <v>1806</v>
      </c>
      <c r="BD32">
        <v>910008</v>
      </c>
      <c r="BE32" t="s">
        <v>4493</v>
      </c>
      <c r="BF32" t="s">
        <v>4494</v>
      </c>
      <c r="BG32">
        <v>90</v>
      </c>
      <c r="BH32">
        <v>0</v>
      </c>
    </row>
    <row r="33" spans="1:61" x14ac:dyDescent="0.25">
      <c r="A33">
        <v>2012</v>
      </c>
      <c r="B33" t="s">
        <v>4614</v>
      </c>
      <c r="C33" t="s">
        <v>1002</v>
      </c>
      <c r="D33" t="s">
        <v>1002</v>
      </c>
      <c r="E33" t="s">
        <v>4615</v>
      </c>
      <c r="G33" t="s">
        <v>4485</v>
      </c>
      <c r="H33" t="s">
        <v>4616</v>
      </c>
      <c r="I33">
        <v>1</v>
      </c>
      <c r="J33">
        <v>2</v>
      </c>
      <c r="K33" t="s">
        <v>975</v>
      </c>
      <c r="L33">
        <v>5</v>
      </c>
      <c r="M33">
        <v>212</v>
      </c>
      <c r="N33" t="s">
        <v>973</v>
      </c>
      <c r="O33">
        <v>6</v>
      </c>
      <c r="P33">
        <v>0</v>
      </c>
      <c r="Q33">
        <v>4</v>
      </c>
      <c r="R33">
        <v>0</v>
      </c>
      <c r="S33">
        <v>1</v>
      </c>
      <c r="T33">
        <v>0</v>
      </c>
      <c r="U33">
        <v>900982</v>
      </c>
      <c r="V33">
        <v>900981</v>
      </c>
      <c r="W33" t="s">
        <v>1806</v>
      </c>
      <c r="X33" t="s">
        <v>4499</v>
      </c>
      <c r="Y33" t="s">
        <v>4617</v>
      </c>
      <c r="Z33">
        <v>900980</v>
      </c>
      <c r="AA33">
        <v>10</v>
      </c>
      <c r="AB33">
        <v>10</v>
      </c>
      <c r="AC33">
        <v>5</v>
      </c>
      <c r="AD33">
        <v>5</v>
      </c>
      <c r="AE33">
        <v>135</v>
      </c>
      <c r="AF33">
        <v>122</v>
      </c>
      <c r="AG33">
        <v>65</v>
      </c>
      <c r="AH33">
        <v>115</v>
      </c>
      <c r="AI33">
        <v>80</v>
      </c>
      <c r="AJ33">
        <v>0</v>
      </c>
      <c r="AK33">
        <v>50</v>
      </c>
      <c r="AL33">
        <v>20</v>
      </c>
      <c r="AM33">
        <v>150</v>
      </c>
      <c r="AN33">
        <v>95</v>
      </c>
      <c r="AO33">
        <v>16</v>
      </c>
      <c r="AP33">
        <v>0</v>
      </c>
      <c r="AQ33">
        <v>1</v>
      </c>
      <c r="AR33">
        <v>15</v>
      </c>
      <c r="AS33">
        <v>500</v>
      </c>
      <c r="AT33">
        <v>4</v>
      </c>
      <c r="AU33" t="s">
        <v>328</v>
      </c>
      <c r="AV33" t="s">
        <v>328</v>
      </c>
      <c r="AW33" t="s">
        <v>328</v>
      </c>
      <c r="AX33" t="s">
        <v>328</v>
      </c>
      <c r="AY33">
        <v>58</v>
      </c>
      <c r="AZ33">
        <v>3045</v>
      </c>
      <c r="BA33">
        <v>8</v>
      </c>
      <c r="BB33" t="s">
        <v>4492</v>
      </c>
      <c r="BC33" t="s">
        <v>1806</v>
      </c>
      <c r="BD33">
        <v>911008</v>
      </c>
      <c r="BE33" t="s">
        <v>4493</v>
      </c>
      <c r="BF33" t="s">
        <v>4494</v>
      </c>
      <c r="BG33">
        <v>90</v>
      </c>
      <c r="BH33">
        <v>0</v>
      </c>
    </row>
    <row r="34" spans="1:61" x14ac:dyDescent="0.25">
      <c r="A34">
        <v>2016</v>
      </c>
      <c r="B34" t="s">
        <v>5660</v>
      </c>
      <c r="C34" t="s">
        <v>5664</v>
      </c>
      <c r="D34" t="s">
        <v>5661</v>
      </c>
      <c r="E34" t="s">
        <v>5662</v>
      </c>
      <c r="G34" t="s">
        <v>4485</v>
      </c>
      <c r="H34" t="s">
        <v>5663</v>
      </c>
      <c r="I34">
        <v>1</v>
      </c>
      <c r="J34">
        <v>2</v>
      </c>
      <c r="K34" t="s">
        <v>975</v>
      </c>
      <c r="L34">
        <v>5</v>
      </c>
      <c r="M34">
        <v>216</v>
      </c>
      <c r="N34" t="s">
        <v>973</v>
      </c>
      <c r="O34">
        <v>6</v>
      </c>
      <c r="P34">
        <v>0</v>
      </c>
      <c r="Q34">
        <v>4</v>
      </c>
      <c r="R34">
        <v>0</v>
      </c>
      <c r="S34">
        <v>1</v>
      </c>
      <c r="T34">
        <v>0</v>
      </c>
      <c r="U34">
        <v>900746</v>
      </c>
      <c r="V34">
        <v>750298</v>
      </c>
      <c r="W34" t="s">
        <v>1806</v>
      </c>
      <c r="X34" t="s">
        <v>4499</v>
      </c>
      <c r="Y34" t="s">
        <v>4621</v>
      </c>
      <c r="Z34">
        <v>900745</v>
      </c>
      <c r="AA34">
        <v>10</v>
      </c>
      <c r="AB34">
        <v>10</v>
      </c>
      <c r="AC34">
        <v>5</v>
      </c>
      <c r="AD34">
        <v>5</v>
      </c>
      <c r="AE34">
        <v>200</v>
      </c>
      <c r="AF34">
        <v>115</v>
      </c>
      <c r="AG34">
        <v>75</v>
      </c>
      <c r="AH34">
        <v>165</v>
      </c>
      <c r="AI34">
        <v>40</v>
      </c>
      <c r="AJ34">
        <v>0</v>
      </c>
      <c r="AK34">
        <v>15</v>
      </c>
      <c r="AL34">
        <v>20</v>
      </c>
      <c r="AM34">
        <v>150</v>
      </c>
      <c r="AN34">
        <v>95</v>
      </c>
      <c r="AO34">
        <v>16</v>
      </c>
      <c r="AP34">
        <v>0</v>
      </c>
      <c r="AQ34">
        <v>1</v>
      </c>
      <c r="AR34">
        <v>15</v>
      </c>
      <c r="AS34">
        <v>500</v>
      </c>
      <c r="AT34">
        <v>3</v>
      </c>
      <c r="AU34" t="s">
        <v>328</v>
      </c>
      <c r="AV34" t="s">
        <v>328</v>
      </c>
      <c r="AW34" t="s">
        <v>328</v>
      </c>
      <c r="AX34" t="s">
        <v>328</v>
      </c>
      <c r="AY34">
        <v>108</v>
      </c>
      <c r="AZ34">
        <v>3045</v>
      </c>
      <c r="BA34">
        <v>8</v>
      </c>
      <c r="BB34" t="s">
        <v>4492</v>
      </c>
      <c r="BC34" t="s">
        <v>1806</v>
      </c>
      <c r="BD34">
        <v>913124</v>
      </c>
      <c r="BE34" t="s">
        <v>4493</v>
      </c>
      <c r="BF34" t="s">
        <v>4494</v>
      </c>
      <c r="BG34">
        <v>95</v>
      </c>
      <c r="BH34">
        <v>0</v>
      </c>
    </row>
    <row r="35" spans="1:61" x14ac:dyDescent="0.25">
      <c r="A35">
        <v>2008</v>
      </c>
      <c r="B35" t="s">
        <v>4618</v>
      </c>
      <c r="C35" t="s">
        <v>997</v>
      </c>
      <c r="D35" t="s">
        <v>997</v>
      </c>
      <c r="E35" t="s">
        <v>4619</v>
      </c>
      <c r="G35" t="s">
        <v>4485</v>
      </c>
      <c r="H35" t="s">
        <v>4620</v>
      </c>
      <c r="I35">
        <v>1</v>
      </c>
      <c r="J35">
        <v>2</v>
      </c>
      <c r="K35" t="s">
        <v>975</v>
      </c>
      <c r="L35">
        <v>5</v>
      </c>
      <c r="M35">
        <v>208</v>
      </c>
      <c r="N35" t="s">
        <v>973</v>
      </c>
      <c r="O35">
        <v>6</v>
      </c>
      <c r="P35">
        <v>0</v>
      </c>
      <c r="Q35">
        <v>4</v>
      </c>
      <c r="R35">
        <v>0</v>
      </c>
      <c r="S35">
        <v>1</v>
      </c>
      <c r="T35">
        <v>0</v>
      </c>
      <c r="U35">
        <v>900746</v>
      </c>
      <c r="V35">
        <v>900744</v>
      </c>
      <c r="W35" t="s">
        <v>1806</v>
      </c>
      <c r="X35" t="s">
        <v>4499</v>
      </c>
      <c r="Y35" t="s">
        <v>4621</v>
      </c>
      <c r="Z35">
        <v>900745</v>
      </c>
      <c r="AA35">
        <v>10</v>
      </c>
      <c r="AB35">
        <v>10</v>
      </c>
      <c r="AC35">
        <v>5</v>
      </c>
      <c r="AD35">
        <v>5</v>
      </c>
      <c r="AE35">
        <v>140</v>
      </c>
      <c r="AF35">
        <v>100</v>
      </c>
      <c r="AG35">
        <v>75</v>
      </c>
      <c r="AH35">
        <v>130</v>
      </c>
      <c r="AI35">
        <v>80</v>
      </c>
      <c r="AJ35">
        <v>0</v>
      </c>
      <c r="AK35">
        <v>50</v>
      </c>
      <c r="AL35">
        <v>20</v>
      </c>
      <c r="AM35">
        <v>150</v>
      </c>
      <c r="AN35">
        <v>95</v>
      </c>
      <c r="AO35">
        <v>16</v>
      </c>
      <c r="AP35">
        <v>0</v>
      </c>
      <c r="AQ35">
        <v>1</v>
      </c>
      <c r="AR35">
        <v>15</v>
      </c>
      <c r="AS35">
        <v>500</v>
      </c>
      <c r="AT35">
        <v>3</v>
      </c>
      <c r="AU35" t="s">
        <v>328</v>
      </c>
      <c r="AV35" t="s">
        <v>328</v>
      </c>
      <c r="AW35" t="s">
        <v>328</v>
      </c>
      <c r="AX35" t="s">
        <v>328</v>
      </c>
      <c r="AY35">
        <v>57</v>
      </c>
      <c r="AZ35">
        <v>3045</v>
      </c>
      <c r="BA35">
        <v>8</v>
      </c>
      <c r="BB35" t="s">
        <v>4492</v>
      </c>
      <c r="BC35" t="s">
        <v>1806</v>
      </c>
      <c r="BD35">
        <v>911007</v>
      </c>
      <c r="BE35" t="s">
        <v>4493</v>
      </c>
      <c r="BF35" t="s">
        <v>4494</v>
      </c>
      <c r="BG35">
        <v>90</v>
      </c>
      <c r="BH35">
        <v>0</v>
      </c>
    </row>
    <row r="36" spans="1:61" x14ac:dyDescent="0.25">
      <c r="A36">
        <v>2015</v>
      </c>
      <c r="B36" t="s">
        <v>4495</v>
      </c>
      <c r="C36" t="s">
        <v>4496</v>
      </c>
      <c r="D36" t="s">
        <v>4496</v>
      </c>
      <c r="E36" t="s">
        <v>4497</v>
      </c>
      <c r="G36" t="s">
        <v>4485</v>
      </c>
      <c r="H36" t="s">
        <v>4498</v>
      </c>
      <c r="I36">
        <v>1</v>
      </c>
      <c r="J36">
        <v>2</v>
      </c>
      <c r="K36" t="s">
        <v>972</v>
      </c>
      <c r="L36">
        <v>5</v>
      </c>
      <c r="M36">
        <v>215</v>
      </c>
      <c r="N36" t="s">
        <v>973</v>
      </c>
      <c r="O36">
        <v>6</v>
      </c>
      <c r="P36">
        <v>0</v>
      </c>
      <c r="Q36">
        <v>4</v>
      </c>
      <c r="R36">
        <v>0</v>
      </c>
      <c r="S36">
        <v>1</v>
      </c>
      <c r="T36">
        <v>0</v>
      </c>
      <c r="U36">
        <v>750056</v>
      </c>
      <c r="V36">
        <v>750058</v>
      </c>
      <c r="W36" t="s">
        <v>1806</v>
      </c>
      <c r="X36" t="s">
        <v>4499</v>
      </c>
      <c r="Y36" t="s">
        <v>328</v>
      </c>
      <c r="Z36">
        <v>750057</v>
      </c>
      <c r="AA36">
        <v>10</v>
      </c>
      <c r="AB36">
        <v>10</v>
      </c>
      <c r="AC36">
        <v>5</v>
      </c>
      <c r="AD36">
        <v>5</v>
      </c>
      <c r="AE36">
        <v>80</v>
      </c>
      <c r="AF36">
        <v>140</v>
      </c>
      <c r="AG36">
        <v>70</v>
      </c>
      <c r="AH36">
        <v>130</v>
      </c>
      <c r="AI36">
        <v>55</v>
      </c>
      <c r="AJ36">
        <v>0</v>
      </c>
      <c r="AK36">
        <v>180</v>
      </c>
      <c r="AL36">
        <v>50</v>
      </c>
      <c r="AM36">
        <v>200</v>
      </c>
      <c r="AN36">
        <v>95</v>
      </c>
      <c r="AO36">
        <v>6</v>
      </c>
      <c r="AP36">
        <v>0</v>
      </c>
      <c r="AQ36">
        <v>2</v>
      </c>
      <c r="AR36">
        <v>15</v>
      </c>
      <c r="AS36">
        <v>500</v>
      </c>
      <c r="AT36">
        <v>9</v>
      </c>
      <c r="AU36" t="s">
        <v>328</v>
      </c>
      <c r="AV36" t="s">
        <v>328</v>
      </c>
      <c r="AW36" t="s">
        <v>328</v>
      </c>
      <c r="AX36" t="s">
        <v>328</v>
      </c>
      <c r="AY36">
        <v>56</v>
      </c>
      <c r="AZ36">
        <v>3045</v>
      </c>
      <c r="BA36">
        <v>17</v>
      </c>
      <c r="BB36" t="s">
        <v>4492</v>
      </c>
      <c r="BC36" t="s">
        <v>1806</v>
      </c>
      <c r="BD36">
        <v>911006</v>
      </c>
      <c r="BE36" t="s">
        <v>4493</v>
      </c>
      <c r="BF36" t="s">
        <v>4494</v>
      </c>
      <c r="BG36">
        <v>95</v>
      </c>
      <c r="BH36">
        <v>0</v>
      </c>
    </row>
    <row r="37" spans="1:61" x14ac:dyDescent="0.25">
      <c r="A37">
        <v>2006</v>
      </c>
      <c r="B37" t="s">
        <v>4622</v>
      </c>
      <c r="C37" t="s">
        <v>996</v>
      </c>
      <c r="D37" t="s">
        <v>996</v>
      </c>
      <c r="E37" t="s">
        <v>4623</v>
      </c>
      <c r="G37" t="s">
        <v>4485</v>
      </c>
      <c r="H37" t="s">
        <v>4624</v>
      </c>
      <c r="I37">
        <v>1</v>
      </c>
      <c r="J37">
        <v>2</v>
      </c>
      <c r="K37" t="s">
        <v>993</v>
      </c>
      <c r="L37">
        <v>1</v>
      </c>
      <c r="M37">
        <v>206</v>
      </c>
      <c r="N37" t="s">
        <v>973</v>
      </c>
      <c r="O37">
        <v>10</v>
      </c>
      <c r="P37">
        <v>0</v>
      </c>
      <c r="Q37">
        <v>4</v>
      </c>
      <c r="R37">
        <v>0</v>
      </c>
      <c r="S37">
        <v>1</v>
      </c>
      <c r="T37">
        <v>0</v>
      </c>
      <c r="U37">
        <v>900617</v>
      </c>
      <c r="V37">
        <v>900618</v>
      </c>
      <c r="W37" t="s">
        <v>1806</v>
      </c>
      <c r="X37" t="s">
        <v>4625</v>
      </c>
      <c r="Y37" t="s">
        <v>4626</v>
      </c>
      <c r="Z37">
        <v>900615</v>
      </c>
      <c r="AA37">
        <v>10</v>
      </c>
      <c r="AB37">
        <v>10</v>
      </c>
      <c r="AC37">
        <v>5</v>
      </c>
      <c r="AD37">
        <v>5</v>
      </c>
      <c r="AE37">
        <v>165</v>
      </c>
      <c r="AF37">
        <v>130</v>
      </c>
      <c r="AG37">
        <v>85</v>
      </c>
      <c r="AH37">
        <v>110</v>
      </c>
      <c r="AI37">
        <v>50</v>
      </c>
      <c r="AJ37">
        <v>120</v>
      </c>
      <c r="AK37">
        <v>180</v>
      </c>
      <c r="AL37">
        <v>20</v>
      </c>
      <c r="AM37">
        <v>150</v>
      </c>
      <c r="AN37">
        <v>75</v>
      </c>
      <c r="AO37">
        <v>8</v>
      </c>
      <c r="AP37">
        <v>0</v>
      </c>
      <c r="AQ37">
        <v>2</v>
      </c>
      <c r="AR37">
        <v>15</v>
      </c>
      <c r="AS37">
        <v>500</v>
      </c>
      <c r="AT37">
        <v>5</v>
      </c>
      <c r="AU37" t="s">
        <v>328</v>
      </c>
      <c r="AV37" t="s">
        <v>328</v>
      </c>
      <c r="AW37" t="s">
        <v>328</v>
      </c>
      <c r="AX37" t="s">
        <v>328</v>
      </c>
      <c r="AY37">
        <v>16</v>
      </c>
      <c r="AZ37">
        <v>3045</v>
      </c>
      <c r="BA37">
        <v>9</v>
      </c>
      <c r="BB37" t="s">
        <v>4492</v>
      </c>
      <c r="BC37" t="s">
        <v>1806</v>
      </c>
      <c r="BD37">
        <v>910010</v>
      </c>
      <c r="BE37" t="s">
        <v>4493</v>
      </c>
      <c r="BF37" t="s">
        <v>4494</v>
      </c>
      <c r="BG37">
        <v>100</v>
      </c>
      <c r="BH37">
        <v>0</v>
      </c>
    </row>
    <row r="38" spans="1:61" x14ac:dyDescent="0.25">
      <c r="A38">
        <v>2004</v>
      </c>
      <c r="B38" t="s">
        <v>4627</v>
      </c>
      <c r="C38" t="s">
        <v>992</v>
      </c>
      <c r="D38" t="s">
        <v>992</v>
      </c>
      <c r="E38" t="s">
        <v>4628</v>
      </c>
      <c r="G38" t="s">
        <v>4485</v>
      </c>
      <c r="H38" t="s">
        <v>4629</v>
      </c>
      <c r="I38">
        <v>1</v>
      </c>
      <c r="J38">
        <v>2</v>
      </c>
      <c r="K38" t="s">
        <v>993</v>
      </c>
      <c r="L38">
        <v>5</v>
      </c>
      <c r="M38">
        <v>204</v>
      </c>
      <c r="N38" t="s">
        <v>973</v>
      </c>
      <c r="O38">
        <v>6</v>
      </c>
      <c r="P38">
        <v>0</v>
      </c>
      <c r="Q38">
        <v>4</v>
      </c>
      <c r="R38">
        <v>0</v>
      </c>
      <c r="S38">
        <v>1</v>
      </c>
      <c r="T38">
        <v>0</v>
      </c>
      <c r="U38">
        <v>900612</v>
      </c>
      <c r="V38">
        <v>900613</v>
      </c>
      <c r="W38" t="s">
        <v>1806</v>
      </c>
      <c r="X38" t="s">
        <v>4499</v>
      </c>
      <c r="Y38" t="s">
        <v>328</v>
      </c>
      <c r="Z38">
        <v>900611</v>
      </c>
      <c r="AA38">
        <v>10</v>
      </c>
      <c r="AB38">
        <v>10</v>
      </c>
      <c r="AC38">
        <v>5</v>
      </c>
      <c r="AD38">
        <v>5</v>
      </c>
      <c r="AE38">
        <v>98</v>
      </c>
      <c r="AF38">
        <v>165</v>
      </c>
      <c r="AG38">
        <v>60</v>
      </c>
      <c r="AH38">
        <v>110</v>
      </c>
      <c r="AI38">
        <v>30</v>
      </c>
      <c r="AJ38">
        <v>50</v>
      </c>
      <c r="AK38">
        <v>100</v>
      </c>
      <c r="AL38">
        <v>20</v>
      </c>
      <c r="AM38">
        <v>150</v>
      </c>
      <c r="AN38">
        <v>95</v>
      </c>
      <c r="AO38">
        <v>8</v>
      </c>
      <c r="AP38">
        <v>0</v>
      </c>
      <c r="AQ38">
        <v>2</v>
      </c>
      <c r="AR38">
        <v>15</v>
      </c>
      <c r="AS38">
        <v>500</v>
      </c>
      <c r="AT38">
        <v>3</v>
      </c>
      <c r="AU38" t="s">
        <v>328</v>
      </c>
      <c r="AV38" t="s">
        <v>328</v>
      </c>
      <c r="AW38" t="s">
        <v>328</v>
      </c>
      <c r="AX38" t="s">
        <v>328</v>
      </c>
      <c r="AY38">
        <v>14</v>
      </c>
      <c r="AZ38">
        <v>3045</v>
      </c>
      <c r="BA38">
        <v>9</v>
      </c>
      <c r="BB38" t="s">
        <v>4492</v>
      </c>
      <c r="BC38" t="s">
        <v>1806</v>
      </c>
      <c r="BD38">
        <v>910016</v>
      </c>
      <c r="BE38" t="s">
        <v>4493</v>
      </c>
      <c r="BF38" t="s">
        <v>4494</v>
      </c>
      <c r="BG38">
        <v>100</v>
      </c>
      <c r="BH38">
        <v>0</v>
      </c>
    </row>
    <row r="39" spans="1:61" x14ac:dyDescent="0.25">
      <c r="A39">
        <v>2011</v>
      </c>
      <c r="B39" t="s">
        <v>4630</v>
      </c>
      <c r="C39" t="s">
        <v>1000</v>
      </c>
      <c r="D39" t="s">
        <v>1000</v>
      </c>
      <c r="E39" t="s">
        <v>4631</v>
      </c>
      <c r="G39" t="s">
        <v>4485</v>
      </c>
      <c r="H39" t="s">
        <v>4632</v>
      </c>
      <c r="I39">
        <v>1</v>
      </c>
      <c r="J39">
        <v>2</v>
      </c>
      <c r="K39" t="s">
        <v>1001</v>
      </c>
      <c r="L39">
        <v>5</v>
      </c>
      <c r="M39">
        <v>211</v>
      </c>
      <c r="N39" t="s">
        <v>973</v>
      </c>
      <c r="O39">
        <v>4</v>
      </c>
      <c r="P39">
        <v>0</v>
      </c>
      <c r="Q39">
        <v>4</v>
      </c>
      <c r="R39">
        <v>0</v>
      </c>
      <c r="S39">
        <v>1</v>
      </c>
      <c r="T39">
        <v>0</v>
      </c>
      <c r="U39">
        <v>900934</v>
      </c>
      <c r="V39">
        <v>900937</v>
      </c>
      <c r="W39" t="s">
        <v>1806</v>
      </c>
      <c r="X39" t="s">
        <v>4499</v>
      </c>
      <c r="Y39" t="s">
        <v>4633</v>
      </c>
      <c r="Z39">
        <v>900574</v>
      </c>
      <c r="AA39">
        <v>10</v>
      </c>
      <c r="AB39">
        <v>10</v>
      </c>
      <c r="AC39">
        <v>5</v>
      </c>
      <c r="AD39">
        <v>5</v>
      </c>
      <c r="AE39">
        <v>95</v>
      </c>
      <c r="AF39">
        <v>75</v>
      </c>
      <c r="AG39">
        <v>120</v>
      </c>
      <c r="AH39">
        <v>110</v>
      </c>
      <c r="AI39">
        <v>95</v>
      </c>
      <c r="AJ39">
        <v>0</v>
      </c>
      <c r="AK39">
        <v>15</v>
      </c>
      <c r="AL39">
        <v>20</v>
      </c>
      <c r="AM39">
        <v>150</v>
      </c>
      <c r="AN39">
        <v>95</v>
      </c>
      <c r="AO39">
        <v>12</v>
      </c>
      <c r="AP39">
        <v>0</v>
      </c>
      <c r="AQ39">
        <v>1</v>
      </c>
      <c r="AR39">
        <v>15</v>
      </c>
      <c r="AS39">
        <v>500</v>
      </c>
      <c r="AT39">
        <v>4</v>
      </c>
      <c r="AU39" t="s">
        <v>328</v>
      </c>
      <c r="AV39" t="s">
        <v>328</v>
      </c>
      <c r="AW39" t="s">
        <v>328</v>
      </c>
      <c r="AX39" t="s">
        <v>328</v>
      </c>
      <c r="AY39">
        <v>55</v>
      </c>
      <c r="AZ39">
        <v>3045</v>
      </c>
      <c r="BA39">
        <v>21</v>
      </c>
      <c r="BB39" t="s">
        <v>4492</v>
      </c>
      <c r="BC39" t="s">
        <v>1806</v>
      </c>
      <c r="BD39">
        <v>911001</v>
      </c>
      <c r="BE39" t="s">
        <v>4493</v>
      </c>
      <c r="BF39" t="s">
        <v>4494</v>
      </c>
      <c r="BG39">
        <v>80</v>
      </c>
      <c r="BH39">
        <v>0</v>
      </c>
    </row>
    <row r="40" spans="1:61" x14ac:dyDescent="0.25">
      <c r="A40">
        <v>2018</v>
      </c>
      <c r="B40" t="s">
        <v>6533</v>
      </c>
      <c r="C40" t="s">
        <v>6541</v>
      </c>
      <c r="D40" t="s">
        <v>6534</v>
      </c>
      <c r="E40" t="s">
        <v>6535</v>
      </c>
      <c r="G40" t="s">
        <v>4485</v>
      </c>
      <c r="H40" t="s">
        <v>6536</v>
      </c>
      <c r="I40">
        <v>1</v>
      </c>
      <c r="J40">
        <v>2</v>
      </c>
      <c r="K40" t="s">
        <v>993</v>
      </c>
      <c r="L40">
        <v>1</v>
      </c>
      <c r="M40">
        <v>218</v>
      </c>
      <c r="N40" t="s">
        <v>6537</v>
      </c>
      <c r="O40">
        <v>8</v>
      </c>
      <c r="P40">
        <v>0</v>
      </c>
      <c r="Q40">
        <v>4</v>
      </c>
      <c r="R40">
        <v>0</v>
      </c>
      <c r="S40">
        <v>1</v>
      </c>
      <c r="T40">
        <v>0</v>
      </c>
      <c r="U40">
        <v>750433</v>
      </c>
      <c r="V40">
        <v>750444</v>
      </c>
      <c r="W40" t="s">
        <v>1806</v>
      </c>
      <c r="X40" t="s">
        <v>6538</v>
      </c>
      <c r="Y40" t="s">
        <v>6539</v>
      </c>
      <c r="Z40">
        <v>900107</v>
      </c>
      <c r="AA40">
        <v>10</v>
      </c>
      <c r="AB40">
        <v>10</v>
      </c>
      <c r="AC40">
        <v>5</v>
      </c>
      <c r="AD40">
        <v>5</v>
      </c>
      <c r="AE40">
        <v>100</v>
      </c>
      <c r="AF40">
        <v>330</v>
      </c>
      <c r="AG40">
        <v>95</v>
      </c>
      <c r="AH40">
        <v>300</v>
      </c>
      <c r="AI40">
        <v>0</v>
      </c>
      <c r="AJ40">
        <v>85</v>
      </c>
      <c r="AK40">
        <v>100</v>
      </c>
      <c r="AL40">
        <v>5</v>
      </c>
      <c r="AM40">
        <v>150</v>
      </c>
      <c r="AN40">
        <v>75</v>
      </c>
      <c r="AO40">
        <v>3</v>
      </c>
      <c r="AP40">
        <v>0</v>
      </c>
      <c r="AQ40">
        <v>2</v>
      </c>
      <c r="AR40">
        <v>15</v>
      </c>
      <c r="AS40">
        <v>500</v>
      </c>
      <c r="AT40">
        <v>5</v>
      </c>
      <c r="AU40" t="s">
        <v>328</v>
      </c>
      <c r="AV40" t="s">
        <v>328</v>
      </c>
      <c r="AW40" t="s">
        <v>328</v>
      </c>
      <c r="AX40" t="s">
        <v>328</v>
      </c>
      <c r="AY40">
        <v>123</v>
      </c>
      <c r="AZ40">
        <v>3045</v>
      </c>
      <c r="BA40">
        <v>21</v>
      </c>
      <c r="BB40" t="s">
        <v>4492</v>
      </c>
      <c r="BC40" t="s">
        <v>1806</v>
      </c>
      <c r="BD40">
        <v>913217</v>
      </c>
      <c r="BE40" t="s">
        <v>4493</v>
      </c>
      <c r="BF40" t="s">
        <v>4494</v>
      </c>
      <c r="BG40">
        <v>100</v>
      </c>
      <c r="BH40">
        <v>0</v>
      </c>
      <c r="BI40">
        <v>0</v>
      </c>
    </row>
    <row r="41" spans="1:61" x14ac:dyDescent="0.25">
      <c r="A41">
        <v>2009</v>
      </c>
      <c r="B41" t="s">
        <v>4634</v>
      </c>
      <c r="C41" t="s">
        <v>998</v>
      </c>
      <c r="D41" t="s">
        <v>998</v>
      </c>
      <c r="E41" t="s">
        <v>4635</v>
      </c>
      <c r="G41" t="s">
        <v>4485</v>
      </c>
      <c r="H41" t="s">
        <v>4636</v>
      </c>
      <c r="I41">
        <v>1</v>
      </c>
      <c r="J41">
        <v>2</v>
      </c>
      <c r="K41" t="s">
        <v>972</v>
      </c>
      <c r="L41">
        <v>5</v>
      </c>
      <c r="M41">
        <v>209</v>
      </c>
      <c r="N41" t="s">
        <v>973</v>
      </c>
      <c r="O41">
        <v>6</v>
      </c>
      <c r="P41">
        <v>0</v>
      </c>
      <c r="Q41">
        <v>4</v>
      </c>
      <c r="R41">
        <v>0</v>
      </c>
      <c r="S41">
        <v>1</v>
      </c>
      <c r="T41">
        <v>0</v>
      </c>
      <c r="U41">
        <v>900770</v>
      </c>
      <c r="V41">
        <v>910774</v>
      </c>
      <c r="W41" t="s">
        <v>1806</v>
      </c>
      <c r="X41" t="s">
        <v>4637</v>
      </c>
      <c r="Y41" t="s">
        <v>4638</v>
      </c>
      <c r="Z41">
        <v>900772</v>
      </c>
      <c r="AA41">
        <v>10</v>
      </c>
      <c r="AB41">
        <v>10</v>
      </c>
      <c r="AC41">
        <v>5</v>
      </c>
      <c r="AD41">
        <v>5</v>
      </c>
      <c r="AE41">
        <v>115</v>
      </c>
      <c r="AF41">
        <v>72</v>
      </c>
      <c r="AG41">
        <v>100</v>
      </c>
      <c r="AH41">
        <v>85</v>
      </c>
      <c r="AI41">
        <v>140</v>
      </c>
      <c r="AJ41">
        <v>0</v>
      </c>
      <c r="AK41">
        <v>15</v>
      </c>
      <c r="AL41">
        <v>10</v>
      </c>
      <c r="AM41">
        <v>150</v>
      </c>
      <c r="AN41">
        <v>95</v>
      </c>
      <c r="AO41">
        <v>15</v>
      </c>
      <c r="AP41">
        <v>0</v>
      </c>
      <c r="AQ41">
        <v>2</v>
      </c>
      <c r="AR41">
        <v>15</v>
      </c>
      <c r="AS41">
        <v>500</v>
      </c>
      <c r="AT41">
        <v>7</v>
      </c>
      <c r="AU41" t="s">
        <v>328</v>
      </c>
      <c r="AV41" t="s">
        <v>328</v>
      </c>
      <c r="AW41" t="s">
        <v>328</v>
      </c>
      <c r="AX41" t="s">
        <v>328</v>
      </c>
      <c r="AY41">
        <v>86</v>
      </c>
      <c r="AZ41">
        <v>3045</v>
      </c>
      <c r="BA41">
        <v>8</v>
      </c>
      <c r="BB41" t="s">
        <v>4492</v>
      </c>
      <c r="BC41" t="s">
        <v>1806</v>
      </c>
      <c r="BD41">
        <v>911104</v>
      </c>
      <c r="BE41" t="s">
        <v>4493</v>
      </c>
      <c r="BF41" t="s">
        <v>4494</v>
      </c>
      <c r="BG41">
        <v>90</v>
      </c>
      <c r="BH41">
        <v>0</v>
      </c>
    </row>
    <row r="42" spans="1:61" x14ac:dyDescent="0.25">
      <c r="A42">
        <v>2013</v>
      </c>
      <c r="B42" t="s">
        <v>4639</v>
      </c>
      <c r="C42" t="s">
        <v>1003</v>
      </c>
      <c r="D42" t="s">
        <v>1003</v>
      </c>
      <c r="E42" t="s">
        <v>4640</v>
      </c>
      <c r="G42" t="s">
        <v>4485</v>
      </c>
      <c r="H42" t="s">
        <v>4641</v>
      </c>
      <c r="I42">
        <v>1</v>
      </c>
      <c r="J42">
        <v>2</v>
      </c>
      <c r="K42" t="s">
        <v>972</v>
      </c>
      <c r="L42">
        <v>5</v>
      </c>
      <c r="M42">
        <v>213</v>
      </c>
      <c r="N42" t="s">
        <v>973</v>
      </c>
      <c r="O42">
        <v>6</v>
      </c>
      <c r="P42">
        <v>0</v>
      </c>
      <c r="Q42">
        <v>4</v>
      </c>
      <c r="R42">
        <v>0</v>
      </c>
      <c r="S42">
        <v>1</v>
      </c>
      <c r="T42">
        <v>0</v>
      </c>
      <c r="U42">
        <v>901251</v>
      </c>
      <c r="V42">
        <v>901253</v>
      </c>
      <c r="W42" t="s">
        <v>1806</v>
      </c>
      <c r="X42" t="s">
        <v>4642</v>
      </c>
      <c r="Y42" t="s">
        <v>4643</v>
      </c>
      <c r="Z42">
        <v>901250</v>
      </c>
      <c r="AA42">
        <v>10</v>
      </c>
      <c r="AB42">
        <v>10</v>
      </c>
      <c r="AC42">
        <v>5</v>
      </c>
      <c r="AD42">
        <v>5</v>
      </c>
      <c r="AE42">
        <v>100</v>
      </c>
      <c r="AF42">
        <v>100</v>
      </c>
      <c r="AG42">
        <v>115</v>
      </c>
      <c r="AH42">
        <v>80</v>
      </c>
      <c r="AI42">
        <v>45</v>
      </c>
      <c r="AJ42">
        <v>0</v>
      </c>
      <c r="AK42">
        <v>180</v>
      </c>
      <c r="AL42">
        <v>5</v>
      </c>
      <c r="AM42">
        <v>150</v>
      </c>
      <c r="AN42">
        <v>95</v>
      </c>
      <c r="AO42">
        <v>5</v>
      </c>
      <c r="AP42">
        <v>0</v>
      </c>
      <c r="AQ42">
        <v>2</v>
      </c>
      <c r="AR42">
        <v>15</v>
      </c>
      <c r="AS42">
        <v>500</v>
      </c>
      <c r="AT42">
        <v>9</v>
      </c>
      <c r="AU42" t="s">
        <v>328</v>
      </c>
      <c r="AV42" t="s">
        <v>328</v>
      </c>
      <c r="AW42" t="s">
        <v>328</v>
      </c>
      <c r="AX42" t="s">
        <v>328</v>
      </c>
      <c r="AY42">
        <v>59</v>
      </c>
      <c r="AZ42">
        <v>3045</v>
      </c>
      <c r="BA42">
        <v>18</v>
      </c>
      <c r="BB42" t="s">
        <v>4492</v>
      </c>
      <c r="BC42" t="s">
        <v>1806</v>
      </c>
      <c r="BD42">
        <v>911012</v>
      </c>
      <c r="BE42" t="s">
        <v>4493</v>
      </c>
      <c r="BF42" t="s">
        <v>4494</v>
      </c>
      <c r="BG42">
        <v>95</v>
      </c>
      <c r="BH42">
        <v>0</v>
      </c>
    </row>
    <row r="43" spans="1:61" x14ac:dyDescent="0.25">
      <c r="A43">
        <v>2005</v>
      </c>
      <c r="B43" t="s">
        <v>4644</v>
      </c>
      <c r="C43" t="s">
        <v>994</v>
      </c>
      <c r="D43" t="s">
        <v>994</v>
      </c>
      <c r="E43" t="s">
        <v>4645</v>
      </c>
      <c r="G43" t="s">
        <v>4485</v>
      </c>
      <c r="H43" t="s">
        <v>4646</v>
      </c>
      <c r="I43">
        <v>1</v>
      </c>
      <c r="J43">
        <v>2</v>
      </c>
      <c r="K43" t="s">
        <v>995</v>
      </c>
      <c r="L43">
        <v>5</v>
      </c>
      <c r="M43">
        <v>205</v>
      </c>
      <c r="N43" t="s">
        <v>973</v>
      </c>
      <c r="O43">
        <v>3</v>
      </c>
      <c r="P43">
        <v>0</v>
      </c>
      <c r="Q43">
        <v>4</v>
      </c>
      <c r="R43">
        <v>0</v>
      </c>
      <c r="S43">
        <v>1</v>
      </c>
      <c r="T43">
        <v>0</v>
      </c>
      <c r="U43">
        <v>900653</v>
      </c>
      <c r="V43">
        <v>900661</v>
      </c>
      <c r="W43" t="s">
        <v>1806</v>
      </c>
      <c r="X43" t="s">
        <v>4647</v>
      </c>
      <c r="Y43" t="s">
        <v>4648</v>
      </c>
      <c r="Z43">
        <v>900655</v>
      </c>
      <c r="AA43">
        <v>10</v>
      </c>
      <c r="AB43">
        <v>10</v>
      </c>
      <c r="AC43">
        <v>5</v>
      </c>
      <c r="AD43">
        <v>5</v>
      </c>
      <c r="AE43">
        <v>36</v>
      </c>
      <c r="AF43">
        <v>100</v>
      </c>
      <c r="AG43">
        <v>105</v>
      </c>
      <c r="AH43">
        <v>105</v>
      </c>
      <c r="AI43">
        <v>50</v>
      </c>
      <c r="AJ43">
        <v>60</v>
      </c>
      <c r="AK43">
        <v>15</v>
      </c>
      <c r="AL43">
        <v>20</v>
      </c>
      <c r="AM43">
        <v>150</v>
      </c>
      <c r="AN43">
        <v>95</v>
      </c>
      <c r="AO43">
        <v>10</v>
      </c>
      <c r="AP43">
        <v>0</v>
      </c>
      <c r="AQ43">
        <v>1</v>
      </c>
      <c r="AR43">
        <v>15</v>
      </c>
      <c r="AS43">
        <v>500</v>
      </c>
      <c r="AT43">
        <v>3</v>
      </c>
      <c r="AU43" t="s">
        <v>328</v>
      </c>
      <c r="AV43" t="s">
        <v>328</v>
      </c>
      <c r="AW43" t="s">
        <v>328</v>
      </c>
      <c r="AX43" t="s">
        <v>328</v>
      </c>
      <c r="AY43">
        <v>30</v>
      </c>
      <c r="AZ43">
        <v>3045</v>
      </c>
      <c r="BA43">
        <v>9</v>
      </c>
      <c r="BB43" t="s">
        <v>4492</v>
      </c>
      <c r="BC43" t="s">
        <v>1806</v>
      </c>
      <c r="BD43">
        <v>910018</v>
      </c>
      <c r="BE43" t="s">
        <v>4493</v>
      </c>
      <c r="BF43" t="s">
        <v>4494</v>
      </c>
      <c r="BG43">
        <v>100</v>
      </c>
      <c r="BH43">
        <v>0</v>
      </c>
    </row>
    <row r="44" spans="1:61" x14ac:dyDescent="0.25">
      <c r="A44">
        <v>2017</v>
      </c>
      <c r="B44" t="s">
        <v>6357</v>
      </c>
      <c r="C44" t="s">
        <v>6364</v>
      </c>
      <c r="D44" t="s">
        <v>6358</v>
      </c>
      <c r="E44" t="s">
        <v>6359</v>
      </c>
      <c r="G44" t="s">
        <v>4485</v>
      </c>
      <c r="H44" t="s">
        <v>6360</v>
      </c>
      <c r="I44">
        <v>1</v>
      </c>
      <c r="J44">
        <v>2</v>
      </c>
      <c r="K44" t="s">
        <v>972</v>
      </c>
      <c r="L44">
        <v>5</v>
      </c>
      <c r="M44">
        <v>217</v>
      </c>
      <c r="N44" t="s">
        <v>973</v>
      </c>
      <c r="O44">
        <v>6</v>
      </c>
      <c r="P44">
        <v>0</v>
      </c>
      <c r="Q44">
        <v>4</v>
      </c>
      <c r="R44">
        <v>0</v>
      </c>
      <c r="S44">
        <v>1</v>
      </c>
      <c r="T44">
        <v>0</v>
      </c>
      <c r="U44">
        <v>900841</v>
      </c>
      <c r="V44">
        <v>750377</v>
      </c>
      <c r="W44" t="s">
        <v>1806</v>
      </c>
      <c r="X44" t="s">
        <v>4499</v>
      </c>
      <c r="Y44" t="s">
        <v>328</v>
      </c>
      <c r="Z44">
        <v>750378</v>
      </c>
      <c r="AA44">
        <v>10</v>
      </c>
      <c r="AB44">
        <v>10</v>
      </c>
      <c r="AC44">
        <v>5</v>
      </c>
      <c r="AD44">
        <v>5</v>
      </c>
      <c r="AE44">
        <v>110</v>
      </c>
      <c r="AF44">
        <v>80</v>
      </c>
      <c r="AG44">
        <v>110</v>
      </c>
      <c r="AH44">
        <v>125</v>
      </c>
      <c r="AI44">
        <v>100</v>
      </c>
      <c r="AJ44">
        <v>0</v>
      </c>
      <c r="AK44">
        <v>15</v>
      </c>
      <c r="AL44">
        <v>20</v>
      </c>
      <c r="AM44">
        <v>150</v>
      </c>
      <c r="AN44">
        <v>95</v>
      </c>
      <c r="AO44">
        <v>15</v>
      </c>
      <c r="AP44">
        <v>0</v>
      </c>
      <c r="AQ44">
        <v>2</v>
      </c>
      <c r="AR44">
        <v>15</v>
      </c>
      <c r="AS44">
        <v>500</v>
      </c>
      <c r="AT44">
        <v>7</v>
      </c>
      <c r="AU44" t="s">
        <v>328</v>
      </c>
      <c r="AV44" t="s">
        <v>328</v>
      </c>
      <c r="AW44" t="s">
        <v>328</v>
      </c>
      <c r="AX44" t="s">
        <v>328</v>
      </c>
      <c r="AY44">
        <v>121</v>
      </c>
      <c r="AZ44">
        <v>3045</v>
      </c>
      <c r="BA44">
        <v>8</v>
      </c>
      <c r="BB44" t="s">
        <v>4492</v>
      </c>
      <c r="BC44" t="s">
        <v>1806</v>
      </c>
      <c r="BD44">
        <v>913101</v>
      </c>
      <c r="BE44" t="s">
        <v>4493</v>
      </c>
      <c r="BF44" t="s">
        <v>4494</v>
      </c>
      <c r="BG44">
        <v>90</v>
      </c>
      <c r="BH44">
        <v>0</v>
      </c>
      <c r="BI44">
        <v>0</v>
      </c>
    </row>
    <row r="45" spans="1:61" x14ac:dyDescent="0.25">
      <c r="A45">
        <v>2010</v>
      </c>
      <c r="B45" t="s">
        <v>4649</v>
      </c>
      <c r="C45" t="s">
        <v>999</v>
      </c>
      <c r="D45" t="s">
        <v>999</v>
      </c>
      <c r="E45" t="s">
        <v>4650</v>
      </c>
      <c r="G45" t="s">
        <v>4485</v>
      </c>
      <c r="H45" t="s">
        <v>4651</v>
      </c>
      <c r="I45">
        <v>1</v>
      </c>
      <c r="J45">
        <v>2</v>
      </c>
      <c r="K45" t="s">
        <v>972</v>
      </c>
      <c r="L45">
        <v>5</v>
      </c>
      <c r="M45">
        <v>210</v>
      </c>
      <c r="N45" t="s">
        <v>973</v>
      </c>
      <c r="O45">
        <v>6</v>
      </c>
      <c r="P45">
        <v>0</v>
      </c>
      <c r="Q45">
        <v>4</v>
      </c>
      <c r="R45">
        <v>0</v>
      </c>
      <c r="S45">
        <v>1</v>
      </c>
      <c r="T45">
        <v>0</v>
      </c>
      <c r="U45">
        <v>900841</v>
      </c>
      <c r="V45">
        <v>900842</v>
      </c>
      <c r="W45" t="s">
        <v>1806</v>
      </c>
      <c r="X45" t="s">
        <v>4499</v>
      </c>
      <c r="Y45" t="s">
        <v>4652</v>
      </c>
      <c r="Z45">
        <v>900840</v>
      </c>
      <c r="AA45">
        <v>10</v>
      </c>
      <c r="AB45">
        <v>10</v>
      </c>
      <c r="AC45">
        <v>5</v>
      </c>
      <c r="AD45">
        <v>5</v>
      </c>
      <c r="AE45">
        <v>95</v>
      </c>
      <c r="AF45">
        <v>95</v>
      </c>
      <c r="AG45">
        <v>105</v>
      </c>
      <c r="AH45">
        <v>115</v>
      </c>
      <c r="AI45">
        <v>95</v>
      </c>
      <c r="AJ45">
        <v>0</v>
      </c>
      <c r="AK45">
        <v>15</v>
      </c>
      <c r="AL45">
        <v>20</v>
      </c>
      <c r="AM45">
        <v>150</v>
      </c>
      <c r="AN45">
        <v>95</v>
      </c>
      <c r="AO45">
        <v>15</v>
      </c>
      <c r="AP45">
        <v>0</v>
      </c>
      <c r="AQ45">
        <v>2</v>
      </c>
      <c r="AR45">
        <v>15</v>
      </c>
      <c r="AS45">
        <v>500</v>
      </c>
      <c r="AT45">
        <v>7</v>
      </c>
      <c r="AU45" t="s">
        <v>328</v>
      </c>
      <c r="AV45" t="s">
        <v>328</v>
      </c>
      <c r="AW45" t="s">
        <v>328</v>
      </c>
      <c r="AX45" t="s">
        <v>328</v>
      </c>
      <c r="AY45">
        <v>94</v>
      </c>
      <c r="AZ45">
        <v>3045</v>
      </c>
      <c r="BA45">
        <v>8</v>
      </c>
      <c r="BB45" t="s">
        <v>4492</v>
      </c>
      <c r="BC45" t="s">
        <v>1806</v>
      </c>
      <c r="BD45">
        <v>911105</v>
      </c>
      <c r="BE45" t="s">
        <v>4493</v>
      </c>
      <c r="BF45" t="s">
        <v>4494</v>
      </c>
      <c r="BG45">
        <v>90</v>
      </c>
      <c r="BH45">
        <v>0</v>
      </c>
    </row>
    <row r="46" spans="1:61" x14ac:dyDescent="0.25">
      <c r="A46">
        <v>3006</v>
      </c>
      <c r="B46" t="s">
        <v>4653</v>
      </c>
      <c r="C46" t="s">
        <v>1010</v>
      </c>
      <c r="D46" t="s">
        <v>1010</v>
      </c>
      <c r="E46" t="s">
        <v>4654</v>
      </c>
      <c r="G46" t="s">
        <v>4485</v>
      </c>
      <c r="H46" t="s">
        <v>4655</v>
      </c>
      <c r="I46">
        <v>1</v>
      </c>
      <c r="J46">
        <v>3</v>
      </c>
      <c r="K46" t="s">
        <v>1001</v>
      </c>
      <c r="L46">
        <v>5</v>
      </c>
      <c r="M46">
        <v>306</v>
      </c>
      <c r="N46" t="s">
        <v>973</v>
      </c>
      <c r="O46">
        <v>2</v>
      </c>
      <c r="P46">
        <v>0</v>
      </c>
      <c r="Q46">
        <v>3</v>
      </c>
      <c r="R46">
        <v>0</v>
      </c>
      <c r="S46">
        <v>1</v>
      </c>
      <c r="T46">
        <v>0</v>
      </c>
      <c r="U46">
        <v>0</v>
      </c>
      <c r="V46">
        <v>900676</v>
      </c>
      <c r="W46" t="s">
        <v>1806</v>
      </c>
      <c r="X46" t="s">
        <v>4647</v>
      </c>
      <c r="Y46" t="s">
        <v>4656</v>
      </c>
      <c r="Z46">
        <v>900654</v>
      </c>
      <c r="AA46">
        <v>10</v>
      </c>
      <c r="AB46">
        <v>10</v>
      </c>
      <c r="AC46">
        <v>5</v>
      </c>
      <c r="AD46">
        <v>5</v>
      </c>
      <c r="AE46">
        <v>36</v>
      </c>
      <c r="AF46">
        <v>90</v>
      </c>
      <c r="AG46">
        <v>100</v>
      </c>
      <c r="AH46">
        <v>100</v>
      </c>
      <c r="AI46">
        <v>100</v>
      </c>
      <c r="AJ46">
        <v>0</v>
      </c>
      <c r="AK46">
        <v>15</v>
      </c>
      <c r="AL46">
        <v>20</v>
      </c>
      <c r="AM46">
        <v>150</v>
      </c>
      <c r="AN46">
        <v>95</v>
      </c>
      <c r="AO46">
        <v>15</v>
      </c>
      <c r="AP46">
        <v>0</v>
      </c>
      <c r="AQ46">
        <v>1</v>
      </c>
      <c r="AR46">
        <v>15</v>
      </c>
      <c r="AS46">
        <v>500</v>
      </c>
      <c r="AT46">
        <v>3</v>
      </c>
      <c r="AU46" t="s">
        <v>328</v>
      </c>
      <c r="AV46" t="s">
        <v>328</v>
      </c>
      <c r="AW46" t="s">
        <v>328</v>
      </c>
      <c r="AX46" t="s">
        <v>328</v>
      </c>
      <c r="AY46">
        <v>6</v>
      </c>
      <c r="AZ46">
        <v>3045</v>
      </c>
      <c r="BA46">
        <v>18</v>
      </c>
      <c r="BB46" t="s">
        <v>4492</v>
      </c>
      <c r="BC46" t="s">
        <v>1806</v>
      </c>
      <c r="BD46">
        <v>910003</v>
      </c>
      <c r="BE46" t="s">
        <v>4493</v>
      </c>
      <c r="BF46" t="s">
        <v>4494</v>
      </c>
      <c r="BG46">
        <v>95</v>
      </c>
      <c r="BH46">
        <v>0</v>
      </c>
    </row>
    <row r="47" spans="1:61" x14ac:dyDescent="0.25">
      <c r="A47">
        <v>3010</v>
      </c>
      <c r="B47" t="s">
        <v>4657</v>
      </c>
      <c r="C47" t="s">
        <v>1015</v>
      </c>
      <c r="D47" t="s">
        <v>1015</v>
      </c>
      <c r="E47" t="s">
        <v>4658</v>
      </c>
      <c r="G47" t="s">
        <v>4485</v>
      </c>
      <c r="H47" t="s">
        <v>4659</v>
      </c>
      <c r="I47">
        <v>1</v>
      </c>
      <c r="J47">
        <v>3</v>
      </c>
      <c r="K47" t="s">
        <v>993</v>
      </c>
      <c r="L47">
        <v>1</v>
      </c>
      <c r="M47">
        <v>310</v>
      </c>
      <c r="N47" t="s">
        <v>973</v>
      </c>
      <c r="O47">
        <v>8</v>
      </c>
      <c r="P47">
        <v>0</v>
      </c>
      <c r="Q47">
        <v>3</v>
      </c>
      <c r="R47">
        <v>0</v>
      </c>
      <c r="S47">
        <v>1</v>
      </c>
      <c r="T47">
        <v>0</v>
      </c>
      <c r="U47">
        <v>0</v>
      </c>
      <c r="V47">
        <v>901041</v>
      </c>
      <c r="W47" t="s">
        <v>1806</v>
      </c>
      <c r="X47" t="s">
        <v>4660</v>
      </c>
      <c r="Y47" t="s">
        <v>328</v>
      </c>
      <c r="Z47">
        <v>900107</v>
      </c>
      <c r="AA47">
        <v>10</v>
      </c>
      <c r="AB47">
        <v>10</v>
      </c>
      <c r="AC47">
        <v>5</v>
      </c>
      <c r="AD47">
        <v>5</v>
      </c>
      <c r="AE47">
        <v>160</v>
      </c>
      <c r="AF47">
        <v>320</v>
      </c>
      <c r="AG47">
        <v>90</v>
      </c>
      <c r="AH47">
        <v>350</v>
      </c>
      <c r="AI47">
        <v>0</v>
      </c>
      <c r="AJ47">
        <v>90</v>
      </c>
      <c r="AK47">
        <v>100</v>
      </c>
      <c r="AL47">
        <v>5</v>
      </c>
      <c r="AM47">
        <v>150</v>
      </c>
      <c r="AN47">
        <v>75</v>
      </c>
      <c r="AO47">
        <v>3</v>
      </c>
      <c r="AP47">
        <v>0</v>
      </c>
      <c r="AQ47">
        <v>2</v>
      </c>
      <c r="AR47">
        <v>15</v>
      </c>
      <c r="AS47">
        <v>500</v>
      </c>
      <c r="AT47">
        <v>5</v>
      </c>
      <c r="AU47" t="s">
        <v>328</v>
      </c>
      <c r="AV47" t="s">
        <v>328</v>
      </c>
      <c r="AW47" t="s">
        <v>328</v>
      </c>
      <c r="AX47" t="s">
        <v>328</v>
      </c>
      <c r="AY47">
        <v>99</v>
      </c>
      <c r="AZ47">
        <v>3045</v>
      </c>
      <c r="BA47">
        <v>21</v>
      </c>
      <c r="BB47" t="s">
        <v>4492</v>
      </c>
      <c r="BC47" t="s">
        <v>1806</v>
      </c>
      <c r="BD47">
        <v>910021</v>
      </c>
      <c r="BE47" t="s">
        <v>4493</v>
      </c>
      <c r="BF47" t="s">
        <v>4494</v>
      </c>
      <c r="BG47">
        <v>100</v>
      </c>
      <c r="BH47">
        <v>0</v>
      </c>
    </row>
    <row r="48" spans="1:61" x14ac:dyDescent="0.25">
      <c r="A48">
        <v>3003</v>
      </c>
      <c r="B48" t="s">
        <v>4661</v>
      </c>
      <c r="C48" t="s">
        <v>1007</v>
      </c>
      <c r="D48" t="s">
        <v>1007</v>
      </c>
      <c r="E48" t="s">
        <v>4662</v>
      </c>
      <c r="G48" t="s">
        <v>4485</v>
      </c>
      <c r="H48" t="s">
        <v>4663</v>
      </c>
      <c r="I48">
        <v>1</v>
      </c>
      <c r="J48">
        <v>3</v>
      </c>
      <c r="K48" t="s">
        <v>975</v>
      </c>
      <c r="L48">
        <v>5</v>
      </c>
      <c r="M48">
        <v>303</v>
      </c>
      <c r="N48" t="s">
        <v>973</v>
      </c>
      <c r="O48">
        <v>4</v>
      </c>
      <c r="P48">
        <v>0</v>
      </c>
      <c r="Q48">
        <v>3</v>
      </c>
      <c r="R48">
        <v>0</v>
      </c>
      <c r="S48">
        <v>1</v>
      </c>
      <c r="T48">
        <v>0</v>
      </c>
      <c r="U48">
        <v>0</v>
      </c>
      <c r="V48">
        <v>900525</v>
      </c>
      <c r="W48" t="s">
        <v>1806</v>
      </c>
      <c r="X48" t="s">
        <v>4499</v>
      </c>
      <c r="Y48" t="s">
        <v>4664</v>
      </c>
      <c r="Z48">
        <v>900524</v>
      </c>
      <c r="AA48">
        <v>10</v>
      </c>
      <c r="AB48">
        <v>10</v>
      </c>
      <c r="AC48">
        <v>5</v>
      </c>
      <c r="AD48">
        <v>5</v>
      </c>
      <c r="AE48">
        <v>135</v>
      </c>
      <c r="AF48">
        <v>80</v>
      </c>
      <c r="AG48">
        <v>75</v>
      </c>
      <c r="AH48">
        <v>120</v>
      </c>
      <c r="AI48">
        <v>80</v>
      </c>
      <c r="AJ48">
        <v>0</v>
      </c>
      <c r="AK48">
        <v>15</v>
      </c>
      <c r="AL48">
        <v>20</v>
      </c>
      <c r="AM48">
        <v>150</v>
      </c>
      <c r="AN48">
        <v>95</v>
      </c>
      <c r="AO48">
        <v>12</v>
      </c>
      <c r="AP48">
        <v>0</v>
      </c>
      <c r="AQ48">
        <v>1</v>
      </c>
      <c r="AR48">
        <v>15</v>
      </c>
      <c r="AS48">
        <v>500</v>
      </c>
      <c r="AT48">
        <v>3</v>
      </c>
      <c r="AU48" t="s">
        <v>328</v>
      </c>
      <c r="AV48" t="s">
        <v>328</v>
      </c>
      <c r="AW48" t="s">
        <v>328</v>
      </c>
      <c r="AX48" t="s">
        <v>328</v>
      </c>
      <c r="AY48">
        <v>10</v>
      </c>
      <c r="AZ48">
        <v>3045</v>
      </c>
      <c r="BA48">
        <v>16</v>
      </c>
      <c r="BB48" t="s">
        <v>4492</v>
      </c>
      <c r="BC48" t="s">
        <v>1806</v>
      </c>
      <c r="BD48">
        <v>910007</v>
      </c>
      <c r="BE48" t="s">
        <v>4493</v>
      </c>
      <c r="BF48" t="s">
        <v>4494</v>
      </c>
      <c r="BG48">
        <v>92</v>
      </c>
      <c r="BH48">
        <v>0</v>
      </c>
    </row>
    <row r="49" spans="1:60" x14ac:dyDescent="0.25">
      <c r="A49">
        <v>3004</v>
      </c>
      <c r="B49" t="s">
        <v>4665</v>
      </c>
      <c r="C49" t="s">
        <v>1008</v>
      </c>
      <c r="D49" t="s">
        <v>1008</v>
      </c>
      <c r="E49" t="s">
        <v>4666</v>
      </c>
      <c r="G49" t="s">
        <v>4485</v>
      </c>
      <c r="H49" t="s">
        <v>4667</v>
      </c>
      <c r="I49">
        <v>1</v>
      </c>
      <c r="J49">
        <v>3</v>
      </c>
      <c r="K49" t="s">
        <v>972</v>
      </c>
      <c r="L49">
        <v>5</v>
      </c>
      <c r="M49">
        <v>304</v>
      </c>
      <c r="N49" t="s">
        <v>973</v>
      </c>
      <c r="O49">
        <v>4</v>
      </c>
      <c r="P49">
        <v>0</v>
      </c>
      <c r="Q49">
        <v>3</v>
      </c>
      <c r="R49">
        <v>0</v>
      </c>
      <c r="S49">
        <v>1</v>
      </c>
      <c r="T49">
        <v>0</v>
      </c>
      <c r="U49">
        <v>0</v>
      </c>
      <c r="V49">
        <v>900523</v>
      </c>
      <c r="W49" t="s">
        <v>1806</v>
      </c>
      <c r="X49" t="s">
        <v>4499</v>
      </c>
      <c r="Y49" t="s">
        <v>328</v>
      </c>
      <c r="Z49">
        <v>900522</v>
      </c>
      <c r="AA49">
        <v>10</v>
      </c>
      <c r="AB49">
        <v>10</v>
      </c>
      <c r="AC49">
        <v>5</v>
      </c>
      <c r="AD49">
        <v>5</v>
      </c>
      <c r="AE49">
        <v>65</v>
      </c>
      <c r="AF49">
        <v>105</v>
      </c>
      <c r="AG49">
        <v>65</v>
      </c>
      <c r="AH49">
        <v>125</v>
      </c>
      <c r="AI49">
        <v>55</v>
      </c>
      <c r="AJ49">
        <v>0</v>
      </c>
      <c r="AK49">
        <v>180</v>
      </c>
      <c r="AL49">
        <v>50</v>
      </c>
      <c r="AM49">
        <v>200</v>
      </c>
      <c r="AN49">
        <v>95</v>
      </c>
      <c r="AO49">
        <v>6</v>
      </c>
      <c r="AP49">
        <v>0</v>
      </c>
      <c r="AQ49">
        <v>2</v>
      </c>
      <c r="AR49">
        <v>15</v>
      </c>
      <c r="AS49">
        <v>500</v>
      </c>
      <c r="AT49">
        <v>9</v>
      </c>
      <c r="AU49" t="s">
        <v>328</v>
      </c>
      <c r="AV49" t="s">
        <v>328</v>
      </c>
      <c r="AW49" t="s">
        <v>328</v>
      </c>
      <c r="AX49" t="s">
        <v>328</v>
      </c>
      <c r="AY49">
        <v>9</v>
      </c>
      <c r="AZ49">
        <v>3045</v>
      </c>
      <c r="BA49">
        <v>17</v>
      </c>
      <c r="BB49" t="s">
        <v>4492</v>
      </c>
      <c r="BC49" t="s">
        <v>1806</v>
      </c>
      <c r="BD49">
        <v>910006</v>
      </c>
      <c r="BE49" t="s">
        <v>4493</v>
      </c>
      <c r="BF49" t="s">
        <v>4494</v>
      </c>
      <c r="BG49">
        <v>100</v>
      </c>
      <c r="BH49">
        <v>0</v>
      </c>
    </row>
    <row r="50" spans="1:60" x14ac:dyDescent="0.25">
      <c r="A50">
        <v>3009</v>
      </c>
      <c r="B50" t="s">
        <v>4668</v>
      </c>
      <c r="C50" t="s">
        <v>1013</v>
      </c>
      <c r="D50" t="s">
        <v>1013</v>
      </c>
      <c r="E50" t="s">
        <v>4669</v>
      </c>
      <c r="G50" t="s">
        <v>4485</v>
      </c>
      <c r="H50" t="s">
        <v>4670</v>
      </c>
      <c r="I50">
        <v>1</v>
      </c>
      <c r="J50">
        <v>3</v>
      </c>
      <c r="K50" t="s">
        <v>1014</v>
      </c>
      <c r="L50">
        <v>5</v>
      </c>
      <c r="M50">
        <v>309</v>
      </c>
      <c r="N50" t="s">
        <v>973</v>
      </c>
      <c r="O50">
        <v>4</v>
      </c>
      <c r="P50">
        <v>0</v>
      </c>
      <c r="Q50">
        <v>3</v>
      </c>
      <c r="R50">
        <v>0</v>
      </c>
      <c r="S50">
        <v>1</v>
      </c>
      <c r="T50">
        <v>0</v>
      </c>
      <c r="U50">
        <v>0</v>
      </c>
      <c r="V50">
        <v>900741</v>
      </c>
      <c r="W50" t="s">
        <v>1806</v>
      </c>
      <c r="X50" t="s">
        <v>4499</v>
      </c>
      <c r="Y50" t="s">
        <v>328</v>
      </c>
      <c r="Z50">
        <v>900740</v>
      </c>
      <c r="AA50">
        <v>10</v>
      </c>
      <c r="AB50">
        <v>10</v>
      </c>
      <c r="AC50">
        <v>5</v>
      </c>
      <c r="AD50">
        <v>5</v>
      </c>
      <c r="AE50">
        <v>55</v>
      </c>
      <c r="AF50">
        <v>72</v>
      </c>
      <c r="AG50">
        <v>50</v>
      </c>
      <c r="AH50">
        <v>130</v>
      </c>
      <c r="AI50">
        <v>90</v>
      </c>
      <c r="AJ50">
        <v>0</v>
      </c>
      <c r="AK50">
        <v>100</v>
      </c>
      <c r="AL50">
        <v>20</v>
      </c>
      <c r="AM50">
        <v>150</v>
      </c>
      <c r="AN50">
        <v>95</v>
      </c>
      <c r="AO50">
        <v>12</v>
      </c>
      <c r="AP50">
        <v>0</v>
      </c>
      <c r="AQ50">
        <v>2</v>
      </c>
      <c r="AR50">
        <v>15</v>
      </c>
      <c r="AS50">
        <v>500</v>
      </c>
      <c r="AT50">
        <v>9</v>
      </c>
      <c r="AU50" t="s">
        <v>328</v>
      </c>
      <c r="AV50" t="s">
        <v>328</v>
      </c>
      <c r="AW50" t="s">
        <v>328</v>
      </c>
      <c r="AX50" t="s">
        <v>328</v>
      </c>
      <c r="AY50">
        <v>13</v>
      </c>
      <c r="AZ50">
        <v>3045</v>
      </c>
      <c r="BA50">
        <v>21</v>
      </c>
      <c r="BB50" t="s">
        <v>4492</v>
      </c>
      <c r="BC50" t="s">
        <v>1806</v>
      </c>
      <c r="BD50">
        <v>910009</v>
      </c>
      <c r="BE50" t="s">
        <v>4493</v>
      </c>
      <c r="BF50" t="s">
        <v>4494</v>
      </c>
      <c r="BG50">
        <v>80</v>
      </c>
      <c r="BH50">
        <v>0</v>
      </c>
    </row>
    <row r="51" spans="1:60" x14ac:dyDescent="0.25">
      <c r="A51">
        <v>3008</v>
      </c>
      <c r="B51" t="s">
        <v>4671</v>
      </c>
      <c r="C51" t="s">
        <v>1012</v>
      </c>
      <c r="D51" t="s">
        <v>1012</v>
      </c>
      <c r="E51" t="s">
        <v>4672</v>
      </c>
      <c r="G51" t="s">
        <v>4485</v>
      </c>
      <c r="H51" t="s">
        <v>4673</v>
      </c>
      <c r="I51">
        <v>1</v>
      </c>
      <c r="J51">
        <v>3</v>
      </c>
      <c r="K51" t="s">
        <v>1001</v>
      </c>
      <c r="L51">
        <v>5</v>
      </c>
      <c r="M51">
        <v>308</v>
      </c>
      <c r="N51" t="s">
        <v>973</v>
      </c>
      <c r="O51">
        <v>4</v>
      </c>
      <c r="P51">
        <v>0</v>
      </c>
      <c r="Q51">
        <v>3</v>
      </c>
      <c r="R51">
        <v>0</v>
      </c>
      <c r="S51">
        <v>1</v>
      </c>
      <c r="T51">
        <v>0</v>
      </c>
      <c r="U51">
        <v>0</v>
      </c>
      <c r="V51">
        <v>900575</v>
      </c>
      <c r="W51" t="s">
        <v>1806</v>
      </c>
      <c r="X51" t="s">
        <v>4499</v>
      </c>
      <c r="Y51" t="s">
        <v>4674</v>
      </c>
      <c r="Z51">
        <v>900574</v>
      </c>
      <c r="AA51">
        <v>10</v>
      </c>
      <c r="AB51">
        <v>10</v>
      </c>
      <c r="AC51">
        <v>5</v>
      </c>
      <c r="AD51">
        <v>5</v>
      </c>
      <c r="AE51">
        <v>90</v>
      </c>
      <c r="AF51">
        <v>68</v>
      </c>
      <c r="AG51">
        <v>120</v>
      </c>
      <c r="AH51">
        <v>110</v>
      </c>
      <c r="AI51">
        <v>95</v>
      </c>
      <c r="AJ51">
        <v>0</v>
      </c>
      <c r="AK51">
        <v>15</v>
      </c>
      <c r="AL51">
        <v>20</v>
      </c>
      <c r="AM51">
        <v>150</v>
      </c>
      <c r="AN51">
        <v>95</v>
      </c>
      <c r="AO51">
        <v>12</v>
      </c>
      <c r="AP51">
        <v>0</v>
      </c>
      <c r="AQ51">
        <v>1</v>
      </c>
      <c r="AR51">
        <v>15</v>
      </c>
      <c r="AS51">
        <v>500</v>
      </c>
      <c r="AT51">
        <v>4</v>
      </c>
      <c r="AU51" t="s">
        <v>328</v>
      </c>
      <c r="AV51" t="s">
        <v>328</v>
      </c>
      <c r="AW51" t="s">
        <v>328</v>
      </c>
      <c r="AX51" t="s">
        <v>328</v>
      </c>
      <c r="AY51">
        <v>2</v>
      </c>
      <c r="AZ51">
        <v>3045</v>
      </c>
      <c r="BA51">
        <v>21</v>
      </c>
      <c r="BB51" t="s">
        <v>4492</v>
      </c>
      <c r="BC51" t="s">
        <v>1806</v>
      </c>
      <c r="BD51">
        <v>910001</v>
      </c>
      <c r="BE51" t="s">
        <v>4493</v>
      </c>
      <c r="BF51" t="s">
        <v>4494</v>
      </c>
      <c r="BG51">
        <v>80</v>
      </c>
      <c r="BH51">
        <v>0</v>
      </c>
    </row>
    <row r="52" spans="1:60" x14ac:dyDescent="0.25">
      <c r="A52">
        <v>3001</v>
      </c>
      <c r="B52" t="s">
        <v>4675</v>
      </c>
      <c r="C52" t="s">
        <v>1005</v>
      </c>
      <c r="D52" t="s">
        <v>1005</v>
      </c>
      <c r="E52" t="s">
        <v>4676</v>
      </c>
      <c r="G52" t="s">
        <v>4485</v>
      </c>
      <c r="H52" t="s">
        <v>4677</v>
      </c>
      <c r="I52">
        <v>1</v>
      </c>
      <c r="J52">
        <v>3</v>
      </c>
      <c r="K52" t="s">
        <v>972</v>
      </c>
      <c r="L52">
        <v>5</v>
      </c>
      <c r="M52">
        <v>301</v>
      </c>
      <c r="N52" t="s">
        <v>973</v>
      </c>
      <c r="O52">
        <v>4</v>
      </c>
      <c r="P52">
        <v>0</v>
      </c>
      <c r="Q52">
        <v>3</v>
      </c>
      <c r="R52">
        <v>0</v>
      </c>
      <c r="S52">
        <v>1</v>
      </c>
      <c r="T52">
        <v>0</v>
      </c>
      <c r="U52">
        <v>0</v>
      </c>
      <c r="V52">
        <v>600501</v>
      </c>
      <c r="W52" t="s">
        <v>1806</v>
      </c>
      <c r="X52" t="s">
        <v>4499</v>
      </c>
      <c r="Y52" t="s">
        <v>4678</v>
      </c>
      <c r="Z52">
        <v>600503</v>
      </c>
      <c r="AA52">
        <v>10</v>
      </c>
      <c r="AB52">
        <v>10</v>
      </c>
      <c r="AC52">
        <v>5</v>
      </c>
      <c r="AD52">
        <v>5</v>
      </c>
      <c r="AE52">
        <v>100</v>
      </c>
      <c r="AF52">
        <v>62</v>
      </c>
      <c r="AG52">
        <v>100</v>
      </c>
      <c r="AH52">
        <v>65</v>
      </c>
      <c r="AI52">
        <v>130</v>
      </c>
      <c r="AJ52">
        <v>0</v>
      </c>
      <c r="AK52">
        <v>15</v>
      </c>
      <c r="AL52">
        <v>10</v>
      </c>
      <c r="AM52">
        <v>150</v>
      </c>
      <c r="AN52">
        <v>95</v>
      </c>
      <c r="AO52">
        <v>15</v>
      </c>
      <c r="AP52">
        <v>0</v>
      </c>
      <c r="AQ52">
        <v>2</v>
      </c>
      <c r="AR52">
        <v>15</v>
      </c>
      <c r="AS52">
        <v>500</v>
      </c>
      <c r="AT52">
        <v>7</v>
      </c>
      <c r="AU52" t="s">
        <v>328</v>
      </c>
      <c r="AV52" t="s">
        <v>328</v>
      </c>
      <c r="AW52" t="s">
        <v>328</v>
      </c>
      <c r="AX52" t="s">
        <v>328</v>
      </c>
      <c r="AY52">
        <v>4</v>
      </c>
      <c r="AZ52">
        <v>3045</v>
      </c>
      <c r="BA52">
        <v>14</v>
      </c>
      <c r="BB52" t="s">
        <v>4492</v>
      </c>
      <c r="BC52" t="s">
        <v>1806</v>
      </c>
      <c r="BD52">
        <v>910004</v>
      </c>
      <c r="BE52" t="s">
        <v>4493</v>
      </c>
      <c r="BF52" t="s">
        <v>4494</v>
      </c>
      <c r="BG52">
        <v>95</v>
      </c>
      <c r="BH52">
        <v>0</v>
      </c>
    </row>
    <row r="53" spans="1:60" x14ac:dyDescent="0.25">
      <c r="A53">
        <v>3007</v>
      </c>
      <c r="B53" t="s">
        <v>4679</v>
      </c>
      <c r="C53" t="s">
        <v>1011</v>
      </c>
      <c r="D53" t="s">
        <v>1011</v>
      </c>
      <c r="E53" t="s">
        <v>4680</v>
      </c>
      <c r="G53" t="s">
        <v>4485</v>
      </c>
      <c r="H53" t="s">
        <v>4681</v>
      </c>
      <c r="I53">
        <v>1</v>
      </c>
      <c r="J53">
        <v>3</v>
      </c>
      <c r="K53" t="s">
        <v>1001</v>
      </c>
      <c r="L53">
        <v>5</v>
      </c>
      <c r="M53">
        <v>307</v>
      </c>
      <c r="N53" t="s">
        <v>973</v>
      </c>
      <c r="O53">
        <v>4</v>
      </c>
      <c r="P53">
        <v>0</v>
      </c>
      <c r="Q53">
        <v>3</v>
      </c>
      <c r="R53">
        <v>0</v>
      </c>
      <c r="S53">
        <v>1</v>
      </c>
      <c r="T53">
        <v>0</v>
      </c>
      <c r="U53">
        <v>0</v>
      </c>
      <c r="V53">
        <v>900573</v>
      </c>
      <c r="W53" t="s">
        <v>1806</v>
      </c>
      <c r="X53" t="s">
        <v>4499</v>
      </c>
      <c r="Y53" t="s">
        <v>328</v>
      </c>
      <c r="Z53">
        <v>900572</v>
      </c>
      <c r="AA53">
        <v>10</v>
      </c>
      <c r="AB53">
        <v>10</v>
      </c>
      <c r="AC53">
        <v>5</v>
      </c>
      <c r="AD53">
        <v>5</v>
      </c>
      <c r="AE53">
        <v>75</v>
      </c>
      <c r="AF53">
        <v>72</v>
      </c>
      <c r="AG53">
        <v>100</v>
      </c>
      <c r="AH53">
        <v>100</v>
      </c>
      <c r="AI53">
        <v>140</v>
      </c>
      <c r="AJ53">
        <v>0</v>
      </c>
      <c r="AK53">
        <v>15</v>
      </c>
      <c r="AL53">
        <v>20</v>
      </c>
      <c r="AM53">
        <v>150</v>
      </c>
      <c r="AN53">
        <v>95</v>
      </c>
      <c r="AO53">
        <v>12</v>
      </c>
      <c r="AP53">
        <v>0</v>
      </c>
      <c r="AQ53">
        <v>2</v>
      </c>
      <c r="AR53">
        <v>15</v>
      </c>
      <c r="AS53">
        <v>500</v>
      </c>
      <c r="AT53">
        <v>5</v>
      </c>
      <c r="AU53" t="s">
        <v>328</v>
      </c>
      <c r="AV53" t="s">
        <v>328</v>
      </c>
      <c r="AW53" t="s">
        <v>328</v>
      </c>
      <c r="AX53" t="s">
        <v>328</v>
      </c>
      <c r="AY53">
        <v>3</v>
      </c>
      <c r="AZ53">
        <v>3045</v>
      </c>
      <c r="BA53">
        <v>20</v>
      </c>
      <c r="BB53" t="s">
        <v>4492</v>
      </c>
      <c r="BC53" t="s">
        <v>1806</v>
      </c>
      <c r="BD53">
        <v>910002</v>
      </c>
      <c r="BE53" t="s">
        <v>4493</v>
      </c>
      <c r="BF53" t="s">
        <v>4494</v>
      </c>
      <c r="BG53">
        <v>80</v>
      </c>
      <c r="BH53">
        <v>0</v>
      </c>
    </row>
    <row r="54" spans="1:60" x14ac:dyDescent="0.25">
      <c r="A54">
        <v>3005</v>
      </c>
      <c r="B54" t="s">
        <v>4682</v>
      </c>
      <c r="C54" t="s">
        <v>1009</v>
      </c>
      <c r="D54" t="s">
        <v>1009</v>
      </c>
      <c r="E54" t="s">
        <v>4683</v>
      </c>
      <c r="G54" t="s">
        <v>4485</v>
      </c>
      <c r="H54" t="s">
        <v>4684</v>
      </c>
      <c r="I54">
        <v>1</v>
      </c>
      <c r="J54">
        <v>3</v>
      </c>
      <c r="K54" t="s">
        <v>972</v>
      </c>
      <c r="L54">
        <v>5</v>
      </c>
      <c r="M54">
        <v>305</v>
      </c>
      <c r="N54" t="s">
        <v>973</v>
      </c>
      <c r="O54">
        <v>4</v>
      </c>
      <c r="P54">
        <v>0</v>
      </c>
      <c r="Q54">
        <v>3</v>
      </c>
      <c r="R54">
        <v>0</v>
      </c>
      <c r="S54">
        <v>1</v>
      </c>
      <c r="T54">
        <v>0</v>
      </c>
      <c r="U54">
        <v>0</v>
      </c>
      <c r="V54">
        <v>900571</v>
      </c>
      <c r="W54" t="s">
        <v>1806</v>
      </c>
      <c r="X54" t="s">
        <v>4499</v>
      </c>
      <c r="Y54" t="s">
        <v>4685</v>
      </c>
      <c r="Z54">
        <v>900570</v>
      </c>
      <c r="AA54">
        <v>10</v>
      </c>
      <c r="AB54">
        <v>10</v>
      </c>
      <c r="AC54">
        <v>5</v>
      </c>
      <c r="AD54">
        <v>5</v>
      </c>
      <c r="AE54">
        <v>80</v>
      </c>
      <c r="AF54">
        <v>80</v>
      </c>
      <c r="AG54">
        <v>115</v>
      </c>
      <c r="AH54">
        <v>50</v>
      </c>
      <c r="AI54">
        <v>45</v>
      </c>
      <c r="AJ54">
        <v>0</v>
      </c>
      <c r="AK54">
        <v>180</v>
      </c>
      <c r="AL54">
        <v>5</v>
      </c>
      <c r="AM54">
        <v>150</v>
      </c>
      <c r="AN54">
        <v>95</v>
      </c>
      <c r="AO54">
        <v>5</v>
      </c>
      <c r="AP54">
        <v>0</v>
      </c>
      <c r="AQ54">
        <v>2</v>
      </c>
      <c r="AR54">
        <v>15</v>
      </c>
      <c r="AS54">
        <v>500</v>
      </c>
      <c r="AT54">
        <v>9</v>
      </c>
      <c r="AU54" t="s">
        <v>328</v>
      </c>
      <c r="AV54" t="s">
        <v>328</v>
      </c>
      <c r="AW54" t="s">
        <v>328</v>
      </c>
      <c r="AX54" t="s">
        <v>328</v>
      </c>
      <c r="AY54">
        <v>29</v>
      </c>
      <c r="AZ54">
        <v>3045</v>
      </c>
      <c r="BA54">
        <v>18</v>
      </c>
      <c r="BB54" t="s">
        <v>4492</v>
      </c>
      <c r="BC54" t="s">
        <v>1806</v>
      </c>
      <c r="BD54">
        <v>910012</v>
      </c>
      <c r="BE54" t="s">
        <v>4493</v>
      </c>
      <c r="BF54" t="s">
        <v>4494</v>
      </c>
      <c r="BG54">
        <v>95</v>
      </c>
      <c r="BH54">
        <v>0</v>
      </c>
    </row>
    <row r="55" spans="1:60" x14ac:dyDescent="0.25">
      <c r="A55">
        <v>3002</v>
      </c>
      <c r="B55" t="s">
        <v>4686</v>
      </c>
      <c r="C55" t="s">
        <v>1006</v>
      </c>
      <c r="D55" t="s">
        <v>1006</v>
      </c>
      <c r="E55" t="s">
        <v>4687</v>
      </c>
      <c r="G55" t="s">
        <v>4485</v>
      </c>
      <c r="H55" t="s">
        <v>4688</v>
      </c>
      <c r="I55">
        <v>1</v>
      </c>
      <c r="J55">
        <v>3</v>
      </c>
      <c r="K55" t="s">
        <v>972</v>
      </c>
      <c r="L55">
        <v>5</v>
      </c>
      <c r="M55">
        <v>302</v>
      </c>
      <c r="N55" t="s">
        <v>973</v>
      </c>
      <c r="O55">
        <v>4</v>
      </c>
      <c r="P55">
        <v>0</v>
      </c>
      <c r="Q55">
        <v>3</v>
      </c>
      <c r="R55">
        <v>0</v>
      </c>
      <c r="S55">
        <v>1</v>
      </c>
      <c r="T55">
        <v>0</v>
      </c>
      <c r="U55">
        <v>0</v>
      </c>
      <c r="V55">
        <v>600601</v>
      </c>
      <c r="W55" t="s">
        <v>1806</v>
      </c>
      <c r="X55" t="s">
        <v>4499</v>
      </c>
      <c r="Y55" t="s">
        <v>328</v>
      </c>
      <c r="Z55">
        <v>600602</v>
      </c>
      <c r="AA55">
        <v>10</v>
      </c>
      <c r="AB55">
        <v>10</v>
      </c>
      <c r="AC55">
        <v>5</v>
      </c>
      <c r="AD55">
        <v>5</v>
      </c>
      <c r="AE55">
        <v>92</v>
      </c>
      <c r="AF55">
        <v>85</v>
      </c>
      <c r="AG55">
        <v>100</v>
      </c>
      <c r="AH55">
        <v>110</v>
      </c>
      <c r="AI55">
        <v>90</v>
      </c>
      <c r="AJ55">
        <v>0</v>
      </c>
      <c r="AK55">
        <v>15</v>
      </c>
      <c r="AL55">
        <v>20</v>
      </c>
      <c r="AM55">
        <v>150</v>
      </c>
      <c r="AN55">
        <v>95</v>
      </c>
      <c r="AO55">
        <v>12</v>
      </c>
      <c r="AP55">
        <v>0</v>
      </c>
      <c r="AQ55">
        <v>2</v>
      </c>
      <c r="AR55">
        <v>15</v>
      </c>
      <c r="AS55">
        <v>500</v>
      </c>
      <c r="AT55">
        <v>7</v>
      </c>
      <c r="AU55" t="s">
        <v>328</v>
      </c>
      <c r="AV55" t="s">
        <v>328</v>
      </c>
      <c r="AW55" t="s">
        <v>328</v>
      </c>
      <c r="AX55" t="s">
        <v>328</v>
      </c>
      <c r="AY55">
        <v>7</v>
      </c>
      <c r="AZ55">
        <v>3045</v>
      </c>
      <c r="BA55">
        <v>15</v>
      </c>
      <c r="BB55" t="s">
        <v>4492</v>
      </c>
      <c r="BC55" t="s">
        <v>1806</v>
      </c>
      <c r="BD55">
        <v>910005</v>
      </c>
      <c r="BE55" t="s">
        <v>4493</v>
      </c>
      <c r="BF55" t="s">
        <v>4494</v>
      </c>
      <c r="BG55">
        <v>100</v>
      </c>
      <c r="BH55">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5">
    <sortCondition ref="J2:J55"/>
    <sortCondition ref="C2:C5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38" t="s">
        <v>25</v>
      </c>
      <c r="B1" s="38" t="s">
        <v>321</v>
      </c>
      <c r="C1" s="38" t="s">
        <v>1076</v>
      </c>
    </row>
    <row r="2" spans="1:3" x14ac:dyDescent="0.25">
      <c r="A2" s="1">
        <v>1001</v>
      </c>
      <c r="B2" t="s">
        <v>1079</v>
      </c>
      <c r="C2" t="s">
        <v>1077</v>
      </c>
    </row>
    <row r="3" spans="1:3" x14ac:dyDescent="0.25">
      <c r="A3" s="1">
        <v>1002</v>
      </c>
      <c r="B3" t="s">
        <v>1075</v>
      </c>
      <c r="C3" t="s">
        <v>1078</v>
      </c>
    </row>
    <row r="4" spans="1:3" x14ac:dyDescent="0.25">
      <c r="A4" s="1">
        <v>1003</v>
      </c>
      <c r="B4" t="s">
        <v>6851</v>
      </c>
      <c r="C4" t="s">
        <v>1082</v>
      </c>
    </row>
    <row r="5" spans="1:3" x14ac:dyDescent="0.25">
      <c r="A5" s="1">
        <v>1004</v>
      </c>
      <c r="B5" t="s">
        <v>6852</v>
      </c>
      <c r="C5" t="s">
        <v>1083</v>
      </c>
    </row>
    <row r="6" spans="1:3" x14ac:dyDescent="0.25">
      <c r="A6" s="1">
        <v>1005</v>
      </c>
      <c r="B6" t="s">
        <v>6853</v>
      </c>
      <c r="C6" t="s">
        <v>1084</v>
      </c>
    </row>
    <row r="7" spans="1:3" x14ac:dyDescent="0.25">
      <c r="A7" s="1">
        <v>2003</v>
      </c>
      <c r="B7" t="s">
        <v>6854</v>
      </c>
      <c r="C7" t="s">
        <v>1085</v>
      </c>
    </row>
    <row r="8" spans="1:3" x14ac:dyDescent="0.25">
      <c r="A8" s="1">
        <v>2004</v>
      </c>
      <c r="B8" t="s">
        <v>6855</v>
      </c>
      <c r="C8" t="s">
        <v>1086</v>
      </c>
    </row>
    <row r="9" spans="1:3" x14ac:dyDescent="0.25">
      <c r="A9" s="1">
        <v>3001</v>
      </c>
      <c r="B9" t="s">
        <v>1080</v>
      </c>
      <c r="C9" t="s">
        <v>1087</v>
      </c>
    </row>
    <row r="10" spans="1:3" x14ac:dyDescent="0.25">
      <c r="A10" s="1">
        <v>3002</v>
      </c>
      <c r="B10" t="s">
        <v>6856</v>
      </c>
      <c r="C10" t="s">
        <v>1088</v>
      </c>
    </row>
    <row r="11" spans="1:3" x14ac:dyDescent="0.25">
      <c r="A11" s="1">
        <v>3003</v>
      </c>
      <c r="B11" t="s">
        <v>6857</v>
      </c>
      <c r="C11" t="s">
        <v>1089</v>
      </c>
    </row>
    <row r="12" spans="1:3" x14ac:dyDescent="0.25">
      <c r="A12" s="1">
        <v>3004</v>
      </c>
      <c r="B12" t="s">
        <v>1081</v>
      </c>
      <c r="C12" t="s">
        <v>1090</v>
      </c>
    </row>
    <row r="13" spans="1:3" x14ac:dyDescent="0.25">
      <c r="A13" s="1">
        <v>3005</v>
      </c>
      <c r="B13" t="s">
        <v>6858</v>
      </c>
      <c r="C13" t="s">
        <v>1091</v>
      </c>
    </row>
    <row r="14" spans="1:3" x14ac:dyDescent="0.25">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5" x14ac:dyDescent="0.25"/>
  <cols>
    <col min="1" max="1" width="10.85546875" style="208" customWidth="1"/>
    <col min="2" max="2" width="28.5703125" bestFit="1" customWidth="1"/>
  </cols>
  <sheetData>
    <row r="1" spans="1:21" x14ac:dyDescent="0.25">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25">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25">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25">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25">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25">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25">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25">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25">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25">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25">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25">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25">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25">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25">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25">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25">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25">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25">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25">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25">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25">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25">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25">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25">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25">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25">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25">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25">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25">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25">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25">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25">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25">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25">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25">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25">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25">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25">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25">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25">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25">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25">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25">
      <c r="A60"/>
    </row>
    <row r="61" spans="1:21" x14ac:dyDescent="0.25">
      <c r="A61"/>
    </row>
    <row r="62" spans="1:21" x14ac:dyDescent="0.25">
      <c r="A62"/>
    </row>
    <row r="63" spans="1:21" x14ac:dyDescent="0.25">
      <c r="A63"/>
    </row>
    <row r="64" spans="1:2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25">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25">
      <c r="A102">
        <v>11001</v>
      </c>
      <c r="B102" t="s">
        <v>9053</v>
      </c>
      <c r="C102">
        <v>11</v>
      </c>
      <c r="D102">
        <v>1</v>
      </c>
      <c r="E102">
        <v>1</v>
      </c>
      <c r="F102">
        <v>20</v>
      </c>
      <c r="G102">
        <v>10</v>
      </c>
      <c r="H102">
        <v>0</v>
      </c>
      <c r="I102">
        <v>0</v>
      </c>
      <c r="J102">
        <v>0</v>
      </c>
      <c r="K102">
        <v>0</v>
      </c>
      <c r="L102">
        <v>0</v>
      </c>
      <c r="M102">
        <v>0</v>
      </c>
      <c r="N102">
        <v>0</v>
      </c>
      <c r="O102">
        <v>3</v>
      </c>
      <c r="P102">
        <v>75</v>
      </c>
      <c r="Q102">
        <v>2</v>
      </c>
    </row>
    <row r="103" spans="1:17" x14ac:dyDescent="0.25">
      <c r="A103">
        <v>11002</v>
      </c>
      <c r="B103" t="s">
        <v>9054</v>
      </c>
      <c r="C103">
        <v>11</v>
      </c>
      <c r="D103">
        <v>1</v>
      </c>
      <c r="E103">
        <v>1</v>
      </c>
      <c r="F103">
        <v>0</v>
      </c>
      <c r="G103">
        <v>0</v>
      </c>
      <c r="H103">
        <v>15</v>
      </c>
      <c r="I103">
        <v>15</v>
      </c>
      <c r="J103">
        <v>0</v>
      </c>
      <c r="K103">
        <v>0</v>
      </c>
      <c r="L103">
        <v>0</v>
      </c>
      <c r="M103">
        <v>0</v>
      </c>
      <c r="N103">
        <v>0</v>
      </c>
      <c r="O103">
        <v>2</v>
      </c>
      <c r="P103">
        <v>50</v>
      </c>
      <c r="Q103">
        <v>2</v>
      </c>
    </row>
    <row r="104" spans="1:17" x14ac:dyDescent="0.25">
      <c r="A104">
        <v>11003</v>
      </c>
      <c r="B104" t="s">
        <v>9055</v>
      </c>
      <c r="C104">
        <v>11</v>
      </c>
      <c r="D104">
        <v>1</v>
      </c>
      <c r="E104">
        <v>1</v>
      </c>
      <c r="F104">
        <v>20</v>
      </c>
      <c r="G104">
        <v>0</v>
      </c>
      <c r="H104">
        <v>0</v>
      </c>
      <c r="I104">
        <v>15</v>
      </c>
      <c r="J104">
        <v>0</v>
      </c>
      <c r="K104">
        <v>0</v>
      </c>
      <c r="L104">
        <v>0</v>
      </c>
      <c r="M104">
        <v>0</v>
      </c>
      <c r="N104">
        <v>0</v>
      </c>
      <c r="O104">
        <v>3</v>
      </c>
      <c r="P104">
        <v>90</v>
      </c>
      <c r="Q104">
        <v>2</v>
      </c>
    </row>
    <row r="105" spans="1:17" x14ac:dyDescent="0.25">
      <c r="A105">
        <v>11004</v>
      </c>
      <c r="B105" t="s">
        <v>9056</v>
      </c>
      <c r="C105">
        <v>11</v>
      </c>
      <c r="D105">
        <v>1</v>
      </c>
      <c r="E105">
        <v>1</v>
      </c>
      <c r="F105">
        <v>20</v>
      </c>
      <c r="G105">
        <v>10</v>
      </c>
      <c r="H105">
        <v>0</v>
      </c>
      <c r="I105">
        <v>0</v>
      </c>
      <c r="J105">
        <v>0</v>
      </c>
      <c r="K105">
        <v>0</v>
      </c>
      <c r="L105">
        <v>0</v>
      </c>
      <c r="M105">
        <v>0</v>
      </c>
      <c r="N105">
        <v>0</v>
      </c>
      <c r="O105">
        <v>4</v>
      </c>
      <c r="P105">
        <v>75</v>
      </c>
      <c r="Q105">
        <v>2</v>
      </c>
    </row>
    <row r="106" spans="1:17" x14ac:dyDescent="0.25">
      <c r="A106">
        <v>11005</v>
      </c>
      <c r="B106" t="s">
        <v>9057</v>
      </c>
      <c r="C106">
        <v>11</v>
      </c>
      <c r="D106">
        <v>1</v>
      </c>
      <c r="E106">
        <v>1</v>
      </c>
      <c r="F106">
        <v>0</v>
      </c>
      <c r="G106">
        <v>0</v>
      </c>
      <c r="H106">
        <v>15</v>
      </c>
      <c r="I106">
        <v>15</v>
      </c>
      <c r="J106">
        <v>0</v>
      </c>
      <c r="K106">
        <v>0</v>
      </c>
      <c r="L106">
        <v>0</v>
      </c>
      <c r="M106">
        <v>0</v>
      </c>
      <c r="N106">
        <v>0</v>
      </c>
      <c r="O106">
        <v>3</v>
      </c>
      <c r="P106">
        <v>90</v>
      </c>
      <c r="Q106">
        <v>2</v>
      </c>
    </row>
    <row r="107" spans="1:17" x14ac:dyDescent="0.25">
      <c r="A107">
        <v>11006</v>
      </c>
      <c r="B107" t="s">
        <v>9058</v>
      </c>
      <c r="C107">
        <v>11</v>
      </c>
      <c r="D107">
        <v>1</v>
      </c>
      <c r="E107">
        <v>1</v>
      </c>
      <c r="F107">
        <v>0</v>
      </c>
      <c r="G107">
        <v>10</v>
      </c>
      <c r="H107">
        <v>0</v>
      </c>
      <c r="I107">
        <v>15</v>
      </c>
      <c r="J107">
        <v>0</v>
      </c>
      <c r="K107">
        <v>0</v>
      </c>
      <c r="L107">
        <v>0</v>
      </c>
      <c r="M107">
        <v>0</v>
      </c>
      <c r="N107">
        <v>0</v>
      </c>
      <c r="O107">
        <v>3</v>
      </c>
      <c r="P107">
        <v>90</v>
      </c>
      <c r="Q107">
        <v>2</v>
      </c>
    </row>
    <row r="108" spans="1:17" x14ac:dyDescent="0.25">
      <c r="A108">
        <v>11007</v>
      </c>
      <c r="B108" t="s">
        <v>9059</v>
      </c>
      <c r="C108">
        <v>11</v>
      </c>
      <c r="D108">
        <v>1</v>
      </c>
      <c r="E108">
        <v>1</v>
      </c>
      <c r="F108">
        <v>20</v>
      </c>
      <c r="G108">
        <v>10</v>
      </c>
      <c r="H108">
        <v>0</v>
      </c>
      <c r="I108">
        <v>0</v>
      </c>
      <c r="J108">
        <v>0</v>
      </c>
      <c r="K108">
        <v>0</v>
      </c>
      <c r="L108">
        <v>0</v>
      </c>
      <c r="M108">
        <v>0</v>
      </c>
      <c r="N108">
        <v>0</v>
      </c>
      <c r="O108">
        <v>3</v>
      </c>
      <c r="P108">
        <v>130</v>
      </c>
      <c r="Q108">
        <v>2</v>
      </c>
    </row>
    <row r="109" spans="1:17" x14ac:dyDescent="0.25">
      <c r="A109">
        <v>11008</v>
      </c>
      <c r="B109" t="s">
        <v>9060</v>
      </c>
      <c r="C109">
        <v>11</v>
      </c>
      <c r="D109">
        <v>1</v>
      </c>
      <c r="E109">
        <v>1</v>
      </c>
      <c r="F109">
        <v>20</v>
      </c>
      <c r="G109">
        <v>0</v>
      </c>
      <c r="H109">
        <v>15</v>
      </c>
      <c r="I109">
        <v>0</v>
      </c>
      <c r="J109">
        <v>0</v>
      </c>
      <c r="K109">
        <v>0</v>
      </c>
      <c r="L109">
        <v>0</v>
      </c>
      <c r="M109">
        <v>0</v>
      </c>
      <c r="N109">
        <v>0</v>
      </c>
      <c r="O109">
        <v>3</v>
      </c>
      <c r="P109">
        <v>90</v>
      </c>
      <c r="Q109">
        <v>2</v>
      </c>
    </row>
    <row r="110" spans="1:17" x14ac:dyDescent="0.25">
      <c r="A110">
        <v>11009</v>
      </c>
      <c r="B110" t="s">
        <v>9061</v>
      </c>
      <c r="C110">
        <v>11</v>
      </c>
      <c r="D110">
        <v>1</v>
      </c>
      <c r="E110">
        <v>1</v>
      </c>
      <c r="F110">
        <v>0</v>
      </c>
      <c r="G110">
        <v>0</v>
      </c>
      <c r="H110">
        <v>20</v>
      </c>
      <c r="I110">
        <v>10</v>
      </c>
      <c r="J110">
        <v>0</v>
      </c>
      <c r="K110">
        <v>0</v>
      </c>
      <c r="L110">
        <v>0</v>
      </c>
      <c r="M110">
        <v>0</v>
      </c>
      <c r="N110">
        <v>0</v>
      </c>
      <c r="O110">
        <v>4</v>
      </c>
      <c r="P110">
        <v>50</v>
      </c>
      <c r="Q110">
        <v>2</v>
      </c>
    </row>
    <row r="111" spans="1:17" x14ac:dyDescent="0.25">
      <c r="A111">
        <v>11010</v>
      </c>
      <c r="B111" t="s">
        <v>9062</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6"/>
  <sheetViews>
    <sheetView workbookViewId="0">
      <pane ySplit="1" topLeftCell="A301" activePane="bottomLeft" state="frozen"/>
      <selection pane="bottomLeft" activeCell="A316" sqref="A316"/>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25">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25">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25">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25">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25">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25">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40625" defaultRowHeight="15" x14ac:dyDescent="0.25"/>
  <cols>
    <col min="1" max="3" width="11.7109375" style="35" bestFit="1" customWidth="1"/>
    <col min="4" max="4" width="9.140625" style="35"/>
    <col min="5" max="7" width="11.7109375" style="35" bestFit="1" customWidth="1"/>
    <col min="8" max="8" width="9.140625" style="35"/>
    <col min="9" max="11" width="11.7109375" style="35" bestFit="1" customWidth="1"/>
    <col min="12" max="12" width="9.140625" style="35"/>
    <col min="13" max="15" width="11.7109375" style="35" bestFit="1" customWidth="1"/>
    <col min="16" max="24" width="9.140625" style="35"/>
    <col min="25" max="25" width="11.7109375" style="35" bestFit="1" customWidth="1"/>
    <col min="26" max="27" width="9.140625" style="35"/>
    <col min="28" max="28" width="14.28515625" style="35" bestFit="1" customWidth="1"/>
    <col min="29" max="16384" width="9.140625" style="35"/>
  </cols>
  <sheetData>
    <row r="1" spans="1:40" x14ac:dyDescent="0.25">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25">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25">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25">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25">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25">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25">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25">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25">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25">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25">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25">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25">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25">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25">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25">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25">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25">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25">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25">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25">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25">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25">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25">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25">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25">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25">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25">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25">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25">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25">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25">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25">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25">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25">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25">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25">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25">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25">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25">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25">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25">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25">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25">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25">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25">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25">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25">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25">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25">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25">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25">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25">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25">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25">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25">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25">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25">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25">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25">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25">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25">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25">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25">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25">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25">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25">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25">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25">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25">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25">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25">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25">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25">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25">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25">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25">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25">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25">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25">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25">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25">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25">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25">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25">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25">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25">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25">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25">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25">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25">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25">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25">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25">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25">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25">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25">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25">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25">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25">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25">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25">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25">
      <c r="A103" s="42">
        <v>101</v>
      </c>
      <c r="B103" s="39">
        <v>100000</v>
      </c>
      <c r="C103" s="90">
        <f t="shared" si="5"/>
        <v>3363300</v>
      </c>
    </row>
    <row r="104" spans="1:119" x14ac:dyDescent="0.25">
      <c r="A104" s="42">
        <v>102</v>
      </c>
      <c r="B104" s="39">
        <v>120000</v>
      </c>
      <c r="C104" s="90">
        <f t="shared" si="5"/>
        <v>3483300</v>
      </c>
    </row>
    <row r="105" spans="1:119" x14ac:dyDescent="0.25">
      <c r="A105" s="42">
        <v>103</v>
      </c>
      <c r="B105" s="39">
        <v>140000</v>
      </c>
      <c r="C105" s="90">
        <f t="shared" si="5"/>
        <v>3623300</v>
      </c>
    </row>
    <row r="106" spans="1:119" x14ac:dyDescent="0.25">
      <c r="A106" s="42">
        <v>104</v>
      </c>
      <c r="B106" s="39">
        <v>160000</v>
      </c>
      <c r="C106" s="90">
        <f t="shared" si="5"/>
        <v>3783300</v>
      </c>
    </row>
    <row r="107" spans="1:119" x14ac:dyDescent="0.25">
      <c r="A107" s="42">
        <v>105</v>
      </c>
      <c r="B107" s="39">
        <v>180000</v>
      </c>
      <c r="C107" s="90">
        <f t="shared" si="5"/>
        <v>3963300</v>
      </c>
    </row>
    <row r="108" spans="1:119" x14ac:dyDescent="0.25">
      <c r="A108" s="42">
        <v>106</v>
      </c>
      <c r="B108" s="39">
        <v>200000</v>
      </c>
      <c r="C108" s="90">
        <f t="shared" si="5"/>
        <v>4163300</v>
      </c>
      <c r="T108" s="83"/>
    </row>
    <row r="109" spans="1:119" x14ac:dyDescent="0.25">
      <c r="A109" s="42">
        <v>107</v>
      </c>
      <c r="B109" s="39">
        <v>220000</v>
      </c>
      <c r="C109" s="90">
        <f t="shared" si="5"/>
        <v>4383300</v>
      </c>
    </row>
    <row r="110" spans="1:119" x14ac:dyDescent="0.25">
      <c r="A110" s="42">
        <v>108</v>
      </c>
      <c r="B110" s="39">
        <v>240000</v>
      </c>
      <c r="C110" s="90">
        <f t="shared" si="5"/>
        <v>4623300</v>
      </c>
      <c r="T110" s="83"/>
      <c r="DO110" s="35" t="s">
        <v>772</v>
      </c>
    </row>
    <row r="111" spans="1:119" x14ac:dyDescent="0.25">
      <c r="A111" s="42">
        <v>109</v>
      </c>
      <c r="B111" s="39">
        <v>280000</v>
      </c>
      <c r="C111" s="90">
        <f t="shared" si="5"/>
        <v>4903300</v>
      </c>
    </row>
    <row r="112" spans="1:119" x14ac:dyDescent="0.25">
      <c r="A112" s="42">
        <v>110</v>
      </c>
      <c r="B112" s="39">
        <v>360000</v>
      </c>
      <c r="C112" s="90">
        <f t="shared" si="5"/>
        <v>5263300</v>
      </c>
    </row>
    <row r="113" spans="1:3" x14ac:dyDescent="0.25">
      <c r="A113" s="42">
        <v>111</v>
      </c>
      <c r="B113" s="39">
        <v>480000</v>
      </c>
      <c r="C113" s="90">
        <f t="shared" si="5"/>
        <v>5743300</v>
      </c>
    </row>
    <row r="114" spans="1:3" x14ac:dyDescent="0.25">
      <c r="A114" s="42">
        <v>112</v>
      </c>
      <c r="B114" s="39">
        <v>640000</v>
      </c>
      <c r="C114" s="90">
        <f t="shared" si="5"/>
        <v>6383300</v>
      </c>
    </row>
    <row r="115" spans="1:3" x14ac:dyDescent="0.25">
      <c r="A115" s="42">
        <v>113</v>
      </c>
      <c r="B115" s="39">
        <v>900000</v>
      </c>
      <c r="C115" s="90">
        <f t="shared" si="5"/>
        <v>7283300</v>
      </c>
    </row>
    <row r="116" spans="1:3" x14ac:dyDescent="0.25">
      <c r="A116" s="42">
        <v>114</v>
      </c>
      <c r="B116" s="39">
        <v>1200000</v>
      </c>
      <c r="C116" s="90">
        <f t="shared" si="5"/>
        <v>8483300</v>
      </c>
    </row>
    <row r="117" spans="1:3" x14ac:dyDescent="0.25">
      <c r="A117" s="42">
        <v>115</v>
      </c>
      <c r="B117" s="39">
        <v>1600000</v>
      </c>
      <c r="C117" s="90">
        <f t="shared" si="5"/>
        <v>10083300</v>
      </c>
    </row>
    <row r="118" spans="1:3" x14ac:dyDescent="0.25">
      <c r="A118" s="42">
        <v>116</v>
      </c>
      <c r="B118" s="39">
        <v>2200000</v>
      </c>
      <c r="C118" s="90">
        <f t="shared" si="5"/>
        <v>12283300</v>
      </c>
    </row>
    <row r="119" spans="1:3" x14ac:dyDescent="0.25">
      <c r="A119" s="42">
        <v>117</v>
      </c>
      <c r="B119" s="39">
        <v>3000000</v>
      </c>
      <c r="C119" s="90">
        <f t="shared" si="5"/>
        <v>15283300</v>
      </c>
    </row>
    <row r="120" spans="1:3" x14ac:dyDescent="0.25">
      <c r="A120" s="42">
        <v>118</v>
      </c>
      <c r="B120" s="39">
        <v>4000000</v>
      </c>
      <c r="C120" s="90">
        <f t="shared" si="5"/>
        <v>19283300</v>
      </c>
    </row>
    <row r="121" spans="1:3" x14ac:dyDescent="0.25">
      <c r="A121" s="42">
        <v>119</v>
      </c>
      <c r="B121" s="39">
        <v>5000000</v>
      </c>
      <c r="C121" s="90">
        <f t="shared" si="5"/>
        <v>24283300</v>
      </c>
    </row>
    <row r="122" spans="1:3" x14ac:dyDescent="0.25">
      <c r="A122" s="43">
        <v>120</v>
      </c>
      <c r="B122" s="40">
        <v>6000000</v>
      </c>
      <c r="C122" s="43">
        <f t="shared" si="5"/>
        <v>30283300</v>
      </c>
    </row>
    <row r="123" spans="1:3" x14ac:dyDescent="0.25">
      <c r="A123" s="36"/>
    </row>
    <row r="126" spans="1:3" x14ac:dyDescent="0.25">
      <c r="A126" s="36"/>
    </row>
    <row r="127" spans="1:3" x14ac:dyDescent="0.25">
      <c r="A127" s="36"/>
    </row>
    <row r="130" spans="1:1" x14ac:dyDescent="0.25">
      <c r="A130" s="36"/>
    </row>
    <row r="131" spans="1:1" x14ac:dyDescent="0.25">
      <c r="A131" s="36"/>
    </row>
    <row r="134" spans="1:1" x14ac:dyDescent="0.25">
      <c r="A134" s="36"/>
    </row>
    <row r="135" spans="1:1" x14ac:dyDescent="0.25">
      <c r="A135" s="36"/>
    </row>
    <row r="138" spans="1:1" x14ac:dyDescent="0.25">
      <c r="A138" s="36"/>
    </row>
    <row r="139" spans="1:1" x14ac:dyDescent="0.25">
      <c r="A139" s="36"/>
    </row>
    <row r="143" spans="1:1" x14ac:dyDescent="0.25">
      <c r="A143" s="36"/>
    </row>
    <row r="144" spans="1:1" x14ac:dyDescent="0.25">
      <c r="A144" s="36"/>
    </row>
    <row r="147" spans="1:1" x14ac:dyDescent="0.25">
      <c r="A147" s="36"/>
    </row>
    <row r="148" spans="1:1" x14ac:dyDescent="0.25">
      <c r="A148" s="36"/>
    </row>
    <row r="151" spans="1:1" x14ac:dyDescent="0.25">
      <c r="A151" s="36"/>
    </row>
    <row r="152" spans="1:1" x14ac:dyDescent="0.25">
      <c r="A152" s="36"/>
    </row>
    <row r="155" spans="1:1" x14ac:dyDescent="0.25">
      <c r="A155" s="36"/>
    </row>
    <row r="156" spans="1:1" x14ac:dyDescent="0.25">
      <c r="A156" s="36"/>
    </row>
    <row r="159" spans="1:1" x14ac:dyDescent="0.25">
      <c r="A159" s="36"/>
    </row>
    <row r="160" spans="1:1" x14ac:dyDescent="0.25">
      <c r="A160" s="36"/>
    </row>
    <row r="164" spans="1:1" x14ac:dyDescent="0.25">
      <c r="A164" s="36"/>
    </row>
    <row r="165" spans="1:1" x14ac:dyDescent="0.25">
      <c r="A165" s="36"/>
    </row>
    <row r="168" spans="1:1" x14ac:dyDescent="0.25">
      <c r="A168" s="36"/>
    </row>
    <row r="169" spans="1:1" x14ac:dyDescent="0.25">
      <c r="A169" s="36"/>
    </row>
    <row r="172" spans="1:1" x14ac:dyDescent="0.25">
      <c r="A172" s="36"/>
    </row>
    <row r="173" spans="1:1" x14ac:dyDescent="0.25">
      <c r="A173" s="36"/>
    </row>
    <row r="176" spans="1:1" x14ac:dyDescent="0.25">
      <c r="A176" s="36"/>
    </row>
    <row r="177" spans="1:1" x14ac:dyDescent="0.25">
      <c r="A177" s="36"/>
    </row>
    <row r="180" spans="1:1" x14ac:dyDescent="0.25">
      <c r="A180" s="36"/>
    </row>
    <row r="181" spans="1:1" x14ac:dyDescent="0.25">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5" x14ac:dyDescent="0.25"/>
  <cols>
    <col min="2" max="2" width="12.140625" customWidth="1"/>
  </cols>
  <sheetData>
    <row r="2" spans="2:13" x14ac:dyDescent="0.25">
      <c r="B2" s="10" t="s">
        <v>781</v>
      </c>
    </row>
    <row r="3" spans="2:13" x14ac:dyDescent="0.25">
      <c r="B3" s="41">
        <v>9</v>
      </c>
      <c r="C3" s="41">
        <v>14</v>
      </c>
      <c r="D3" s="50">
        <v>19</v>
      </c>
    </row>
    <row r="4" spans="2:13" x14ac:dyDescent="0.25">
      <c r="B4" s="41">
        <v>8</v>
      </c>
      <c r="C4" s="41">
        <v>13</v>
      </c>
      <c r="D4" s="50">
        <v>18</v>
      </c>
    </row>
    <row r="5" spans="2:13" x14ac:dyDescent="0.25">
      <c r="B5" s="41">
        <v>7</v>
      </c>
      <c r="C5" s="41">
        <v>12</v>
      </c>
      <c r="D5" s="50">
        <v>17</v>
      </c>
    </row>
    <row r="7" spans="2:13" x14ac:dyDescent="0.25">
      <c r="B7" s="10" t="s">
        <v>6595</v>
      </c>
    </row>
    <row r="8" spans="2:13" x14ac:dyDescent="0.25">
      <c r="B8" t="s">
        <v>951</v>
      </c>
      <c r="C8" t="s">
        <v>952</v>
      </c>
      <c r="G8" s="116" t="s">
        <v>938</v>
      </c>
      <c r="H8" s="117" t="s">
        <v>939</v>
      </c>
      <c r="J8" t="s">
        <v>6598</v>
      </c>
      <c r="L8" s="116" t="s">
        <v>6589</v>
      </c>
      <c r="M8" s="117" t="s">
        <v>939</v>
      </c>
    </row>
    <row r="9" spans="2:13" x14ac:dyDescent="0.25">
      <c r="B9" t="s">
        <v>946</v>
      </c>
      <c r="C9" t="s">
        <v>6336</v>
      </c>
      <c r="G9" s="118" t="str">
        <f>IFERROR(INDEX('Strat Buff Data'!B:B,MATCH(Main!$B126,'Strat Buff Data'!$A:$A,0)),"N/A")</f>
        <v>N/A</v>
      </c>
      <c r="H9" s="119" t="str">
        <f>IFERROR(INDEX('Strat Buff Data'!C:C,MATCH(Main!$B126,'Strat Buff Data'!$A:$A,0)),"N/A")</f>
        <v>N/A</v>
      </c>
      <c r="J9" t="s">
        <v>6599</v>
      </c>
      <c r="K9" s="1"/>
      <c r="L9" s="118" t="str">
        <f>IFERROR(INDEX('Strat Buff Data'!F:F,MATCH(Main!$D126,'Strat Buff Data'!$E:$E,0)),"N/A")</f>
        <v>N/A</v>
      </c>
      <c r="M9" s="119" t="str">
        <f>IFERROR(INDEX('Strat Buff Data'!G:G,MATCH(Main!$D126,'Strat Buff Data'!$E:$E,0)),"N/A")</f>
        <v>N/A</v>
      </c>
    </row>
    <row r="10" spans="2:13" x14ac:dyDescent="0.25">
      <c r="B10" t="s">
        <v>947</v>
      </c>
      <c r="C10" t="s">
        <v>6337</v>
      </c>
      <c r="G10" s="118" t="str">
        <f>IFERROR(INDEX('Strat Buff Data'!B:B,MATCH(Main!$B127,'Strat Buff Data'!$A:$A,0)),"N/A")</f>
        <v>N/A</v>
      </c>
      <c r="H10" s="119" t="str">
        <f>IFERROR(INDEX('Strat Buff Data'!C:C,MATCH(Main!$B127,'Strat Buff Data'!$A:$A,0)),"N/A")</f>
        <v>N/A</v>
      </c>
      <c r="J10" t="s">
        <v>6600</v>
      </c>
      <c r="K10" s="1"/>
      <c r="L10" s="118" t="str">
        <f>IFERROR(INDEX('Strat Buff Data'!F:F,MATCH(Main!$D127,'Strat Buff Data'!$E:$E,0)),"N/A")</f>
        <v>N/A</v>
      </c>
      <c r="M10" s="119" t="str">
        <f>IFERROR(INDEX('Strat Buff Data'!G:G,MATCH(Main!$D127,'Strat Buff Data'!$E:$E,0)),"N/A")</f>
        <v>N/A</v>
      </c>
    </row>
    <row r="11" spans="2:13" x14ac:dyDescent="0.25">
      <c r="B11" t="s">
        <v>948</v>
      </c>
      <c r="C11" t="s">
        <v>6338</v>
      </c>
      <c r="G11" s="120" t="str">
        <f>IFERROR(INDEX('Strat Buff Data'!B:B,MATCH(Main!$B128,'Strat Buff Data'!$A:$A,0)),"N/A")</f>
        <v>N/A</v>
      </c>
      <c r="H11" s="121" t="str">
        <f>IFERROR(INDEX('Strat Buff Data'!C:C,MATCH(Main!$B128,'Strat Buff Data'!$A:$A,0)),"N/A")</f>
        <v>N/A</v>
      </c>
      <c r="J11" t="s">
        <v>6601</v>
      </c>
      <c r="L11" s="120" t="str">
        <f>IFERROR(INDEX('Strat Buff Data'!F:F,MATCH(Main!$D128,'Strat Buff Data'!$E:$E,0)),"N/A")</f>
        <v>N/A</v>
      </c>
      <c r="M11" s="121" t="str">
        <f>IFERROR(INDEX('Strat Buff Data'!G:G,MATCH(Main!$D128,'Strat Buff Data'!$E:$E,0)),"N/A")</f>
        <v>N/A</v>
      </c>
    </row>
    <row r="13" spans="2:13" x14ac:dyDescent="0.25">
      <c r="B13" s="10" t="s">
        <v>6596</v>
      </c>
    </row>
    <row r="14" spans="2:13" x14ac:dyDescent="0.25">
      <c r="B14" t="s">
        <v>949</v>
      </c>
      <c r="C14" t="str">
        <f>INDEX($C$8:$C$11,COUNTA(Main!$B$126:$B$128)+1)</f>
        <v>"fairy_skill_on_team": "[]",</v>
      </c>
      <c r="K14" s="1"/>
    </row>
    <row r="15" spans="2:13" x14ac:dyDescent="0.25">
      <c r="B15" t="s">
        <v>943</v>
      </c>
      <c r="C15" t="str">
        <f>SUBSTITUTE(SUBSTITUTE(SUBSTITUTE(C14,"buff1",StratBuff1),"buff2",StratBuff2),"buff3",StratBuff3)</f>
        <v>"fairy_skill_on_team": "[]",</v>
      </c>
      <c r="K15" s="1"/>
    </row>
    <row r="16" spans="2:13" x14ac:dyDescent="0.25">
      <c r="B16" t="s">
        <v>944</v>
      </c>
      <c r="C16" t="str">
        <f>SUBSTITUTE(SUBSTITUTE(SUBSTITUTE(C15,"config1",StratConfig1),"config2",StratConfig2),"config3",StratConfig3)</f>
        <v>"fairy_skill_on_team": "[]",</v>
      </c>
      <c r="I16" s="9"/>
      <c r="J16" s="9"/>
      <c r="K16" s="1"/>
    </row>
    <row r="17" spans="2:11" x14ac:dyDescent="0.25">
      <c r="B17" s="9" t="s">
        <v>950</v>
      </c>
      <c r="C17" t="str">
        <f>SUBSTITUTE(SUBSTITUTE(SUBSTITUTE(C16,"skill1",IF(ISBLANK(StratSL1),"",TEXT(StratSL1,"00"))),"skill2",IF(ISBLANK(StratSL2),"",TEXT(StratSL2,"00"))),"skill3",IF(ISBLANK(StratSL3),"",TEXT(StratSL3,"00")))</f>
        <v>"fairy_skill_on_team": "[]",</v>
      </c>
      <c r="I17" s="9"/>
      <c r="J17" s="1"/>
      <c r="K17" s="1"/>
    </row>
    <row r="18" spans="2:11" x14ac:dyDescent="0.25">
      <c r="B18" s="9" t="s">
        <v>773</v>
      </c>
      <c r="C18" s="9" t="str">
        <f>SUBSTITUTE(C17,"turnnum",TurnNum)</f>
        <v>"fairy_skill_on_team": "[]",</v>
      </c>
    </row>
    <row r="20" spans="2:11" x14ac:dyDescent="0.25">
      <c r="B20" s="84" t="s">
        <v>6597</v>
      </c>
    </row>
    <row r="21" spans="2:11" x14ac:dyDescent="0.25">
      <c r="B21" t="s">
        <v>949</v>
      </c>
      <c r="C21" t="str">
        <f>INDEX($J$8:$J$11,COUNTA(Main!$D$126:$D$128)+1)</f>
        <v>"fairy_skill_on_enemy":"[]",</v>
      </c>
    </row>
    <row r="22" spans="2:11" x14ac:dyDescent="0.25">
      <c r="B22" t="s">
        <v>943</v>
      </c>
      <c r="C22" t="str">
        <f>SUBSTITUTE(SUBSTITUTE(SUBSTITUTE(C21,"buff1",Debuff1),"buff2",Debuff2),"buff3",Debuff3)</f>
        <v>"fairy_skill_on_enemy":"[]",</v>
      </c>
    </row>
    <row r="23" spans="2:11" x14ac:dyDescent="0.25">
      <c r="B23" t="s">
        <v>944</v>
      </c>
      <c r="C23" t="str">
        <f>SUBSTITUTE(SUBSTITUTE(SUBSTITUTE(C22,"config1",DebuffConfig1),"config2",DebuffConfig2),"config3",DebuffConfig3)</f>
        <v>"fairy_skill_on_enemy":"[]",</v>
      </c>
    </row>
    <row r="24" spans="2:11" x14ac:dyDescent="0.25">
      <c r="B24" s="9" t="s">
        <v>950</v>
      </c>
      <c r="C24" t="str">
        <f>SUBSTITUTE(SUBSTITUTE(SUBSTITUTE(C23,"skill1",IF(ISBLANK(DebuffSL1),"",TEXT(DebuffSL1,"00"))),"skill2",IF(ISBLANK(DebuffSL2),"",TEXT(DebufftSL2,"00"))),"skill3",IF(ISBLANK(DebuffSL3),"",TEXT(DebuffSL3,"00")))</f>
        <v>"fairy_skill_on_enemy":"[]",</v>
      </c>
    </row>
    <row r="25" spans="2:11" x14ac:dyDescent="0.25">
      <c r="B25" s="9" t="s">
        <v>773</v>
      </c>
      <c r="C25" s="9" t="str">
        <f>SUBSTITUTE(C24,"turnnum",TurnNum)</f>
        <v>"fairy_skill_on_enemy":"[]",</v>
      </c>
    </row>
    <row r="26" spans="2:11" x14ac:dyDescent="0.25">
      <c r="B26" s="9"/>
      <c r="C26" s="9"/>
    </row>
    <row r="27" spans="2:11" x14ac:dyDescent="0.25">
      <c r="B27" s="84" t="s">
        <v>7093</v>
      </c>
      <c r="C27" s="9"/>
    </row>
    <row r="28" spans="2:11" x14ac:dyDescent="0.25">
      <c r="B28" s="9" t="s">
        <v>949</v>
      </c>
      <c r="C28" t="str">
        <f>INDEX($F$28:$F$31,COUNTA(Main!$F$126:$F$128)+1)</f>
        <v>"building_info": "{}",</v>
      </c>
      <c r="F28" t="s">
        <v>7095</v>
      </c>
    </row>
    <row r="29" spans="2:11" x14ac:dyDescent="0.25">
      <c r="B29" s="9" t="s">
        <v>7096</v>
      </c>
      <c r="C29" t="str">
        <f>SUBSTITUTE(SUBSTITUTE(C28,"building1",Main!F126),"spot1",Main!G126)</f>
        <v>"building_info": "{}",</v>
      </c>
      <c r="F29" s="9" t="s">
        <v>7099</v>
      </c>
    </row>
    <row r="30" spans="2:11" x14ac:dyDescent="0.25">
      <c r="B30" s="9" t="s">
        <v>7097</v>
      </c>
      <c r="C30" t="str">
        <f>SUBSTITUTE(SUBSTITUTE(C29,"building2",Main!F127),"spot2",Main!G127)</f>
        <v>"building_info": "{}",</v>
      </c>
      <c r="F30" s="9" t="s">
        <v>7100</v>
      </c>
    </row>
    <row r="31" spans="2:11" x14ac:dyDescent="0.25">
      <c r="B31" s="9" t="s">
        <v>7098</v>
      </c>
      <c r="C31" t="str">
        <f>SUBSTITUTE(SUBSTITUTE(C30,"building3",Main!F128),"spot3",Main!G128)</f>
        <v>"building_info": "{}",</v>
      </c>
      <c r="F31" s="9" t="s">
        <v>7101</v>
      </c>
    </row>
    <row r="33" spans="2:6" x14ac:dyDescent="0.25">
      <c r="B33" s="84" t="s">
        <v>8549</v>
      </c>
    </row>
    <row r="34" spans="2:6" x14ac:dyDescent="0.25">
      <c r="B34" s="9" t="s">
        <v>949</v>
      </c>
      <c r="C34" t="str">
        <f>INDEX($F$34:$F$37,COUNTA(Main!$H$126:$H$128)+1)</f>
        <v>"ally_instance_info": "[]",</v>
      </c>
      <c r="F34" t="s">
        <v>8553</v>
      </c>
    </row>
    <row r="35" spans="2:6" x14ac:dyDescent="0.25">
      <c r="B35" s="9" t="s">
        <v>8550</v>
      </c>
      <c r="C35" t="str">
        <f>SUBSTITUTE(C34,"ally1",Main!H126)</f>
        <v>"ally_instance_info": "[]",</v>
      </c>
      <c r="F35" t="s">
        <v>8554</v>
      </c>
    </row>
    <row r="36" spans="2:6" x14ac:dyDescent="0.25">
      <c r="B36" s="9" t="s">
        <v>8551</v>
      </c>
      <c r="C36" t="str">
        <f>SUBSTITUTE(C35,"ally2",Main!H127)</f>
        <v>"ally_instance_info": "[]",</v>
      </c>
      <c r="F36" t="s">
        <v>8555</v>
      </c>
    </row>
    <row r="37" spans="2:6" x14ac:dyDescent="0.25">
      <c r="B37" s="9" t="s">
        <v>8552</v>
      </c>
      <c r="C37" t="str">
        <f>SUBSTITUTE(C36,"ally3",Main!H128)</f>
        <v>"ally_instance_info": "[]",</v>
      </c>
      <c r="F37" t="s">
        <v>8556</v>
      </c>
    </row>
    <row r="38" spans="2:6" x14ac:dyDescent="0.25">
      <c r="B38" s="9"/>
    </row>
    <row r="39" spans="2:6" x14ac:dyDescent="0.25">
      <c r="B39" s="131" t="s">
        <v>854</v>
      </c>
      <c r="C39" s="132"/>
    </row>
    <row r="40" spans="2:6" x14ac:dyDescent="0.25">
      <c r="B40" s="35" t="s">
        <v>6445</v>
      </c>
      <c r="C40" s="130" t="str">
        <f ca="1">LEFT(CELL("filename",Main!$A$1),FIND("[",CELL("filename",Main!$A$1))-1)</f>
        <v>C:\Users\danny\Documents\GitHub\GFLBattleSim-JSONGenerator\</v>
      </c>
    </row>
    <row r="41" spans="2:6" x14ac:dyDescent="0.25">
      <c r="B41" s="35" t="s">
        <v>6446</v>
      </c>
      <c r="C41" s="132" t="e">
        <f>RIGHT(D41,LEN(D41)-LEN("file:///")-1)</f>
        <v>#VALUE!</v>
      </c>
      <c r="D41" s="1" t="e">
        <f>LEFT(E41,FIND("@",SUBSTITUTE(E41,"/","@",LEN(E41)-LEN(SUBSTITUTE(E41,"/",""))),1))</f>
        <v>#VALUE!</v>
      </c>
      <c r="E41" s="1"/>
    </row>
    <row r="42" spans="2:6" x14ac:dyDescent="0.25">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25">
      <c r="B43" s="35"/>
      <c r="C43" s="132"/>
      <c r="D43" s="1"/>
      <c r="E43" s="1"/>
    </row>
    <row r="44" spans="2:6" x14ac:dyDescent="0.25">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25">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25">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25">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25">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25">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25">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25">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25">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25">
      <c r="B53" s="35" t="s">
        <v>783</v>
      </c>
      <c r="C53" s="130" t="str">
        <f t="shared" ca="1" si="0"/>
        <v>C:\Users\danny\Documents\GitHub\GFLBattleSim-JSONGenerator\GFBattleSimulator.json</v>
      </c>
      <c r="D53" t="s">
        <v>6563</v>
      </c>
      <c r="E53" s="130" t="str">
        <f>"GFBattleSimulator.json"</f>
        <v>GFBattleSimulator.json</v>
      </c>
    </row>
    <row r="54" spans="2:5" x14ac:dyDescent="0.25">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25">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25">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25">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25">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25">
      <c r="B60" s="10" t="s">
        <v>5508</v>
      </c>
    </row>
    <row r="61" spans="2:5" x14ac:dyDescent="0.25">
      <c r="B61" t="s">
        <v>769</v>
      </c>
      <c r="C61" t="s">
        <v>5777</v>
      </c>
    </row>
    <row r="62" spans="2:5" x14ac:dyDescent="0.25">
      <c r="B62" t="s">
        <v>770</v>
      </c>
      <c r="C62" t="s">
        <v>5631</v>
      </c>
    </row>
    <row r="63" spans="2:5" x14ac:dyDescent="0.25">
      <c r="B63" t="s">
        <v>6341</v>
      </c>
      <c r="C63" t="s">
        <v>6362</v>
      </c>
    </row>
    <row r="64" spans="2:5" x14ac:dyDescent="0.25">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H1" workbookViewId="0">
      <pane ySplit="1" topLeftCell="A276" activePane="bottomLeft" state="frozen"/>
      <selection activeCell="AV2" sqref="AV2:AV306"/>
      <selection pane="bottomLeft" activeCell="AV2" sqref="AV2:AV306"/>
    </sheetView>
  </sheetViews>
  <sheetFormatPr defaultRowHeight="15" x14ac:dyDescent="0.25"/>
  <cols>
    <col min="1" max="1" width="9.5703125" bestFit="1" customWidth="1"/>
    <col min="10" max="10" width="13.85546875" bestFit="1" customWidth="1"/>
    <col min="33" max="33" width="2.85546875" style="37" customWidth="1"/>
    <col min="49" max="49" width="2.85546875" style="37" customWidth="1"/>
    <col min="72" max="72" width="2.85546875" style="37" customWidth="1"/>
  </cols>
  <sheetData>
    <row r="1" spans="1:73" x14ac:dyDescent="0.25">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25">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25">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25">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25">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25">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25">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25">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25">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25">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25">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25">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25">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25">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25">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25">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25">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25">
      <c r="A18" s="9"/>
      <c r="C18" s="9"/>
      <c r="D18" s="9" t="s">
        <v>1650</v>
      </c>
      <c r="E18" s="9" t="s">
        <v>6466</v>
      </c>
      <c r="F18" t="s">
        <v>6642</v>
      </c>
      <c r="G18" s="9"/>
      <c r="I18" s="9" t="s">
        <v>181</v>
      </c>
      <c r="J18" t="s">
        <v>8081</v>
      </c>
      <c r="K18" s="9" t="s">
        <v>8881</v>
      </c>
      <c r="N18" s="9" t="s">
        <v>1656</v>
      </c>
      <c r="O18" s="9" t="s">
        <v>87</v>
      </c>
      <c r="P18" s="9" t="s">
        <v>201</v>
      </c>
      <c r="S18" s="9" t="s">
        <v>796</v>
      </c>
      <c r="T18" s="9" t="s">
        <v>1427</v>
      </c>
      <c r="U18" t="s">
        <v>8600</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25">
      <c r="A19" s="9"/>
      <c r="C19" s="9"/>
      <c r="D19" s="9" t="s">
        <v>66</v>
      </c>
      <c r="E19" s="9" t="s">
        <v>5683</v>
      </c>
      <c r="F19" s="9" t="s">
        <v>121</v>
      </c>
      <c r="G19" s="9"/>
      <c r="I19" s="9" t="s">
        <v>156</v>
      </c>
      <c r="J19" s="9" t="s">
        <v>1627</v>
      </c>
      <c r="K19" s="9" t="s">
        <v>190</v>
      </c>
      <c r="N19" s="9" t="s">
        <v>222</v>
      </c>
      <c r="O19" s="9" t="s">
        <v>243</v>
      </c>
      <c r="P19" s="9" t="s">
        <v>185</v>
      </c>
      <c r="T19" s="9" t="s">
        <v>831</v>
      </c>
      <c r="U19" t="s">
        <v>8659</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25">
      <c r="A20" s="9"/>
      <c r="C20" s="9"/>
      <c r="D20" s="9" t="s">
        <v>224</v>
      </c>
      <c r="E20" s="9" t="s">
        <v>802</v>
      </c>
      <c r="F20" t="s">
        <v>8651</v>
      </c>
      <c r="G20" s="9"/>
      <c r="I20" s="9" t="s">
        <v>1622</v>
      </c>
      <c r="J20" s="9" t="s">
        <v>225</v>
      </c>
      <c r="K20" s="9" t="s">
        <v>1645</v>
      </c>
      <c r="N20" s="9" t="s">
        <v>1603</v>
      </c>
      <c r="O20" s="9" t="s">
        <v>832</v>
      </c>
      <c r="P20" s="9" t="s">
        <v>132</v>
      </c>
      <c r="T20" s="9" t="s">
        <v>98</v>
      </c>
      <c r="U20" s="9" t="s">
        <v>124</v>
      </c>
      <c r="Z20" s="9" t="s">
        <v>1662</v>
      </c>
      <c r="AE20" s="9" t="s">
        <v>824</v>
      </c>
      <c r="AU20" t="s">
        <v>5669</v>
      </c>
      <c r="AV20" t="s">
        <v>8993</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25">
      <c r="A21" s="9"/>
      <c r="C21" s="9"/>
      <c r="D21" s="9" t="s">
        <v>73</v>
      </c>
      <c r="E21" s="9" t="s">
        <v>19</v>
      </c>
      <c r="F21" s="9" t="s">
        <v>193</v>
      </c>
      <c r="G21" s="9"/>
      <c r="J21" s="9" t="s">
        <v>1611</v>
      </c>
      <c r="K21" s="9" t="s">
        <v>1652</v>
      </c>
      <c r="N21" s="9" t="s">
        <v>119</v>
      </c>
      <c r="O21" s="9" t="s">
        <v>1680</v>
      </c>
      <c r="P21" t="s">
        <v>8889</v>
      </c>
      <c r="T21" s="9" t="s">
        <v>99</v>
      </c>
      <c r="U21" s="9" t="s">
        <v>1186</v>
      </c>
      <c r="Z21" s="9" t="s">
        <v>1677</v>
      </c>
      <c r="AE21" t="s">
        <v>9021</v>
      </c>
      <c r="AU21" t="s">
        <v>5668</v>
      </c>
      <c r="AV21" t="s">
        <v>5745</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25">
      <c r="A22" s="9"/>
      <c r="C22" s="9"/>
      <c r="D22" s="9" t="s">
        <v>214</v>
      </c>
      <c r="E22" s="9" t="s">
        <v>153</v>
      </c>
      <c r="F22" s="9" t="s">
        <v>131</v>
      </c>
      <c r="J22" s="9" t="s">
        <v>1676</v>
      </c>
      <c r="K22" s="9" t="s">
        <v>1684</v>
      </c>
      <c r="N22" s="9" t="s">
        <v>3396</v>
      </c>
      <c r="O22" s="9" t="s">
        <v>92</v>
      </c>
      <c r="P22" s="9" t="s">
        <v>820</v>
      </c>
      <c r="T22" s="9" t="s">
        <v>22</v>
      </c>
      <c r="U22" s="9" t="s">
        <v>1429</v>
      </c>
      <c r="Z22" s="9" t="s">
        <v>833</v>
      </c>
      <c r="AE22" t="s">
        <v>6565</v>
      </c>
      <c r="AU22" t="s">
        <v>6841</v>
      </c>
      <c r="AV22" t="s">
        <v>707</v>
      </c>
      <c r="AZ22" s="1" t="str">
        <f t="shared" si="2"/>
        <v>G11</v>
      </c>
      <c r="BA22" s="1" t="str">
        <f t="shared" si="3"/>
        <v>Noel</v>
      </c>
      <c r="BB22" s="1" t="str">
        <f t="shared" si="4"/>
        <v/>
      </c>
      <c r="BC22" s="1" t="str">
        <f t="shared" si="5"/>
        <v>Noel</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25">
      <c r="A23" s="9"/>
      <c r="C23" s="9"/>
      <c r="D23" s="9" t="s">
        <v>801</v>
      </c>
      <c r="E23" s="9" t="s">
        <v>1619</v>
      </c>
      <c r="F23" s="9" t="s">
        <v>8628</v>
      </c>
      <c r="J23" s="9" t="s">
        <v>5774</v>
      </c>
      <c r="K23" s="9" t="s">
        <v>141</v>
      </c>
      <c r="N23" s="9" t="s">
        <v>218</v>
      </c>
      <c r="O23" s="9" t="s">
        <v>1638</v>
      </c>
      <c r="P23" s="9" t="s">
        <v>1679</v>
      </c>
      <c r="T23" s="9" t="s">
        <v>795</v>
      </c>
      <c r="U23" s="9" t="s">
        <v>734</v>
      </c>
      <c r="Z23" t="s">
        <v>1690</v>
      </c>
      <c r="AE23" t="s">
        <v>8499</v>
      </c>
      <c r="AU23" t="s">
        <v>6935</v>
      </c>
      <c r="AV23" t="s">
        <v>708</v>
      </c>
      <c r="AZ23" s="1" t="str">
        <f t="shared" si="2"/>
        <v>G36Mod</v>
      </c>
      <c r="BA23" s="1" t="str">
        <f t="shared" si="3"/>
        <v>NZ75</v>
      </c>
      <c r="BB23" s="1" t="str">
        <f t="shared" si="4"/>
        <v/>
      </c>
      <c r="BC23" s="1" t="str">
        <f t="shared" si="5"/>
        <v>NZ75</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25">
      <c r="A24" s="9"/>
      <c r="B24" s="9"/>
      <c r="C24" s="9"/>
      <c r="D24" s="9"/>
      <c r="E24" s="9" t="s">
        <v>67</v>
      </c>
      <c r="F24" s="9" t="s">
        <v>197</v>
      </c>
      <c r="J24" s="9" t="s">
        <v>798</v>
      </c>
      <c r="K24" s="9" t="s">
        <v>1702</v>
      </c>
      <c r="O24" s="9" t="s">
        <v>799</v>
      </c>
      <c r="P24" s="9" t="s">
        <v>1614</v>
      </c>
      <c r="T24" s="9" t="s">
        <v>7130</v>
      </c>
      <c r="U24" s="9" t="s">
        <v>823</v>
      </c>
      <c r="Z24" s="9" t="s">
        <v>7015</v>
      </c>
      <c r="AE24" t="s">
        <v>8505</v>
      </c>
      <c r="AQ24" s="9"/>
      <c r="AU24" t="s">
        <v>6936</v>
      </c>
      <c r="AV24" t="s">
        <v>709</v>
      </c>
      <c r="AZ24" s="1" t="str">
        <f t="shared" si="2"/>
        <v>G41</v>
      </c>
      <c r="BA24" s="1" t="str">
        <f t="shared" si="3"/>
        <v>P2000</v>
      </c>
      <c r="BB24" s="1" t="str">
        <f t="shared" si="4"/>
        <v/>
      </c>
      <c r="BC24" s="1" t="str">
        <f t="shared" si="5"/>
        <v>P2000</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25">
      <c r="A25" s="9"/>
      <c r="B25" s="9"/>
      <c r="C25" s="9"/>
      <c r="D25" s="9"/>
      <c r="E25" s="9" t="s">
        <v>5492</v>
      </c>
      <c r="F25" s="9" t="s">
        <v>1653</v>
      </c>
      <c r="J25" s="9" t="s">
        <v>144</v>
      </c>
      <c r="K25" s="9" t="s">
        <v>1728</v>
      </c>
      <c r="O25" s="9" t="s">
        <v>5698</v>
      </c>
      <c r="P25" t="s">
        <v>1393</v>
      </c>
      <c r="T25" s="9" t="s">
        <v>228</v>
      </c>
      <c r="U25" s="9" t="s">
        <v>223</v>
      </c>
      <c r="Z25" s="9" t="s">
        <v>1667</v>
      </c>
      <c r="AE25" t="s">
        <v>7232</v>
      </c>
      <c r="AQ25" s="9"/>
      <c r="AU25" t="s">
        <v>6937</v>
      </c>
      <c r="AV25" t="s">
        <v>230</v>
      </c>
      <c r="AZ25" s="1" t="str">
        <f t="shared" si="2"/>
        <v>Himeko</v>
      </c>
      <c r="BA25" s="1" t="str">
        <f t="shared" si="3"/>
        <v>P22</v>
      </c>
      <c r="BB25" s="1" t="str">
        <f t="shared" si="4"/>
        <v/>
      </c>
      <c r="BC25" s="1" t="str">
        <f t="shared" si="5"/>
        <v>P22</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25">
      <c r="A26" s="9"/>
      <c r="B26" s="9"/>
      <c r="C26" s="9"/>
      <c r="D26" s="9"/>
      <c r="E26" s="9" t="s">
        <v>6758</v>
      </c>
      <c r="F26" s="9" t="s">
        <v>186</v>
      </c>
      <c r="J26" s="9" t="s">
        <v>828</v>
      </c>
      <c r="K26" s="9" t="s">
        <v>1626</v>
      </c>
      <c r="O26" s="9" t="s">
        <v>242</v>
      </c>
      <c r="P26" t="s">
        <v>8002</v>
      </c>
      <c r="T26" s="9" t="s">
        <v>1648</v>
      </c>
      <c r="U26" t="s">
        <v>8021</v>
      </c>
      <c r="AE26" s="9" t="s">
        <v>249</v>
      </c>
      <c r="AQ26" s="9"/>
      <c r="AV26" t="s">
        <v>737</v>
      </c>
      <c r="AZ26" s="1" t="str">
        <f t="shared" si="2"/>
        <v>HK416</v>
      </c>
      <c r="BA26" s="1" t="str">
        <f t="shared" si="3"/>
        <v>PA15</v>
      </c>
      <c r="BB26" s="1" t="str">
        <f t="shared" si="4"/>
        <v/>
      </c>
      <c r="BC26" s="1" t="str">
        <f t="shared" si="5"/>
        <v>PA15</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25">
      <c r="A27" s="9"/>
      <c r="B27" s="9"/>
      <c r="C27" s="9"/>
      <c r="D27" s="9"/>
      <c r="E27" s="9" t="s">
        <v>7198</v>
      </c>
      <c r="F27" s="9" t="s">
        <v>64</v>
      </c>
      <c r="J27" s="9" t="s">
        <v>740</v>
      </c>
      <c r="K27" s="9" t="s">
        <v>5690</v>
      </c>
      <c r="O27" s="9" t="s">
        <v>829</v>
      </c>
      <c r="P27" s="9" t="s">
        <v>1654</v>
      </c>
      <c r="T27" s="9" t="s">
        <v>1615</v>
      </c>
      <c r="U27" s="9" t="s">
        <v>7008</v>
      </c>
      <c r="AE27" s="9" t="s">
        <v>733</v>
      </c>
      <c r="AQ27" s="9"/>
      <c r="AV27" t="s">
        <v>162</v>
      </c>
      <c r="AZ27" s="1" t="str">
        <f t="shared" si="2"/>
        <v>HK433</v>
      </c>
      <c r="BA27" s="1" t="str">
        <f t="shared" si="3"/>
        <v>Px4 Storm</v>
      </c>
      <c r="BB27" s="1" t="str">
        <f t="shared" si="4"/>
        <v/>
      </c>
      <c r="BC27" s="1" t="str">
        <f t="shared" si="5"/>
        <v>Px4 Storm</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25">
      <c r="A28" s="9"/>
      <c r="B28" s="9"/>
      <c r="C28" s="9"/>
      <c r="D28" s="9"/>
      <c r="E28" s="9" t="s">
        <v>5491</v>
      </c>
      <c r="F28" t="s">
        <v>8963</v>
      </c>
      <c r="J28" s="9" t="s">
        <v>24</v>
      </c>
      <c r="K28" s="9" t="s">
        <v>127</v>
      </c>
      <c r="O28" s="9" t="s">
        <v>838</v>
      </c>
      <c r="P28" s="9" t="s">
        <v>207</v>
      </c>
      <c r="T28" s="9" t="s">
        <v>830</v>
      </c>
      <c r="U28" s="9" t="s">
        <v>188</v>
      </c>
      <c r="AV28" t="s">
        <v>5729</v>
      </c>
      <c r="AZ28" s="1" t="str">
        <f t="shared" si="2"/>
        <v>Junko</v>
      </c>
      <c r="BA28" s="1" t="str">
        <f t="shared" si="3"/>
        <v>Python</v>
      </c>
      <c r="BB28" s="1" t="str">
        <f t="shared" si="4"/>
        <v/>
      </c>
      <c r="BC28" s="1" t="str">
        <f t="shared" si="5"/>
        <v>Python</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25">
      <c r="A29" s="9"/>
      <c r="C29" s="9"/>
      <c r="D29" s="9"/>
      <c r="E29" s="9"/>
      <c r="F29" t="s">
        <v>5673</v>
      </c>
      <c r="J29" s="9" t="s">
        <v>23</v>
      </c>
      <c r="K29" s="9" t="s">
        <v>76</v>
      </c>
      <c r="O29" s="9" t="s">
        <v>172</v>
      </c>
      <c r="P29" s="9" t="s">
        <v>248</v>
      </c>
      <c r="T29" s="9" t="s">
        <v>738</v>
      </c>
      <c r="U29" s="9" t="s">
        <v>168</v>
      </c>
      <c r="AV29" t="s">
        <v>251</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25">
      <c r="A30" s="9"/>
      <c r="C30" s="9"/>
      <c r="D30" s="9"/>
      <c r="E30" s="9"/>
      <c r="F30" s="9" t="s">
        <v>266</v>
      </c>
      <c r="J30" s="9" t="s">
        <v>123</v>
      </c>
      <c r="K30" s="9" t="s">
        <v>8745</v>
      </c>
      <c r="P30" t="s">
        <v>235</v>
      </c>
      <c r="T30" s="9" t="s">
        <v>6761</v>
      </c>
      <c r="U30" s="9" t="s">
        <v>1705</v>
      </c>
      <c r="AV30" t="s">
        <v>137</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25">
      <c r="A31" s="9"/>
      <c r="C31" s="9"/>
      <c r="D31" s="9"/>
      <c r="E31" s="9"/>
      <c r="F31" s="9" t="s">
        <v>731</v>
      </c>
      <c r="J31" t="s">
        <v>5478</v>
      </c>
      <c r="K31" s="9" t="s">
        <v>8101</v>
      </c>
      <c r="P31" s="9" t="s">
        <v>817</v>
      </c>
      <c r="T31" s="9" t="s">
        <v>180</v>
      </c>
      <c r="U31" s="9" t="s">
        <v>256</v>
      </c>
      <c r="AV31" t="s">
        <v>1625</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25">
      <c r="A32" s="9"/>
      <c r="C32" s="9"/>
      <c r="D32" s="9"/>
      <c r="E32" s="9"/>
      <c r="F32" s="9" t="s">
        <v>739</v>
      </c>
      <c r="K32" s="9" t="s">
        <v>264</v>
      </c>
      <c r="P32" s="9" t="s">
        <v>6897</v>
      </c>
      <c r="U32" s="9" t="s">
        <v>255</v>
      </c>
      <c r="AV32" t="s">
        <v>101</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6974</v>
      </c>
      <c r="K33" s="9" t="s">
        <v>263</v>
      </c>
      <c r="P33" s="9" t="s">
        <v>794</v>
      </c>
      <c r="U33" s="9" t="s">
        <v>179</v>
      </c>
      <c r="AV33" t="s">
        <v>257</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25">
      <c r="A34" s="9"/>
      <c r="C34" s="9"/>
      <c r="D34" s="9"/>
      <c r="E34" s="9"/>
      <c r="F34" s="9" t="s">
        <v>822</v>
      </c>
      <c r="K34" s="9" t="s">
        <v>79</v>
      </c>
      <c r="P34" s="9" t="s">
        <v>736</v>
      </c>
      <c r="U34" t="s">
        <v>1396</v>
      </c>
      <c r="AV34" t="s">
        <v>74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25">
      <c r="A35" s="9"/>
      <c r="C35" s="9"/>
      <c r="D35" s="9"/>
      <c r="E35" s="9"/>
      <c r="F35" s="9" t="s">
        <v>792</v>
      </c>
      <c r="K35" s="9" t="s">
        <v>816</v>
      </c>
      <c r="P35" s="9" t="s">
        <v>813</v>
      </c>
      <c r="U35" s="9" t="s">
        <v>1624</v>
      </c>
      <c r="AV35" t="s">
        <v>104</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25">
      <c r="A36" s="9"/>
      <c r="C36" s="9"/>
      <c r="D36" s="9"/>
      <c r="E36" s="9"/>
      <c r="F36" s="9" t="s">
        <v>835</v>
      </c>
      <c r="K36" s="9" t="s">
        <v>198</v>
      </c>
      <c r="P36" s="9" t="s">
        <v>1237</v>
      </c>
      <c r="U36" t="s">
        <v>5707</v>
      </c>
      <c r="AV36" t="s">
        <v>743</v>
      </c>
      <c r="AZ36" s="1" t="str">
        <f t="shared" si="2"/>
        <v>OTs14</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25">
      <c r="A37" s="9"/>
      <c r="C37" s="9"/>
      <c r="D37" s="9"/>
      <c r="E37" s="9"/>
      <c r="P37" s="9" t="s">
        <v>1668</v>
      </c>
      <c r="U37" s="9" t="s">
        <v>790</v>
      </c>
      <c r="AV37" t="s">
        <v>8719</v>
      </c>
      <c r="AZ37" s="1" t="str">
        <f t="shared" si="2"/>
        <v>QBZ191</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25">
      <c r="A38" s="9"/>
      <c r="C38" s="9"/>
      <c r="D38" s="9"/>
      <c r="E38" s="9"/>
      <c r="P38" s="9" t="s">
        <v>95</v>
      </c>
      <c r="U38" s="9" t="s">
        <v>229</v>
      </c>
      <c r="AV38" t="s">
        <v>3213</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25">
      <c r="A39" s="9"/>
      <c r="C39" s="9"/>
      <c r="D39" s="9"/>
      <c r="E39" s="9"/>
      <c r="P39" s="9" t="s">
        <v>928</v>
      </c>
      <c r="U39" t="s">
        <v>1754</v>
      </c>
      <c r="AV39" t="s">
        <v>72</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25">
      <c r="A40" s="9"/>
      <c r="C40" s="9"/>
      <c r="D40" s="9"/>
      <c r="E40" s="9"/>
      <c r="U40" s="9" t="s">
        <v>1669</v>
      </c>
      <c r="AV40" t="s">
        <v>745</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25">
      <c r="A41" s="9"/>
      <c r="C41" s="9"/>
      <c r="D41" s="9"/>
      <c r="E41" s="9"/>
      <c r="U41" s="9" t="s">
        <v>6905</v>
      </c>
      <c r="AV41" t="s">
        <v>793</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25">
      <c r="A42" s="9"/>
      <c r="C42" s="9"/>
      <c r="D42" s="9"/>
      <c r="U42" s="9" t="s">
        <v>6399</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25">
      <c r="A43" s="9"/>
      <c r="C43" s="9"/>
      <c r="D43" s="9"/>
      <c r="U43" s="9" t="s">
        <v>890</v>
      </c>
      <c r="AV43" t="s">
        <v>746</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25">
      <c r="A44" s="9"/>
      <c r="C44" s="9"/>
      <c r="D44" s="9"/>
      <c r="U44" s="9" t="s">
        <v>245</v>
      </c>
      <c r="AV44" t="s">
        <v>748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25">
      <c r="A45" s="9"/>
      <c r="C45" s="9"/>
      <c r="D45" s="9"/>
      <c r="U45" s="9" t="s">
        <v>1682</v>
      </c>
      <c r="AV45" t="s">
        <v>717</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25">
      <c r="A46" s="9"/>
      <c r="C46" s="9"/>
      <c r="D46" s="9"/>
      <c r="U46" s="9" t="s">
        <v>160</v>
      </c>
      <c r="AV46" t="s">
        <v>1641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25">
      <c r="A47" s="9"/>
      <c r="C47" s="9"/>
      <c r="D47" s="9"/>
      <c r="U47" t="s">
        <v>1678</v>
      </c>
      <c r="AV47" t="s">
        <v>161</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25">
      <c r="A48" s="9"/>
      <c r="C48" s="9"/>
      <c r="D48" s="9"/>
      <c r="U48" t="s">
        <v>6762</v>
      </c>
      <c r="AV48" t="s">
        <v>152</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25">
      <c r="A49" s="9"/>
      <c r="C49" s="9"/>
      <c r="D49" s="9"/>
      <c r="U49" s="9" t="s">
        <v>791</v>
      </c>
      <c r="AV49" t="s">
        <v>735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CZ75</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25">
      <c r="A50" s="9"/>
      <c r="C50" s="9"/>
      <c r="D50" s="9"/>
      <c r="U50" s="9" t="s">
        <v>133</v>
      </c>
      <c r="AV50" t="s">
        <v>1604</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Dana</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25">
      <c r="A51" s="9"/>
      <c r="C51" s="9"/>
      <c r="D51" s="9"/>
      <c r="U51" s="9" t="s">
        <v>134</v>
      </c>
      <c r="AV51" t="s">
        <v>721</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Defender</v>
      </c>
      <c r="BP51" s="1" t="str">
        <f t="shared" si="18"/>
        <v/>
      </c>
      <c r="BQ51" s="1" t="str">
        <f t="shared" si="19"/>
        <v/>
      </c>
      <c r="BR51" s="1" t="str">
        <f t="shared" si="20"/>
        <v/>
      </c>
      <c r="BS51" s="1" t="str">
        <f t="shared" si="21"/>
        <v/>
      </c>
    </row>
    <row r="52" spans="1:73" x14ac:dyDescent="0.25">
      <c r="A52" s="9"/>
      <c r="C52" s="9"/>
      <c r="D52" s="9"/>
      <c r="U52" s="9" t="s">
        <v>806</v>
      </c>
      <c r="AV52" t="s">
        <v>7167</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Dorothy</v>
      </c>
      <c r="BP52" s="1" t="str">
        <f t="shared" si="18"/>
        <v/>
      </c>
      <c r="BQ52" s="1" t="str">
        <f t="shared" si="19"/>
        <v/>
      </c>
      <c r="BR52" s="1" t="str">
        <f t="shared" si="20"/>
        <v/>
      </c>
      <c r="BS52" s="1" t="str">
        <f t="shared" si="21"/>
        <v/>
      </c>
    </row>
    <row r="53" spans="1:73" x14ac:dyDescent="0.25">
      <c r="A53" s="9"/>
      <c r="C53" s="9"/>
      <c r="D53" s="9"/>
      <c r="U53" t="s">
        <v>7215</v>
      </c>
      <c r="AV53" t="s">
        <v>109</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DP12Mod</v>
      </c>
      <c r="BP53" s="1" t="str">
        <f t="shared" si="18"/>
        <v/>
      </c>
      <c r="BQ53" s="1" t="str">
        <f t="shared" si="19"/>
        <v/>
      </c>
      <c r="BR53" s="1" t="str">
        <f t="shared" si="20"/>
        <v/>
      </c>
      <c r="BS53" s="1" t="str">
        <f t="shared" si="21"/>
        <v/>
      </c>
    </row>
    <row r="54" spans="1:73" x14ac:dyDescent="0.25">
      <c r="A54" s="9"/>
      <c r="C54" s="9"/>
      <c r="D54" s="9"/>
      <c r="U54" t="s">
        <v>5736</v>
      </c>
      <c r="AV54" t="s">
        <v>1637</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DP28</v>
      </c>
      <c r="BP54" s="1" t="str">
        <f t="shared" si="18"/>
        <v/>
      </c>
      <c r="BQ54" s="1" t="str">
        <f t="shared" si="19"/>
        <v/>
      </c>
      <c r="BR54" s="1" t="str">
        <f t="shared" si="20"/>
        <v/>
      </c>
      <c r="BS54" s="1" t="str">
        <f t="shared" si="21"/>
        <v/>
      </c>
    </row>
    <row r="55" spans="1:73" x14ac:dyDescent="0.25">
      <c r="A55" s="9"/>
      <c r="C55" s="9"/>
      <c r="D55" s="9"/>
      <c r="U55" s="9" t="s">
        <v>169</v>
      </c>
      <c r="AV55" t="s">
        <v>8600</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DSR50</v>
      </c>
      <c r="BP55" s="1" t="str">
        <f t="shared" si="18"/>
        <v/>
      </c>
      <c r="BQ55" s="1" t="str">
        <f t="shared" si="19"/>
        <v/>
      </c>
      <c r="BR55" s="1" t="str">
        <f t="shared" si="20"/>
        <v/>
      </c>
      <c r="BS55" s="1" t="str">
        <f t="shared" si="21"/>
        <v/>
      </c>
    </row>
    <row r="56" spans="1:73" x14ac:dyDescent="0.25">
      <c r="A56" s="9"/>
      <c r="C56" s="9"/>
      <c r="D56" s="9"/>
      <c r="AV56" t="s">
        <v>8625</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EM2Mod</v>
      </c>
      <c r="BP56" s="1" t="str">
        <f t="shared" si="18"/>
        <v/>
      </c>
      <c r="BQ56" s="1" t="str">
        <f t="shared" si="19"/>
        <v/>
      </c>
      <c r="BR56" s="1" t="str">
        <f t="shared" si="20"/>
        <v/>
      </c>
      <c r="BS56" s="1" t="str">
        <f t="shared" si="21"/>
        <v/>
      </c>
    </row>
    <row r="57" spans="1:73" x14ac:dyDescent="0.25">
      <c r="A57" s="9"/>
      <c r="C57" s="9"/>
      <c r="D57" s="9"/>
      <c r="AV57" t="s">
        <v>3178</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 3Mod</v>
      </c>
      <c r="BP57" s="1" t="str">
        <f t="shared" si="18"/>
        <v/>
      </c>
      <c r="BQ57" s="1" t="str">
        <f t="shared" si="19"/>
        <v/>
      </c>
      <c r="BR57" s="1" t="str">
        <f t="shared" si="20"/>
        <v/>
      </c>
      <c r="BS57" s="1" t="str">
        <f t="shared" si="21"/>
        <v/>
      </c>
    </row>
    <row r="58" spans="1:73" x14ac:dyDescent="0.25">
      <c r="A58" s="9"/>
      <c r="C58" s="9"/>
      <c r="D58" s="9"/>
      <c r="AV58" t="s">
        <v>8659</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EVO3</v>
      </c>
      <c r="BP58" s="1" t="str">
        <f t="shared" si="18"/>
        <v/>
      </c>
      <c r="BQ58" s="1" t="str">
        <f t="shared" si="19"/>
        <v/>
      </c>
      <c r="BR58" s="1" t="str">
        <f t="shared" si="20"/>
        <v/>
      </c>
      <c r="BS58" s="1" t="str">
        <f t="shared" si="21"/>
        <v/>
      </c>
    </row>
    <row r="59" spans="1:73" x14ac:dyDescent="0.25">
      <c r="A59" s="9"/>
      <c r="C59" s="9"/>
      <c r="D59" s="9"/>
      <c r="AV59" t="s">
        <v>826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Ezaki</v>
      </c>
      <c r="BP59" s="1" t="str">
        <f t="shared" si="18"/>
        <v/>
      </c>
      <c r="BQ59" s="1" t="str">
        <f t="shared" si="19"/>
        <v/>
      </c>
      <c r="BR59" s="1" t="str">
        <f t="shared" si="20"/>
        <v/>
      </c>
      <c r="BS59" s="1" t="str">
        <f t="shared" si="21"/>
        <v/>
      </c>
    </row>
    <row r="60" spans="1:73" x14ac:dyDescent="0.25">
      <c r="A60" s="9"/>
      <c r="C60" s="9"/>
      <c r="D60" s="9"/>
      <c r="AV60" t="s">
        <v>1183</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F1Mod</v>
      </c>
      <c r="BP60" s="1" t="str">
        <f t="shared" si="18"/>
        <v/>
      </c>
      <c r="BQ60" s="1" t="str">
        <f t="shared" si="19"/>
        <v/>
      </c>
      <c r="BR60" s="1" t="str">
        <f t="shared" si="20"/>
        <v/>
      </c>
      <c r="BS60" s="1" t="str">
        <f t="shared" si="21"/>
        <v/>
      </c>
    </row>
    <row r="61" spans="1:73" x14ac:dyDescent="0.25">
      <c r="A61" s="9"/>
      <c r="C61" s="9"/>
      <c r="D61" s="9"/>
      <c r="AV61" t="s">
        <v>718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F2000</v>
      </c>
      <c r="BP61" s="1" t="str">
        <f t="shared" si="18"/>
        <v/>
      </c>
      <c r="BQ61" s="1" t="str">
        <f t="shared" si="19"/>
        <v/>
      </c>
      <c r="BR61" s="1" t="str">
        <f t="shared" si="20"/>
        <v/>
      </c>
      <c r="BS61" s="1" t="str">
        <f t="shared" si="21"/>
        <v/>
      </c>
    </row>
    <row r="62" spans="1:73" x14ac:dyDescent="0.25">
      <c r="A62" s="9"/>
      <c r="C62" s="9"/>
      <c r="D62" s="9"/>
      <c r="AV62" t="s">
        <v>8594</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Fail</v>
      </c>
      <c r="BP62" s="1" t="str">
        <f t="shared" si="18"/>
        <v/>
      </c>
      <c r="BQ62" s="1" t="str">
        <f t="shared" si="19"/>
        <v/>
      </c>
      <c r="BR62" s="1" t="str">
        <f t="shared" si="20"/>
        <v/>
      </c>
      <c r="BS62" s="1" t="str">
        <f t="shared" si="21"/>
        <v/>
      </c>
    </row>
    <row r="63" spans="1:73" x14ac:dyDescent="0.25">
      <c r="A63" s="9"/>
      <c r="C63" s="9"/>
      <c r="D63" s="9"/>
      <c r="AV63" t="s">
        <v>710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FalconMod</v>
      </c>
      <c r="BP63" s="1" t="str">
        <f t="shared" si="18"/>
        <v/>
      </c>
      <c r="BQ63" s="1" t="str">
        <f t="shared" si="19"/>
        <v/>
      </c>
      <c r="BR63" s="1" t="str">
        <f t="shared" si="20"/>
        <v/>
      </c>
      <c r="BS63" s="1" t="str">
        <f t="shared" si="21"/>
        <v/>
      </c>
    </row>
    <row r="64" spans="1:73" x14ac:dyDescent="0.25">
      <c r="C64" s="9"/>
      <c r="D64" s="9"/>
      <c r="AV64" t="s">
        <v>125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FAMAS</v>
      </c>
      <c r="BP64" s="1" t="str">
        <f t="shared" si="18"/>
        <v/>
      </c>
      <c r="BQ64" s="1" t="str">
        <f t="shared" si="19"/>
        <v/>
      </c>
      <c r="BR64" s="1" t="str">
        <f t="shared" si="20"/>
        <v/>
      </c>
      <c r="BS64" s="1" t="str">
        <f t="shared" si="21"/>
        <v/>
      </c>
    </row>
    <row r="65" spans="3:71" x14ac:dyDescent="0.25">
      <c r="C65" s="9"/>
      <c r="D65" s="9"/>
      <c r="AV65" t="s">
        <v>1628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FG42</v>
      </c>
      <c r="BP65" s="1" t="str">
        <f t="shared" si="18"/>
        <v/>
      </c>
      <c r="BQ65" s="1" t="str">
        <f t="shared" si="19"/>
        <v/>
      </c>
      <c r="BR65" s="1" t="str">
        <f t="shared" si="20"/>
        <v/>
      </c>
      <c r="BS65" s="1" t="str">
        <f t="shared" si="21"/>
        <v/>
      </c>
    </row>
    <row r="66" spans="3:71" x14ac:dyDescent="0.25">
      <c r="C66" s="9"/>
      <c r="D66" s="9"/>
      <c r="AV66" t="s">
        <v>1417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Fiveseven</v>
      </c>
      <c r="BP66" s="1" t="str">
        <f t="shared" si="18"/>
        <v/>
      </c>
      <c r="BQ66" s="1" t="str">
        <f t="shared" si="19"/>
        <v/>
      </c>
      <c r="BR66" s="1" t="str">
        <f t="shared" si="20"/>
        <v/>
      </c>
      <c r="BS66" s="1" t="str">
        <f t="shared" si="21"/>
        <v/>
      </c>
    </row>
    <row r="67" spans="3:71" x14ac:dyDescent="0.25">
      <c r="C67" s="9"/>
      <c r="D67" s="9"/>
      <c r="AV67" t="s">
        <v>1636</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FN49Mod</v>
      </c>
      <c r="BP67" s="1" t="str">
        <f t="shared" si="18"/>
        <v/>
      </c>
      <c r="BQ67" s="1" t="str">
        <f t="shared" si="19"/>
        <v/>
      </c>
      <c r="BR67" s="1" t="str">
        <f t="shared" si="20"/>
        <v/>
      </c>
      <c r="BS67" s="1" t="str">
        <f t="shared" si="21"/>
        <v/>
      </c>
    </row>
    <row r="68" spans="3:71" x14ac:dyDescent="0.25">
      <c r="D68" s="9"/>
      <c r="AV68" t="s">
        <v>1447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FP6</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75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G11Mod</v>
      </c>
      <c r="BP69" s="1" t="str">
        <f t="shared" si="38"/>
        <v/>
      </c>
      <c r="BQ69" s="1" t="str">
        <f t="shared" si="39"/>
        <v/>
      </c>
      <c r="BR69" s="1" t="str">
        <f t="shared" si="40"/>
        <v/>
      </c>
      <c r="BS69" s="1" t="str">
        <f t="shared" si="41"/>
        <v/>
      </c>
    </row>
    <row r="70" spans="3:71" x14ac:dyDescent="0.25">
      <c r="D70" s="9"/>
      <c r="AV70" t="s">
        <v>1748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G17</v>
      </c>
      <c r="BP70" s="1" t="str">
        <f t="shared" si="38"/>
        <v/>
      </c>
      <c r="BQ70" s="1" t="str">
        <f t="shared" si="39"/>
        <v/>
      </c>
      <c r="BR70" s="1" t="str">
        <f t="shared" si="40"/>
        <v/>
      </c>
      <c r="BS70" s="1" t="str">
        <f t="shared" si="41"/>
        <v/>
      </c>
    </row>
    <row r="71" spans="3:71" x14ac:dyDescent="0.25">
      <c r="AV71" t="s">
        <v>1429</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G36CMod</v>
      </c>
      <c r="BP71" s="1" t="str">
        <f t="shared" si="38"/>
        <v/>
      </c>
      <c r="BQ71" s="1" t="str">
        <f t="shared" si="39"/>
        <v/>
      </c>
      <c r="BR71" s="1" t="str">
        <f t="shared" si="40"/>
        <v/>
      </c>
      <c r="BS71" s="1" t="str">
        <f t="shared" si="41"/>
        <v/>
      </c>
    </row>
    <row r="72" spans="3:71" x14ac:dyDescent="0.25">
      <c r="AV72" t="s">
        <v>8702</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v>
      </c>
      <c r="BP72" s="1" t="str">
        <f t="shared" si="38"/>
        <v/>
      </c>
      <c r="BQ72" s="1" t="str">
        <f t="shared" si="39"/>
        <v/>
      </c>
      <c r="BR72" s="1" t="str">
        <f t="shared" si="40"/>
        <v/>
      </c>
      <c r="BS72" s="1" t="str">
        <f t="shared" si="41"/>
        <v/>
      </c>
    </row>
    <row r="73" spans="3:71" x14ac:dyDescent="0.25">
      <c r="AV73" t="s">
        <v>1427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G36ModGZ</v>
      </c>
      <c r="BP73" s="1" t="str">
        <f t="shared" si="38"/>
        <v/>
      </c>
      <c r="BQ73" s="1" t="str">
        <f t="shared" si="39"/>
        <v/>
      </c>
      <c r="BR73" s="1" t="str">
        <f t="shared" si="40"/>
        <v/>
      </c>
      <c r="BS73" s="1" t="str">
        <f t="shared" si="41"/>
        <v/>
      </c>
    </row>
    <row r="74" spans="3:71" x14ac:dyDescent="0.25">
      <c r="AV74" t="s">
        <v>8544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v>
      </c>
      <c r="BP74" s="1" t="str">
        <f t="shared" si="38"/>
        <v/>
      </c>
      <c r="BQ74" s="1" t="str">
        <f t="shared" si="39"/>
        <v/>
      </c>
      <c r="BR74" s="1" t="str">
        <f t="shared" si="40"/>
        <v/>
      </c>
      <c r="BS74" s="1" t="str">
        <f t="shared" si="41"/>
        <v/>
      </c>
    </row>
    <row r="75" spans="3:71" x14ac:dyDescent="0.25">
      <c r="AV75" t="s">
        <v>734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G3ModGZ</v>
      </c>
      <c r="BP75" s="1" t="str">
        <f t="shared" si="38"/>
        <v/>
      </c>
      <c r="BQ75" s="1" t="str">
        <f t="shared" si="39"/>
        <v/>
      </c>
      <c r="BR75" s="1" t="str">
        <f t="shared" si="40"/>
        <v/>
      </c>
      <c r="BS75" s="1" t="str">
        <f t="shared" si="41"/>
        <v/>
      </c>
    </row>
    <row r="76" spans="3:71" x14ac:dyDescent="0.25">
      <c r="AV76" t="s">
        <v>9075</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G41</v>
      </c>
      <c r="BP76" s="1" t="str">
        <f t="shared" si="38"/>
        <v/>
      </c>
      <c r="BQ76" s="1" t="str">
        <f t="shared" si="39"/>
        <v/>
      </c>
      <c r="BR76" s="1" t="str">
        <f t="shared" si="40"/>
        <v/>
      </c>
      <c r="BS76" s="1" t="str">
        <f t="shared" si="41"/>
        <v/>
      </c>
    </row>
    <row r="77" spans="3:71" x14ac:dyDescent="0.25">
      <c r="AV77" t="s">
        <v>94</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G41GZ</v>
      </c>
      <c r="BP77" s="1" t="str">
        <f t="shared" si="38"/>
        <v/>
      </c>
      <c r="BQ77" s="1" t="str">
        <f t="shared" si="39"/>
        <v/>
      </c>
      <c r="BR77" s="1" t="str">
        <f t="shared" si="40"/>
        <v/>
      </c>
      <c r="BS77" s="1" t="str">
        <f t="shared" si="41"/>
        <v/>
      </c>
    </row>
    <row r="78" spans="3:71" x14ac:dyDescent="0.25">
      <c r="AV78" t="s">
        <v>831</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G43</v>
      </c>
      <c r="BP78" s="1" t="str">
        <f t="shared" si="38"/>
        <v/>
      </c>
      <c r="BQ78" s="1" t="str">
        <f t="shared" si="39"/>
        <v/>
      </c>
      <c r="BR78" s="1" t="str">
        <f t="shared" si="40"/>
        <v/>
      </c>
      <c r="BS78" s="1" t="str">
        <f t="shared" si="41"/>
        <v/>
      </c>
    </row>
    <row r="79" spans="3:71" x14ac:dyDescent="0.25">
      <c r="AV79" t="s">
        <v>1755</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Galil Mod</v>
      </c>
      <c r="BP79" s="1" t="str">
        <f t="shared" si="38"/>
        <v/>
      </c>
      <c r="BQ79" s="1" t="str">
        <f t="shared" si="39"/>
        <v/>
      </c>
      <c r="BR79" s="1" t="str">
        <f t="shared" si="40"/>
        <v/>
      </c>
      <c r="BS79" s="1" t="str">
        <f t="shared" si="41"/>
        <v/>
      </c>
    </row>
    <row r="80" spans="3:71" x14ac:dyDescent="0.25">
      <c r="AV80" t="s">
        <v>120</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Gepard M1Mod</v>
      </c>
      <c r="BP80" s="1" t="str">
        <f t="shared" si="38"/>
        <v/>
      </c>
      <c r="BQ80" s="1" t="str">
        <f t="shared" si="39"/>
        <v/>
      </c>
      <c r="BR80" s="1" t="str">
        <f t="shared" si="40"/>
        <v/>
      </c>
      <c r="BS80" s="1" t="str">
        <f t="shared" si="41"/>
        <v/>
      </c>
    </row>
    <row r="81" spans="48:71" x14ac:dyDescent="0.25">
      <c r="AV81" t="s">
        <v>1685</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Grizzly</v>
      </c>
      <c r="BP81" s="1" t="str">
        <f t="shared" si="38"/>
        <v/>
      </c>
      <c r="BQ81" s="1" t="str">
        <f t="shared" si="39"/>
        <v/>
      </c>
      <c r="BR81" s="1" t="str">
        <f t="shared" si="40"/>
        <v/>
      </c>
      <c r="BS81" s="1" t="str">
        <f t="shared" si="41"/>
        <v/>
      </c>
    </row>
    <row r="82" spans="48:71" x14ac:dyDescent="0.25">
      <c r="AV82" t="s">
        <v>247</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GSh18Mod</v>
      </c>
      <c r="BP82" s="1" t="str">
        <f t="shared" si="38"/>
        <v/>
      </c>
      <c r="BQ82" s="1" t="str">
        <f t="shared" si="39"/>
        <v/>
      </c>
      <c r="BR82" s="1" t="str">
        <f t="shared" si="40"/>
        <v/>
      </c>
      <c r="BS82" s="1" t="str">
        <f t="shared" si="41"/>
        <v/>
      </c>
    </row>
    <row r="83" spans="48:71" x14ac:dyDescent="0.25">
      <c r="AV83" t="s">
        <v>206</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Henrietta</v>
      </c>
      <c r="BP83" s="1" t="str">
        <f t="shared" si="38"/>
        <v/>
      </c>
      <c r="BQ83" s="1" t="str">
        <f t="shared" si="39"/>
        <v/>
      </c>
      <c r="BR83" s="1" t="str">
        <f t="shared" si="40"/>
        <v/>
      </c>
      <c r="BS83" s="1" t="str">
        <f t="shared" si="41"/>
        <v/>
      </c>
    </row>
    <row r="84" spans="48:71" x14ac:dyDescent="0.25">
      <c r="AV84" t="s">
        <v>223</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HK33</v>
      </c>
      <c r="BP84" s="1" t="str">
        <f t="shared" si="38"/>
        <v/>
      </c>
      <c r="BQ84" s="1" t="str">
        <f t="shared" si="39"/>
        <v/>
      </c>
      <c r="BR84" s="1" t="str">
        <f t="shared" si="40"/>
        <v/>
      </c>
      <c r="BS84" s="1" t="str">
        <f t="shared" si="41"/>
        <v/>
      </c>
    </row>
    <row r="85" spans="48:71" x14ac:dyDescent="0.25">
      <c r="AV85" t="s">
        <v>258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v>
      </c>
      <c r="BP85" s="1" t="str">
        <f t="shared" si="38"/>
        <v/>
      </c>
      <c r="BQ85" s="1" t="str">
        <f t="shared" si="39"/>
        <v/>
      </c>
      <c r="BR85" s="1" t="str">
        <f t="shared" si="40"/>
        <v/>
      </c>
      <c r="BS85" s="1" t="str">
        <f t="shared" si="41"/>
        <v/>
      </c>
    </row>
    <row r="86" spans="48:71" x14ac:dyDescent="0.25">
      <c r="AV86" t="s">
        <v>8118</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HK416Mod</v>
      </c>
      <c r="BP86" s="1" t="str">
        <f t="shared" si="38"/>
        <v/>
      </c>
      <c r="BQ86" s="1" t="str">
        <f t="shared" si="39"/>
        <v/>
      </c>
      <c r="BR86" s="1" t="str">
        <f t="shared" si="40"/>
        <v/>
      </c>
      <c r="BS86" s="1" t="str">
        <f t="shared" si="41"/>
        <v/>
      </c>
    </row>
    <row r="87" spans="48:71" x14ac:dyDescent="0.25">
      <c r="AV87" t="s">
        <v>1719</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HK416ModGZ</v>
      </c>
      <c r="BP87" s="1" t="str">
        <f t="shared" si="38"/>
        <v/>
      </c>
      <c r="BQ87" s="1" t="str">
        <f t="shared" si="39"/>
        <v/>
      </c>
      <c r="BR87" s="1" t="str">
        <f t="shared" si="40"/>
        <v/>
      </c>
      <c r="BS87" s="1" t="str">
        <f t="shared" si="41"/>
        <v/>
      </c>
    </row>
    <row r="88" spans="48:71" x14ac:dyDescent="0.25">
      <c r="AV88" t="s">
        <v>200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Honey Badger</v>
      </c>
      <c r="BP88" s="1" t="str">
        <f t="shared" si="38"/>
        <v/>
      </c>
      <c r="BQ88" s="1" t="str">
        <f t="shared" si="39"/>
        <v/>
      </c>
      <c r="BR88" s="1" t="str">
        <f t="shared" si="40"/>
        <v/>
      </c>
      <c r="BS88" s="1" t="str">
        <f t="shared" si="41"/>
        <v/>
      </c>
    </row>
    <row r="89" spans="48:71" x14ac:dyDescent="0.25">
      <c r="AV89" t="s">
        <v>261</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HS2000</v>
      </c>
      <c r="BP89" s="1" t="str">
        <f t="shared" si="38"/>
        <v/>
      </c>
      <c r="BQ89" s="1" t="str">
        <f t="shared" si="39"/>
        <v/>
      </c>
      <c r="BR89" s="1" t="str">
        <f t="shared" si="40"/>
        <v/>
      </c>
      <c r="BS89" s="1" t="str">
        <f t="shared" si="41"/>
        <v/>
      </c>
    </row>
    <row r="90" spans="48:71" x14ac:dyDescent="0.25">
      <c r="AV90" t="s">
        <v>78</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IDWMod</v>
      </c>
      <c r="BP90" s="1" t="str">
        <f t="shared" si="38"/>
        <v/>
      </c>
      <c r="BQ90" s="1" t="str">
        <f t="shared" si="39"/>
        <v/>
      </c>
      <c r="BR90" s="1" t="str">
        <f t="shared" si="40"/>
        <v/>
      </c>
      <c r="BS90" s="1" t="str">
        <f t="shared" si="41"/>
        <v/>
      </c>
    </row>
    <row r="91" spans="48:71" x14ac:dyDescent="0.25">
      <c r="AV91" t="s">
        <v>1691</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Ingram</v>
      </c>
      <c r="BP91" s="1" t="str">
        <f t="shared" si="38"/>
        <v/>
      </c>
      <c r="BQ91" s="1" t="str">
        <f t="shared" si="39"/>
        <v/>
      </c>
      <c r="BR91" s="1" t="str">
        <f t="shared" si="40"/>
        <v/>
      </c>
      <c r="BS91" s="1" t="str">
        <f t="shared" si="41"/>
        <v/>
      </c>
    </row>
    <row r="92" spans="48:71" x14ac:dyDescent="0.25">
      <c r="AV92" t="s">
        <v>192</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Jashin</v>
      </c>
      <c r="BP92" s="1" t="str">
        <f t="shared" si="38"/>
        <v/>
      </c>
      <c r="BQ92" s="1" t="str">
        <f t="shared" si="39"/>
        <v/>
      </c>
      <c r="BR92" s="1" t="str">
        <f t="shared" si="40"/>
        <v/>
      </c>
      <c r="BS92" s="1" t="str">
        <f t="shared" si="41"/>
        <v/>
      </c>
    </row>
    <row r="93" spans="48:71" x14ac:dyDescent="0.25">
      <c r="AV93" t="s">
        <v>755</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Jericho</v>
      </c>
      <c r="BP93" s="1" t="str">
        <f t="shared" si="38"/>
        <v/>
      </c>
      <c r="BQ93" s="1" t="str">
        <f t="shared" si="39"/>
        <v/>
      </c>
      <c r="BR93" s="1" t="str">
        <f t="shared" si="40"/>
        <v/>
      </c>
      <c r="BS93" s="1" t="str">
        <f t="shared" si="41"/>
        <v/>
      </c>
    </row>
    <row r="94" spans="48:71" x14ac:dyDescent="0.25">
      <c r="AV94" t="s">
        <v>758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JillAdelhyde1</v>
      </c>
      <c r="BP94" s="1" t="str">
        <f t="shared" si="38"/>
        <v/>
      </c>
      <c r="BQ94" s="1" t="str">
        <f t="shared" si="39"/>
        <v/>
      </c>
      <c r="BR94" s="1" t="str">
        <f t="shared" si="40"/>
        <v/>
      </c>
      <c r="BS94" s="1" t="str">
        <f t="shared" si="41"/>
        <v/>
      </c>
    </row>
    <row r="95" spans="48:71" x14ac:dyDescent="0.25">
      <c r="AV95" t="s">
        <v>759</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JillAdelhyde2</v>
      </c>
      <c r="BP95" s="1" t="str">
        <f t="shared" si="38"/>
        <v/>
      </c>
      <c r="BQ95" s="1" t="str">
        <f t="shared" si="39"/>
        <v/>
      </c>
      <c r="BR95" s="1" t="str">
        <f t="shared" si="40"/>
        <v/>
      </c>
      <c r="BS95" s="1" t="str">
        <f t="shared" si="41"/>
        <v/>
      </c>
    </row>
    <row r="96" spans="48:71" x14ac:dyDescent="0.25">
      <c r="AV96" t="s">
        <v>756</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JillBronsonExtract</v>
      </c>
      <c r="BP96" s="1" t="str">
        <f t="shared" si="38"/>
        <v/>
      </c>
      <c r="BQ96" s="1" t="str">
        <f t="shared" si="39"/>
        <v/>
      </c>
      <c r="BR96" s="1" t="str">
        <f t="shared" si="40"/>
        <v/>
      </c>
      <c r="BS96" s="1" t="str">
        <f t="shared" si="41"/>
        <v/>
      </c>
    </row>
    <row r="97" spans="48:71" x14ac:dyDescent="0.25">
      <c r="AV97" t="s">
        <v>754</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JillFlanergide</v>
      </c>
      <c r="BP97" s="1" t="str">
        <f t="shared" si="38"/>
        <v/>
      </c>
      <c r="BQ97" s="1" t="str">
        <f t="shared" si="39"/>
        <v/>
      </c>
      <c r="BR97" s="1" t="str">
        <f t="shared" si="40"/>
        <v/>
      </c>
      <c r="BS97" s="1" t="str">
        <f t="shared" si="41"/>
        <v/>
      </c>
    </row>
    <row r="98" spans="48:71" x14ac:dyDescent="0.25">
      <c r="AV98" t="s">
        <v>757</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JillKarmotrine1</v>
      </c>
      <c r="BP98" s="1" t="str">
        <f t="shared" si="38"/>
        <v/>
      </c>
      <c r="BQ98" s="1" t="str">
        <f t="shared" si="39"/>
        <v/>
      </c>
      <c r="BR98" s="1" t="str">
        <f t="shared" si="40"/>
        <v/>
      </c>
      <c r="BS98" s="1" t="str">
        <f t="shared" si="41"/>
        <v/>
      </c>
    </row>
    <row r="99" spans="48:71" x14ac:dyDescent="0.25">
      <c r="AV99" t="s">
        <v>760</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JillKarmotrine2</v>
      </c>
      <c r="BP99" s="1" t="str">
        <f t="shared" si="38"/>
        <v/>
      </c>
      <c r="BQ99" s="1" t="str">
        <f t="shared" si="39"/>
        <v/>
      </c>
      <c r="BR99" s="1" t="str">
        <f t="shared" si="40"/>
        <v/>
      </c>
      <c r="BS99" s="1" t="str">
        <f t="shared" si="41"/>
        <v/>
      </c>
    </row>
    <row r="100" spans="48:71" x14ac:dyDescent="0.25">
      <c r="AV100" t="s">
        <v>841</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JillKarmotrine3</v>
      </c>
      <c r="BP100" s="1" t="str">
        <f t="shared" si="38"/>
        <v/>
      </c>
      <c r="BQ100" s="1" t="str">
        <f t="shared" si="39"/>
        <v/>
      </c>
      <c r="BR100" s="1" t="str">
        <f t="shared" si="40"/>
        <v/>
      </c>
      <c r="BS100" s="1" t="str">
        <f t="shared" si="41"/>
        <v/>
      </c>
    </row>
    <row r="101" spans="48:71" x14ac:dyDescent="0.25">
      <c r="AV101" t="s">
        <v>7008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JillPowderedDelta</v>
      </c>
      <c r="BP101" s="1" t="str">
        <f t="shared" si="38"/>
        <v/>
      </c>
      <c r="BQ101" s="1" t="str">
        <f t="shared" si="39"/>
        <v/>
      </c>
      <c r="BR101" s="1" t="str">
        <f t="shared" si="40"/>
        <v/>
      </c>
      <c r="BS101" s="1" t="str">
        <f t="shared" si="41"/>
        <v/>
      </c>
    </row>
    <row r="102" spans="48:71" x14ac:dyDescent="0.25">
      <c r="AV102" t="s">
        <v>188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Junko</v>
      </c>
      <c r="BP102" s="1" t="str">
        <f t="shared" si="38"/>
        <v/>
      </c>
      <c r="BQ102" s="1" t="str">
        <f t="shared" si="39"/>
        <v/>
      </c>
      <c r="BR102" s="1" t="str">
        <f t="shared" si="40"/>
        <v/>
      </c>
      <c r="BS102" s="1" t="str">
        <f t="shared" si="41"/>
        <v/>
      </c>
    </row>
    <row r="103" spans="48:71" x14ac:dyDescent="0.25">
      <c r="AV103" t="s">
        <v>168</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K11</v>
      </c>
      <c r="BP103" s="1" t="str">
        <f t="shared" si="38"/>
        <v/>
      </c>
      <c r="BQ103" s="1" t="str">
        <f t="shared" si="39"/>
        <v/>
      </c>
      <c r="BR103" s="1" t="str">
        <f t="shared" si="40"/>
        <v/>
      </c>
      <c r="BS103" s="1" t="str">
        <f t="shared" si="41"/>
        <v/>
      </c>
    </row>
    <row r="104" spans="48:71" x14ac:dyDescent="0.25">
      <c r="AV104" t="s">
        <v>191</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K2</v>
      </c>
      <c r="BP104" s="1" t="str">
        <f t="shared" si="38"/>
        <v/>
      </c>
      <c r="BQ104" s="1" t="str">
        <f t="shared" si="39"/>
        <v/>
      </c>
      <c r="BR104" s="1" t="str">
        <f t="shared" si="40"/>
        <v/>
      </c>
      <c r="BS104" s="1" t="str">
        <f t="shared" si="41"/>
        <v/>
      </c>
    </row>
    <row r="105" spans="48:71" x14ac:dyDescent="0.25">
      <c r="AV105" t="s">
        <v>7152</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K31</v>
      </c>
      <c r="BP105" s="1" t="str">
        <f t="shared" si="38"/>
        <v/>
      </c>
      <c r="BQ105" s="1" t="str">
        <f t="shared" si="39"/>
        <v/>
      </c>
      <c r="BR105" s="1" t="str">
        <f t="shared" si="40"/>
        <v/>
      </c>
      <c r="BS105" s="1" t="str">
        <f t="shared" si="41"/>
        <v/>
      </c>
    </row>
    <row r="106" spans="48:71" x14ac:dyDescent="0.25">
      <c r="AV106" t="s">
        <v>93</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K5Mod</v>
      </c>
      <c r="BP106" s="1" t="str">
        <f t="shared" si="38"/>
        <v/>
      </c>
      <c r="BQ106" s="1" t="str">
        <f t="shared" si="39"/>
        <v/>
      </c>
      <c r="BR106" s="1" t="str">
        <f t="shared" si="40"/>
        <v/>
      </c>
      <c r="BS106" s="1" t="str">
        <f t="shared" si="41"/>
        <v/>
      </c>
    </row>
    <row r="107" spans="48:71" x14ac:dyDescent="0.25">
      <c r="AV107" t="s">
        <v>6759</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Kar98k</v>
      </c>
      <c r="BP107" s="1" t="str">
        <f t="shared" si="38"/>
        <v/>
      </c>
      <c r="BQ107" s="1" t="str">
        <f t="shared" si="39"/>
        <v/>
      </c>
      <c r="BR107" s="1" t="str">
        <f t="shared" si="40"/>
        <v/>
      </c>
      <c r="BS107" s="1" t="str">
        <f t="shared" si="41"/>
        <v/>
      </c>
    </row>
    <row r="108" spans="48:71" x14ac:dyDescent="0.25">
      <c r="AV108" t="s">
        <v>157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Kar98kmod</v>
      </c>
      <c r="BP108" s="1" t="str">
        <f t="shared" si="38"/>
        <v/>
      </c>
      <c r="BQ108" s="1" t="str">
        <f t="shared" si="39"/>
        <v/>
      </c>
      <c r="BR108" s="1" t="str">
        <f t="shared" si="40"/>
        <v/>
      </c>
      <c r="BS108" s="1" t="str">
        <f t="shared" si="41"/>
        <v/>
      </c>
    </row>
    <row r="109" spans="48:71" x14ac:dyDescent="0.25">
      <c r="AV109" t="s">
        <v>722</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KLIN</v>
      </c>
      <c r="BP109" s="1" t="str">
        <f t="shared" si="38"/>
        <v/>
      </c>
      <c r="BQ109" s="1" t="str">
        <f t="shared" si="39"/>
        <v/>
      </c>
      <c r="BR109" s="1" t="str">
        <f t="shared" si="40"/>
        <v/>
      </c>
      <c r="BS109" s="1" t="str">
        <f t="shared" si="41"/>
        <v/>
      </c>
    </row>
    <row r="110" spans="48:71" x14ac:dyDescent="0.25">
      <c r="AV110" t="s">
        <v>265</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KS23</v>
      </c>
      <c r="BP110" s="1" t="str">
        <f t="shared" si="38"/>
        <v/>
      </c>
      <c r="BQ110" s="1" t="str">
        <f t="shared" si="39"/>
        <v/>
      </c>
      <c r="BR110" s="1" t="str">
        <f t="shared" si="40"/>
        <v/>
      </c>
      <c r="BS110" s="1" t="str">
        <f t="shared" si="41"/>
        <v/>
      </c>
    </row>
    <row r="111" spans="48:71" x14ac:dyDescent="0.25">
      <c r="AV111" t="s">
        <v>103</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KSVKMod</v>
      </c>
      <c r="BP111" s="1" t="str">
        <f t="shared" si="38"/>
        <v/>
      </c>
      <c r="BQ111" s="1" t="str">
        <f t="shared" si="39"/>
        <v/>
      </c>
      <c r="BR111" s="1" t="str">
        <f t="shared" si="40"/>
        <v/>
      </c>
      <c r="BS111" s="1" t="str">
        <f t="shared" si="41"/>
        <v/>
      </c>
    </row>
    <row r="112" spans="48:71" x14ac:dyDescent="0.25">
      <c r="AV112" t="s">
        <v>96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L85A1</v>
      </c>
      <c r="BP112" s="1" t="str">
        <f t="shared" si="38"/>
        <v/>
      </c>
      <c r="BQ112" s="1" t="str">
        <f t="shared" si="39"/>
        <v/>
      </c>
      <c r="BR112" s="1" t="str">
        <f t="shared" si="40"/>
        <v/>
      </c>
      <c r="BS112" s="1" t="str">
        <f t="shared" si="41"/>
        <v/>
      </c>
    </row>
    <row r="113" spans="48:71" x14ac:dyDescent="0.25">
      <c r="AV113" t="s">
        <v>6760</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Lee Enfield</v>
      </c>
      <c r="BP113" s="1" t="str">
        <f t="shared" si="38"/>
        <v/>
      </c>
      <c r="BQ113" s="1" t="str">
        <f t="shared" si="39"/>
        <v/>
      </c>
      <c r="BR113" s="1" t="str">
        <f t="shared" si="40"/>
        <v/>
      </c>
      <c r="BS113" s="1" t="str">
        <f t="shared" si="41"/>
        <v/>
      </c>
    </row>
    <row r="114" spans="48:71" x14ac:dyDescent="0.25">
      <c r="AV114" t="s">
        <v>217</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Lee Enfieldmod</v>
      </c>
      <c r="BP114" s="1" t="str">
        <f t="shared" si="38"/>
        <v/>
      </c>
      <c r="BQ114" s="1" t="str">
        <f t="shared" si="39"/>
        <v/>
      </c>
      <c r="BR114" s="1" t="str">
        <f t="shared" si="40"/>
        <v/>
      </c>
      <c r="BS114" s="1" t="str">
        <f t="shared" si="41"/>
        <v/>
      </c>
    </row>
    <row r="115" spans="48:71" x14ac:dyDescent="0.25">
      <c r="AV115" t="s">
        <v>6984</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Liberator</v>
      </c>
      <c r="BP115" s="1" t="str">
        <f t="shared" si="38"/>
        <v/>
      </c>
      <c r="BQ115" s="1" t="str">
        <f t="shared" si="39"/>
        <v/>
      </c>
      <c r="BR115" s="1" t="str">
        <f t="shared" si="40"/>
        <v/>
      </c>
      <c r="BS115" s="1" t="str">
        <f t="shared" si="41"/>
        <v/>
      </c>
    </row>
    <row r="116" spans="48:71" x14ac:dyDescent="0.25">
      <c r="AV116" t="s">
        <v>260</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Lily</v>
      </c>
      <c r="BP116" s="1" t="str">
        <f t="shared" si="38"/>
        <v/>
      </c>
      <c r="BQ116" s="1" t="str">
        <f t="shared" si="39"/>
        <v/>
      </c>
      <c r="BR116" s="1" t="str">
        <f t="shared" si="40"/>
        <v/>
      </c>
      <c r="BS116" s="1" t="str">
        <f t="shared" si="41"/>
        <v/>
      </c>
    </row>
    <row r="117" spans="48:71" x14ac:dyDescent="0.25">
      <c r="AV117" t="s">
        <v>8649</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LWMMGMod</v>
      </c>
      <c r="BP117" s="1" t="str">
        <f t="shared" si="38"/>
        <v/>
      </c>
      <c r="BQ117" s="1" t="str">
        <f t="shared" si="39"/>
        <v/>
      </c>
      <c r="BR117" s="1" t="str">
        <f t="shared" si="40"/>
        <v/>
      </c>
      <c r="BS117" s="1" t="str">
        <f t="shared" si="41"/>
        <v/>
      </c>
    </row>
    <row r="118" spans="48:71" x14ac:dyDescent="0.25">
      <c r="AV118" t="s">
        <v>86</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LWMMGModGZ</v>
      </c>
      <c r="BP118" s="1" t="str">
        <f t="shared" si="38"/>
        <v/>
      </c>
      <c r="BQ118" s="1" t="str">
        <f t="shared" si="39"/>
        <v/>
      </c>
      <c r="BR118" s="1" t="str">
        <f t="shared" si="40"/>
        <v/>
      </c>
      <c r="BS118" s="1" t="str">
        <f t="shared" si="41"/>
        <v/>
      </c>
    </row>
    <row r="119" spans="48:71" x14ac:dyDescent="0.25">
      <c r="AV119" t="s">
        <v>254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 Garand</v>
      </c>
      <c r="BP119" s="1" t="str">
        <f t="shared" si="38"/>
        <v/>
      </c>
      <c r="BQ119" s="1" t="str">
        <f t="shared" si="39"/>
        <v/>
      </c>
      <c r="BR119" s="1" t="str">
        <f t="shared" si="40"/>
        <v/>
      </c>
      <c r="BS119" s="1" t="str">
        <f t="shared" si="41"/>
        <v/>
      </c>
    </row>
    <row r="120" spans="48:71" x14ac:dyDescent="0.25">
      <c r="AV120" t="s">
        <v>98</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M14Mod</v>
      </c>
      <c r="BP120" s="1" t="str">
        <f t="shared" si="38"/>
        <v/>
      </c>
      <c r="BQ120" s="1" t="str">
        <f t="shared" si="39"/>
        <v/>
      </c>
      <c r="BR120" s="1" t="str">
        <f t="shared" si="40"/>
        <v/>
      </c>
      <c r="BS120" s="1" t="str">
        <f t="shared" si="41"/>
        <v/>
      </c>
    </row>
    <row r="121" spans="48:71" x14ac:dyDescent="0.25">
      <c r="AV121" t="s">
        <v>145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M16A1</v>
      </c>
      <c r="BP121" s="1" t="str">
        <f t="shared" si="38"/>
        <v/>
      </c>
      <c r="BQ121" s="1" t="str">
        <f t="shared" si="39"/>
        <v/>
      </c>
      <c r="BR121" s="1" t="str">
        <f t="shared" si="40"/>
        <v/>
      </c>
      <c r="BS121" s="1" t="str">
        <f t="shared" si="41"/>
        <v/>
      </c>
    </row>
    <row r="122" spans="48:71" x14ac:dyDescent="0.25">
      <c r="AV122" t="s">
        <v>784</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M1887</v>
      </c>
      <c r="BP122" s="1" t="str">
        <f t="shared" si="38"/>
        <v/>
      </c>
      <c r="BQ122" s="1" t="str">
        <f t="shared" si="39"/>
        <v/>
      </c>
      <c r="BR122" s="1" t="str">
        <f t="shared" si="40"/>
        <v/>
      </c>
      <c r="BS122" s="1" t="str">
        <f t="shared" si="41"/>
        <v/>
      </c>
    </row>
    <row r="123" spans="48:71" x14ac:dyDescent="0.25">
      <c r="AV123" t="s">
        <v>9017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M1895Mod</v>
      </c>
      <c r="BP123" s="1" t="str">
        <f t="shared" si="38"/>
        <v/>
      </c>
      <c r="BQ123" s="1" t="str">
        <f t="shared" si="39"/>
        <v/>
      </c>
      <c r="BR123" s="1" t="str">
        <f t="shared" si="40"/>
        <v/>
      </c>
      <c r="BS123" s="1" t="str">
        <f t="shared" si="41"/>
        <v/>
      </c>
    </row>
    <row r="124" spans="48:71" x14ac:dyDescent="0.25">
      <c r="AV124" t="s">
        <v>724</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M1895ModGZ</v>
      </c>
      <c r="BP124" s="1" t="str">
        <f t="shared" si="38"/>
        <v/>
      </c>
      <c r="BQ124" s="1" t="str">
        <f t="shared" si="39"/>
        <v/>
      </c>
      <c r="BR124" s="1" t="str">
        <f t="shared" si="40"/>
        <v/>
      </c>
      <c r="BS124" s="1" t="str">
        <f t="shared" si="41"/>
        <v/>
      </c>
    </row>
    <row r="125" spans="48:71" x14ac:dyDescent="0.25">
      <c r="AV125" t="s">
        <v>252</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M1897Mod</v>
      </c>
      <c r="BP125" s="1" t="str">
        <f t="shared" si="38"/>
        <v/>
      </c>
      <c r="BQ125" s="1" t="str">
        <f t="shared" si="39"/>
        <v/>
      </c>
      <c r="BR125" s="1" t="str">
        <f t="shared" si="40"/>
        <v/>
      </c>
      <c r="BS125" s="1" t="str">
        <f t="shared" si="41"/>
        <v/>
      </c>
    </row>
    <row r="126" spans="48:71" x14ac:dyDescent="0.25">
      <c r="AV126" t="s">
        <v>8545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M1911Mod</v>
      </c>
      <c r="BP126" s="1" t="str">
        <f t="shared" si="38"/>
        <v/>
      </c>
      <c r="BQ126" s="1" t="str">
        <f t="shared" si="39"/>
        <v/>
      </c>
      <c r="BR126" s="1" t="str">
        <f t="shared" si="40"/>
        <v/>
      </c>
      <c r="BS126" s="1" t="str">
        <f t="shared" si="41"/>
        <v/>
      </c>
    </row>
    <row r="127" spans="48:71" x14ac:dyDescent="0.25">
      <c r="AV127" t="s">
        <v>105</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M1911ModGZ</v>
      </c>
      <c r="BP127" s="1" t="str">
        <f t="shared" si="38"/>
        <v/>
      </c>
      <c r="BQ127" s="1" t="str">
        <f t="shared" si="39"/>
        <v/>
      </c>
      <c r="BR127" s="1" t="str">
        <f t="shared" si="40"/>
        <v/>
      </c>
      <c r="BS127" s="1" t="str">
        <f t="shared" si="41"/>
        <v/>
      </c>
    </row>
    <row r="128" spans="48:71" x14ac:dyDescent="0.25">
      <c r="AV128" t="s">
        <v>259</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M1918</v>
      </c>
      <c r="BP128" s="1" t="str">
        <f t="shared" si="38"/>
        <v/>
      </c>
      <c r="BQ128" s="1" t="str">
        <f t="shared" si="39"/>
        <v/>
      </c>
      <c r="BR128" s="1" t="str">
        <f t="shared" si="40"/>
        <v/>
      </c>
      <c r="BS128" s="1" t="str">
        <f t="shared" si="41"/>
        <v/>
      </c>
    </row>
    <row r="129" spans="48:71" x14ac:dyDescent="0.25">
      <c r="AV129" t="s">
        <v>7306</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M1918Mod</v>
      </c>
      <c r="BP129" s="1" t="str">
        <f t="shared" si="38"/>
        <v/>
      </c>
      <c r="BQ129" s="1" t="str">
        <f t="shared" si="39"/>
        <v/>
      </c>
      <c r="BR129" s="1" t="str">
        <f t="shared" si="40"/>
        <v/>
      </c>
      <c r="BS129" s="1" t="str">
        <f t="shared" si="41"/>
        <v/>
      </c>
    </row>
    <row r="130" spans="48:71" x14ac:dyDescent="0.25">
      <c r="AV130" t="s">
        <v>107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M1918Ranking</v>
      </c>
      <c r="BP130" s="1" t="str">
        <f t="shared" si="38"/>
        <v/>
      </c>
      <c r="BQ130" s="1" t="str">
        <f t="shared" si="39"/>
        <v/>
      </c>
      <c r="BR130" s="1" t="str">
        <f t="shared" si="40"/>
        <v/>
      </c>
      <c r="BS130" s="1" t="str">
        <f t="shared" si="41"/>
        <v/>
      </c>
    </row>
    <row r="131" spans="48:71" x14ac:dyDescent="0.25">
      <c r="AV131" t="s">
        <v>7145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M1919A4</v>
      </c>
      <c r="BP131" s="1" t="str">
        <f t="shared" si="38"/>
        <v/>
      </c>
      <c r="BQ131" s="1" t="str">
        <f t="shared" si="39"/>
        <v/>
      </c>
      <c r="BR131" s="1" t="str">
        <f t="shared" si="40"/>
        <v/>
      </c>
      <c r="BS131" s="1" t="str">
        <f t="shared" si="41"/>
        <v/>
      </c>
    </row>
    <row r="132" spans="48:71" x14ac:dyDescent="0.25">
      <c r="AV132" t="s">
        <v>8304</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M1919A4Mod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788</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M1919A4ModGZ</v>
      </c>
      <c r="BP133" s="1" t="str">
        <f t="shared" si="58"/>
        <v/>
      </c>
      <c r="BQ133" s="1" t="str">
        <f t="shared" si="59"/>
        <v/>
      </c>
      <c r="BR133" s="1" t="str">
        <f t="shared" si="60"/>
        <v/>
      </c>
      <c r="BS133" s="1" t="str">
        <f t="shared" si="61"/>
        <v/>
      </c>
    </row>
    <row r="134" spans="48:71" x14ac:dyDescent="0.25">
      <c r="AV134" t="s">
        <v>89</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M1A1</v>
      </c>
      <c r="BP134" s="1" t="str">
        <f t="shared" si="58"/>
        <v/>
      </c>
      <c r="BQ134" s="1" t="str">
        <f t="shared" si="59"/>
        <v/>
      </c>
      <c r="BR134" s="1" t="str">
        <f t="shared" si="60"/>
        <v/>
      </c>
      <c r="BS134" s="1" t="str">
        <f t="shared" si="61"/>
        <v/>
      </c>
    </row>
    <row r="135" spans="48:71" x14ac:dyDescent="0.25">
      <c r="AV135" t="s">
        <v>1171</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M21</v>
      </c>
      <c r="BP135" s="1" t="str">
        <f t="shared" si="58"/>
        <v/>
      </c>
      <c r="BQ135" s="1" t="str">
        <f t="shared" si="59"/>
        <v/>
      </c>
      <c r="BR135" s="1" t="str">
        <f t="shared" si="60"/>
        <v/>
      </c>
      <c r="BS135" s="1" t="str">
        <f t="shared" si="61"/>
        <v/>
      </c>
    </row>
    <row r="136" spans="48:71" x14ac:dyDescent="0.25">
      <c r="AV136" t="s">
        <v>789</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M249SAW</v>
      </c>
      <c r="BP136" s="1" t="str">
        <f t="shared" si="58"/>
        <v/>
      </c>
      <c r="BQ136" s="1" t="str">
        <f t="shared" si="59"/>
        <v/>
      </c>
      <c r="BR136" s="1" t="str">
        <f t="shared" si="60"/>
        <v/>
      </c>
      <c r="BS136" s="1" t="str">
        <f t="shared" si="61"/>
        <v/>
      </c>
    </row>
    <row r="137" spans="48:71" x14ac:dyDescent="0.25">
      <c r="AV137" t="s">
        <v>77</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M2HB</v>
      </c>
      <c r="BP137" s="1" t="str">
        <f t="shared" si="58"/>
        <v/>
      </c>
      <c r="BQ137" s="1" t="str">
        <f t="shared" si="59"/>
        <v/>
      </c>
      <c r="BR137" s="1" t="str">
        <f t="shared" si="60"/>
        <v/>
      </c>
      <c r="BS137" s="1" t="str">
        <f t="shared" si="61"/>
        <v/>
      </c>
    </row>
    <row r="138" spans="48:71" x14ac:dyDescent="0.25">
      <c r="AV138" t="s">
        <v>147</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M3</v>
      </c>
      <c r="BP138" s="1" t="str">
        <f t="shared" si="58"/>
        <v/>
      </c>
      <c r="BQ138" s="1" t="str">
        <f t="shared" si="59"/>
        <v/>
      </c>
      <c r="BR138" s="1" t="str">
        <f t="shared" si="60"/>
        <v/>
      </c>
      <c r="BS138" s="1" t="str">
        <f t="shared" si="61"/>
        <v/>
      </c>
    </row>
    <row r="139" spans="48:71" x14ac:dyDescent="0.25">
      <c r="AV139" t="s">
        <v>714</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M37</v>
      </c>
      <c r="BP139" s="1" t="str">
        <f t="shared" si="58"/>
        <v/>
      </c>
      <c r="BQ139" s="1" t="str">
        <f t="shared" si="59"/>
        <v/>
      </c>
      <c r="BR139" s="1" t="str">
        <f t="shared" si="60"/>
        <v/>
      </c>
      <c r="BS139" s="1" t="str">
        <f t="shared" si="61"/>
        <v/>
      </c>
    </row>
    <row r="140" spans="48:71" x14ac:dyDescent="0.25">
      <c r="AV140" t="s">
        <v>256</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M38Mod</v>
      </c>
      <c r="BP140" s="1" t="str">
        <f t="shared" si="58"/>
        <v/>
      </c>
      <c r="BQ140" s="1" t="str">
        <f t="shared" si="59"/>
        <v/>
      </c>
      <c r="BR140" s="1" t="str">
        <f t="shared" si="60"/>
        <v/>
      </c>
      <c r="BS140" s="1" t="str">
        <f t="shared" si="61"/>
        <v/>
      </c>
    </row>
    <row r="141" spans="48:71" x14ac:dyDescent="0.25">
      <c r="AV141" t="s">
        <v>255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M4 SOPMOD IIMod</v>
      </c>
      <c r="BP141" s="1" t="str">
        <f t="shared" si="58"/>
        <v/>
      </c>
      <c r="BQ141" s="1" t="str">
        <f t="shared" si="59"/>
        <v/>
      </c>
      <c r="BR141" s="1" t="str">
        <f t="shared" si="60"/>
        <v/>
      </c>
      <c r="BS141" s="1" t="str">
        <f t="shared" si="61"/>
        <v/>
      </c>
    </row>
    <row r="142" spans="48:71" x14ac:dyDescent="0.25">
      <c r="AV142" t="s">
        <v>715</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M4A1Mod</v>
      </c>
      <c r="BP142" s="1" t="str">
        <f t="shared" si="58"/>
        <v/>
      </c>
      <c r="BQ142" s="1" t="str">
        <f t="shared" si="59"/>
        <v/>
      </c>
      <c r="BR142" s="1" t="str">
        <f t="shared" si="60"/>
        <v/>
      </c>
      <c r="BS142" s="1" t="str">
        <f t="shared" si="61"/>
        <v/>
      </c>
    </row>
    <row r="143" spans="48:71" x14ac:dyDescent="0.25">
      <c r="AV143" t="s">
        <v>9076</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M500Mod</v>
      </c>
      <c r="BP143" s="1" t="str">
        <f t="shared" si="58"/>
        <v/>
      </c>
      <c r="BQ143" s="1" t="str">
        <f t="shared" si="59"/>
        <v/>
      </c>
      <c r="BR143" s="1" t="str">
        <f t="shared" si="60"/>
        <v/>
      </c>
      <c r="BS143" s="1" t="str">
        <f t="shared" si="61"/>
        <v/>
      </c>
    </row>
    <row r="144" spans="48:71" x14ac:dyDescent="0.25">
      <c r="AV144" t="s">
        <v>811</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M500ModGZ</v>
      </c>
      <c r="BP144" s="1" t="str">
        <f t="shared" si="58"/>
        <v/>
      </c>
      <c r="BQ144" s="1" t="str">
        <f t="shared" si="59"/>
        <v/>
      </c>
      <c r="BR144" s="1" t="str">
        <f t="shared" si="60"/>
        <v/>
      </c>
      <c r="BS144" s="1" t="str">
        <f t="shared" si="61"/>
        <v/>
      </c>
    </row>
    <row r="145" spans="48:71" x14ac:dyDescent="0.25">
      <c r="AV145" t="s">
        <v>185</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M6 ASW</v>
      </c>
      <c r="BP145" s="1" t="str">
        <f t="shared" si="58"/>
        <v/>
      </c>
      <c r="BQ145" s="1" t="str">
        <f t="shared" si="59"/>
        <v/>
      </c>
      <c r="BR145" s="1" t="str">
        <f t="shared" si="60"/>
        <v/>
      </c>
      <c r="BS145" s="1" t="str">
        <f t="shared" si="61"/>
        <v/>
      </c>
    </row>
    <row r="146" spans="48:71" x14ac:dyDescent="0.25">
      <c r="AV146" t="s">
        <v>5632</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M82A1</v>
      </c>
      <c r="BP146" s="1" t="str">
        <f t="shared" si="58"/>
        <v/>
      </c>
      <c r="BQ146" s="1" t="str">
        <f t="shared" si="59"/>
        <v/>
      </c>
      <c r="BR146" s="1" t="str">
        <f t="shared" si="60"/>
        <v/>
      </c>
      <c r="BS146" s="1" t="str">
        <f t="shared" si="61"/>
        <v/>
      </c>
    </row>
    <row r="147" spans="48:71" x14ac:dyDescent="0.25">
      <c r="AV147" t="s">
        <v>63</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M870</v>
      </c>
      <c r="BP147" s="1" t="str">
        <f t="shared" si="58"/>
        <v/>
      </c>
      <c r="BQ147" s="1" t="str">
        <f t="shared" si="59"/>
        <v/>
      </c>
      <c r="BR147" s="1" t="str">
        <f t="shared" si="60"/>
        <v/>
      </c>
      <c r="BS147" s="1" t="str">
        <f t="shared" si="61"/>
        <v/>
      </c>
    </row>
    <row r="148" spans="48:71" x14ac:dyDescent="0.25">
      <c r="AV148" t="s">
        <v>262</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M9</v>
      </c>
      <c r="BP148" s="1" t="str">
        <f t="shared" si="58"/>
        <v/>
      </c>
      <c r="BQ148" s="1" t="str">
        <f t="shared" si="59"/>
        <v/>
      </c>
      <c r="BR148" s="1" t="str">
        <f t="shared" si="60"/>
        <v/>
      </c>
      <c r="BS148" s="1" t="str">
        <f t="shared" si="61"/>
        <v/>
      </c>
    </row>
    <row r="149" spans="48:71" x14ac:dyDescent="0.25">
      <c r="AV149" t="s">
        <v>8648</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M950AMod</v>
      </c>
      <c r="BP149" s="1" t="str">
        <f t="shared" si="58"/>
        <v/>
      </c>
      <c r="BQ149" s="1" t="str">
        <f t="shared" si="59"/>
        <v/>
      </c>
      <c r="BR149" s="1" t="str">
        <f t="shared" si="60"/>
        <v/>
      </c>
      <c r="BS149" s="1" t="str">
        <f t="shared" si="61"/>
        <v/>
      </c>
    </row>
    <row r="150" spans="48:71" x14ac:dyDescent="0.25">
      <c r="AV150" t="s">
        <v>68</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M950AModGZ</v>
      </c>
      <c r="BP150" s="1" t="str">
        <f t="shared" si="58"/>
        <v/>
      </c>
      <c r="BQ150" s="1" t="str">
        <f t="shared" si="59"/>
        <v/>
      </c>
      <c r="BR150" s="1" t="str">
        <f t="shared" si="60"/>
        <v/>
      </c>
      <c r="BS150" s="1" t="str">
        <f t="shared" si="61"/>
        <v/>
      </c>
    </row>
    <row r="151" spans="48:71" x14ac:dyDescent="0.25">
      <c r="AV151" t="s">
        <v>937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Makarov</v>
      </c>
      <c r="BP151" s="1" t="str">
        <f t="shared" si="58"/>
        <v/>
      </c>
      <c r="BQ151" s="1" t="str">
        <f t="shared" si="59"/>
        <v/>
      </c>
      <c r="BR151" s="1" t="str">
        <f t="shared" si="60"/>
        <v/>
      </c>
      <c r="BS151" s="1" t="str">
        <f t="shared" si="61"/>
        <v/>
      </c>
    </row>
    <row r="152" spans="48:71" x14ac:dyDescent="0.25">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MakarovMod</v>
      </c>
      <c r="BP152" s="1" t="str">
        <f t="shared" si="58"/>
        <v/>
      </c>
      <c r="BQ152" s="1" t="str">
        <f t="shared" si="59"/>
        <v/>
      </c>
      <c r="BR152" s="1" t="str">
        <f t="shared" si="60"/>
        <v/>
      </c>
      <c r="BS152" s="1" t="str">
        <f t="shared" si="61"/>
        <v/>
      </c>
    </row>
    <row r="153" spans="48:71" x14ac:dyDescent="0.25">
      <c r="AV153" t="s">
        <v>179</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MakarovModGZ</v>
      </c>
      <c r="BP153" s="1" t="str">
        <f t="shared" si="58"/>
        <v/>
      </c>
      <c r="BQ153" s="1" t="str">
        <f t="shared" si="59"/>
        <v/>
      </c>
      <c r="BR153" s="1" t="str">
        <f t="shared" si="60"/>
        <v/>
      </c>
      <c r="BS153" s="1" t="str">
        <f t="shared" si="61"/>
        <v/>
      </c>
    </row>
    <row r="154" spans="48:71" x14ac:dyDescent="0.25">
      <c r="AV154" t="s">
        <v>1396</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MDR</v>
      </c>
      <c r="BP154" s="1" t="str">
        <f t="shared" si="58"/>
        <v/>
      </c>
      <c r="BQ154" s="1" t="str">
        <f t="shared" si="59"/>
        <v/>
      </c>
      <c r="BR154" s="1" t="str">
        <f t="shared" si="60"/>
        <v/>
      </c>
      <c r="BS154" s="1" t="str">
        <f t="shared" si="61"/>
        <v/>
      </c>
    </row>
    <row r="155" spans="48:71" x14ac:dyDescent="0.25">
      <c r="AV155" t="s">
        <v>114</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Medusa</v>
      </c>
      <c r="BP155" s="1" t="str">
        <f t="shared" si="58"/>
        <v/>
      </c>
      <c r="BQ155" s="1" t="str">
        <f t="shared" si="59"/>
        <v/>
      </c>
      <c r="BR155" s="1" t="str">
        <f t="shared" si="60"/>
        <v/>
      </c>
      <c r="BS155" s="1" t="str">
        <f t="shared" si="61"/>
        <v/>
      </c>
    </row>
    <row r="156" spans="48:71" x14ac:dyDescent="0.25">
      <c r="AV156" t="s">
        <v>113</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MG3</v>
      </c>
      <c r="BP156" s="1" t="str">
        <f t="shared" si="58"/>
        <v/>
      </c>
      <c r="BQ156" s="1" t="str">
        <f t="shared" si="59"/>
        <v/>
      </c>
      <c r="BR156" s="1" t="str">
        <f t="shared" si="60"/>
        <v/>
      </c>
      <c r="BS156" s="1" t="str">
        <f t="shared" si="61"/>
        <v/>
      </c>
    </row>
    <row r="157" spans="48:71" x14ac:dyDescent="0.25">
      <c r="AV157" t="s">
        <v>6474</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MG34</v>
      </c>
      <c r="BP157" s="1" t="str">
        <f t="shared" si="58"/>
        <v/>
      </c>
      <c r="BQ157" s="1" t="str">
        <f t="shared" si="59"/>
        <v/>
      </c>
      <c r="BR157" s="1" t="str">
        <f t="shared" si="60"/>
        <v/>
      </c>
      <c r="BS157" s="1" t="str">
        <f t="shared" si="61"/>
        <v/>
      </c>
    </row>
    <row r="158" spans="48:71" x14ac:dyDescent="0.25">
      <c r="AV158" t="s">
        <v>8352</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MG3Mod</v>
      </c>
      <c r="BP158" s="1" t="str">
        <f t="shared" si="58"/>
        <v/>
      </c>
      <c r="BQ158" s="1" t="str">
        <f t="shared" si="59"/>
        <v/>
      </c>
      <c r="BR158" s="1" t="str">
        <f t="shared" si="60"/>
        <v/>
      </c>
      <c r="BS158" s="1" t="str">
        <f t="shared" si="61"/>
        <v/>
      </c>
    </row>
    <row r="159" spans="48:71" x14ac:dyDescent="0.25">
      <c r="AV159" t="s">
        <v>299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MG3ModGZ</v>
      </c>
      <c r="BP159" s="1" t="str">
        <f t="shared" si="58"/>
        <v/>
      </c>
      <c r="BQ159" s="1" t="str">
        <f t="shared" si="59"/>
        <v/>
      </c>
      <c r="BR159" s="1" t="str">
        <f t="shared" si="60"/>
        <v/>
      </c>
      <c r="BS159" s="1" t="str">
        <f t="shared" si="61"/>
        <v/>
      </c>
    </row>
    <row r="160" spans="48:71" x14ac:dyDescent="0.25">
      <c r="AV160" t="s">
        <v>112</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MG4</v>
      </c>
      <c r="BP160" s="1" t="str">
        <f t="shared" si="58"/>
        <v/>
      </c>
      <c r="BQ160" s="1" t="str">
        <f t="shared" si="59"/>
        <v/>
      </c>
      <c r="BR160" s="1" t="str">
        <f t="shared" si="60"/>
        <v/>
      </c>
      <c r="BS160" s="1" t="str">
        <f t="shared" si="61"/>
        <v/>
      </c>
    </row>
    <row r="161" spans="48:71" x14ac:dyDescent="0.25">
      <c r="AV161" t="s">
        <v>926</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MG42</v>
      </c>
      <c r="BP161" s="1" t="str">
        <f t="shared" si="58"/>
        <v/>
      </c>
      <c r="BQ161" s="1" t="str">
        <f t="shared" si="59"/>
        <v/>
      </c>
      <c r="BR161" s="1" t="str">
        <f t="shared" si="60"/>
        <v/>
      </c>
      <c r="BS161" s="1" t="str">
        <f t="shared" si="61"/>
        <v/>
      </c>
    </row>
    <row r="162" spans="48:71" x14ac:dyDescent="0.25">
      <c r="AV162" t="s">
        <v>8126</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MG4Mod</v>
      </c>
      <c r="BP162" s="1" t="str">
        <f t="shared" si="58"/>
        <v/>
      </c>
      <c r="BQ162" s="1" t="str">
        <f t="shared" si="59"/>
        <v/>
      </c>
      <c r="BR162" s="1" t="str">
        <f t="shared" si="60"/>
        <v/>
      </c>
      <c r="BS162" s="1" t="str">
        <f t="shared" si="61"/>
        <v/>
      </c>
    </row>
    <row r="163" spans="48:71" x14ac:dyDescent="0.25">
      <c r="AV163" t="s">
        <v>300</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MG4ModGZ</v>
      </c>
      <c r="BP163" s="1" t="str">
        <f t="shared" si="58"/>
        <v/>
      </c>
      <c r="BQ163" s="1" t="str">
        <f t="shared" si="59"/>
        <v/>
      </c>
      <c r="BR163" s="1" t="str">
        <f t="shared" si="60"/>
        <v/>
      </c>
      <c r="BS163" s="1" t="str">
        <f t="shared" si="61"/>
        <v/>
      </c>
    </row>
    <row r="164" spans="48:71" x14ac:dyDescent="0.25">
      <c r="AV164" t="s">
        <v>253</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MG5</v>
      </c>
      <c r="BP164" s="1" t="str">
        <f t="shared" si="58"/>
        <v/>
      </c>
      <c r="BQ164" s="1" t="str">
        <f t="shared" si="59"/>
        <v/>
      </c>
      <c r="BR164" s="1" t="str">
        <f t="shared" si="60"/>
        <v/>
      </c>
      <c r="BS164" s="1" t="str">
        <f t="shared" si="61"/>
        <v/>
      </c>
    </row>
    <row r="165" spans="48:71" x14ac:dyDescent="0.25">
      <c r="AV165" t="s">
        <v>1400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Micro UziMod</v>
      </c>
      <c r="BP165" s="1" t="str">
        <f t="shared" si="58"/>
        <v/>
      </c>
      <c r="BQ165" s="1" t="str">
        <f t="shared" si="59"/>
        <v/>
      </c>
      <c r="BR165" s="1" t="str">
        <f t="shared" si="60"/>
        <v/>
      </c>
      <c r="BS165" s="1" t="str">
        <f t="shared" si="61"/>
        <v/>
      </c>
    </row>
    <row r="166" spans="48:71" x14ac:dyDescent="0.25">
      <c r="AV166" t="s">
        <v>8690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Minos</v>
      </c>
      <c r="BP166" s="1" t="str">
        <f t="shared" si="58"/>
        <v/>
      </c>
      <c r="BQ166" s="1" t="str">
        <f t="shared" si="59"/>
        <v/>
      </c>
      <c r="BR166" s="1" t="str">
        <f t="shared" si="60"/>
        <v/>
      </c>
      <c r="BS166" s="1" t="str">
        <f t="shared" si="61"/>
        <v/>
      </c>
    </row>
    <row r="167" spans="48:71" x14ac:dyDescent="0.25">
      <c r="AV167" t="s">
        <v>1178</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Mizukane</v>
      </c>
      <c r="BP167" s="1" t="str">
        <f t="shared" si="58"/>
        <v/>
      </c>
      <c r="BQ167" s="1" t="str">
        <f t="shared" si="59"/>
        <v/>
      </c>
      <c r="BR167" s="1" t="str">
        <f t="shared" si="60"/>
        <v/>
      </c>
      <c r="BS167" s="1" t="str">
        <f t="shared" si="61"/>
        <v/>
      </c>
    </row>
    <row r="168" spans="48:71" x14ac:dyDescent="0.25">
      <c r="AV168" t="s">
        <v>182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Mk23</v>
      </c>
      <c r="BP168" s="1" t="str">
        <f t="shared" si="58"/>
        <v/>
      </c>
      <c r="BQ168" s="1" t="str">
        <f t="shared" si="59"/>
        <v/>
      </c>
      <c r="BR168" s="1" t="str">
        <f t="shared" si="60"/>
        <v/>
      </c>
      <c r="BS168" s="1" t="str">
        <f t="shared" si="61"/>
        <v/>
      </c>
    </row>
    <row r="169" spans="48:71" x14ac:dyDescent="0.25">
      <c r="AV169" t="s">
        <v>805</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Model L</v>
      </c>
      <c r="BP169" s="1" t="str">
        <f t="shared" si="58"/>
        <v/>
      </c>
      <c r="BQ169" s="1" t="str">
        <f t="shared" si="59"/>
        <v/>
      </c>
      <c r="BR169" s="1" t="str">
        <f t="shared" si="60"/>
        <v/>
      </c>
      <c r="BS169" s="1" t="str">
        <f t="shared" si="61"/>
        <v/>
      </c>
    </row>
    <row r="170" spans="48:71" x14ac:dyDescent="0.25">
      <c r="AV170" t="s">
        <v>728</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MondragonM1908</v>
      </c>
      <c r="BP170" s="1" t="str">
        <f t="shared" si="58"/>
        <v/>
      </c>
      <c r="BQ170" s="1" t="str">
        <f t="shared" si="59"/>
        <v/>
      </c>
      <c r="BR170" s="1" t="str">
        <f t="shared" si="60"/>
        <v/>
      </c>
      <c r="BS170" s="1" t="str">
        <f t="shared" si="61"/>
        <v/>
      </c>
    </row>
    <row r="171" spans="48:71" x14ac:dyDescent="0.25">
      <c r="AV171" t="s">
        <v>1679</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MosinNagant</v>
      </c>
      <c r="BP171" s="1" t="str">
        <f t="shared" si="58"/>
        <v/>
      </c>
      <c r="BQ171" s="1" t="str">
        <f t="shared" si="59"/>
        <v/>
      </c>
      <c r="BR171" s="1" t="str">
        <f t="shared" si="60"/>
        <v/>
      </c>
      <c r="BS171" s="1" t="str">
        <f t="shared" si="61"/>
        <v/>
      </c>
    </row>
    <row r="172" spans="48:71" x14ac:dyDescent="0.25">
      <c r="AV172" t="s">
        <v>8121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MosinNagantMod</v>
      </c>
      <c r="BP172" s="1" t="str">
        <f t="shared" si="58"/>
        <v/>
      </c>
      <c r="BQ172" s="1" t="str">
        <f t="shared" si="59"/>
        <v/>
      </c>
      <c r="BR172" s="1" t="str">
        <f t="shared" si="60"/>
        <v/>
      </c>
      <c r="BS172" s="1" t="str">
        <f t="shared" si="61"/>
        <v/>
      </c>
    </row>
    <row r="173" spans="48:71" x14ac:dyDescent="0.25">
      <c r="AV173" t="s">
        <v>8651</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MosinNagantModGZ</v>
      </c>
      <c r="BP173" s="1" t="str">
        <f t="shared" si="58"/>
        <v/>
      </c>
      <c r="BQ173" s="1" t="str">
        <f t="shared" si="59"/>
        <v/>
      </c>
      <c r="BR173" s="1" t="str">
        <f t="shared" si="60"/>
        <v/>
      </c>
      <c r="BS173" s="1" t="str">
        <f t="shared" si="61"/>
        <v/>
      </c>
    </row>
    <row r="174" spans="48:71" x14ac:dyDescent="0.25">
      <c r="AV174" t="s">
        <v>1753</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Motoko</v>
      </c>
      <c r="BP174" s="1" t="str">
        <f t="shared" si="58"/>
        <v/>
      </c>
      <c r="BQ174" s="1" t="str">
        <f t="shared" si="59"/>
        <v/>
      </c>
      <c r="BR174" s="1" t="str">
        <f t="shared" si="60"/>
        <v/>
      </c>
      <c r="BS174" s="1" t="str">
        <f t="shared" si="61"/>
        <v/>
      </c>
    </row>
    <row r="175" spans="48:71" x14ac:dyDescent="0.25">
      <c r="AV175" t="s">
        <v>1683</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MP443Mod</v>
      </c>
      <c r="BP175" s="1" t="str">
        <f t="shared" si="58"/>
        <v/>
      </c>
      <c r="BQ175" s="1" t="str">
        <f t="shared" si="59"/>
        <v/>
      </c>
      <c r="BR175" s="1" t="str">
        <f t="shared" si="60"/>
        <v/>
      </c>
      <c r="BS175" s="1" t="str">
        <f t="shared" si="61"/>
        <v/>
      </c>
    </row>
    <row r="176" spans="48:71" x14ac:dyDescent="0.25">
      <c r="AV176" t="s">
        <v>729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MP446Mod</v>
      </c>
      <c r="BP176" s="1" t="str">
        <f t="shared" si="58"/>
        <v/>
      </c>
      <c r="BQ176" s="1" t="str">
        <f t="shared" si="59"/>
        <v/>
      </c>
      <c r="BR176" s="1" t="str">
        <f t="shared" si="60"/>
        <v/>
      </c>
      <c r="BS176" s="1" t="str">
        <f t="shared" si="61"/>
        <v/>
      </c>
    </row>
    <row r="177" spans="48:71" x14ac:dyDescent="0.25">
      <c r="AV177" t="s">
        <v>1409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MP5</v>
      </c>
      <c r="BP177" s="1" t="str">
        <f t="shared" si="58"/>
        <v/>
      </c>
      <c r="BQ177" s="1" t="str">
        <f t="shared" si="59"/>
        <v/>
      </c>
      <c r="BR177" s="1" t="str">
        <f t="shared" si="60"/>
        <v/>
      </c>
      <c r="BS177" s="1" t="str">
        <f t="shared" si="61"/>
        <v/>
      </c>
    </row>
    <row r="178" spans="48:71" x14ac:dyDescent="0.25">
      <c r="AV178" t="s">
        <v>8125</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MP5Mod</v>
      </c>
      <c r="BP178" s="1" t="str">
        <f t="shared" si="58"/>
        <v/>
      </c>
      <c r="BQ178" s="1" t="str">
        <f t="shared" si="59"/>
        <v/>
      </c>
      <c r="BR178" s="1" t="str">
        <f t="shared" si="60"/>
        <v/>
      </c>
      <c r="BS178" s="1" t="str">
        <f t="shared" si="61"/>
        <v/>
      </c>
    </row>
    <row r="179" spans="48:71" x14ac:dyDescent="0.25">
      <c r="AV179" t="s">
        <v>1681</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MP5ModGZ</v>
      </c>
      <c r="BP179" s="1" t="str">
        <f t="shared" si="58"/>
        <v/>
      </c>
      <c r="BQ179" s="1" t="str">
        <f t="shared" si="59"/>
        <v/>
      </c>
      <c r="BR179" s="1" t="str">
        <f t="shared" si="60"/>
        <v/>
      </c>
      <c r="BS179" s="1" t="str">
        <f t="shared" si="61"/>
        <v/>
      </c>
    </row>
    <row r="180" spans="48:71" x14ac:dyDescent="0.25">
      <c r="AV180" t="s">
        <v>8528</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NTW20Mod</v>
      </c>
      <c r="BP180" s="1" t="str">
        <f t="shared" si="58"/>
        <v/>
      </c>
      <c r="BQ180" s="1" t="str">
        <f t="shared" si="59"/>
        <v/>
      </c>
      <c r="BR180" s="1" t="str">
        <f t="shared" si="60"/>
        <v/>
      </c>
      <c r="BS180" s="1" t="str">
        <f t="shared" si="61"/>
        <v/>
      </c>
    </row>
    <row r="181" spans="48:71" x14ac:dyDescent="0.25">
      <c r="AV181" t="s">
        <v>131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NTW20ModGZ</v>
      </c>
      <c r="BP181" s="1" t="str">
        <f t="shared" si="58"/>
        <v/>
      </c>
      <c r="BQ181" s="1" t="str">
        <f t="shared" si="59"/>
        <v/>
      </c>
      <c r="BR181" s="1" t="str">
        <f t="shared" si="60"/>
        <v/>
      </c>
      <c r="BS181" s="1" t="str">
        <f t="shared" si="61"/>
        <v/>
      </c>
    </row>
    <row r="182" spans="48:71" x14ac:dyDescent="0.25">
      <c r="AV182" t="s">
        <v>6487</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NZ75</v>
      </c>
      <c r="BP182" s="1" t="str">
        <f t="shared" si="58"/>
        <v/>
      </c>
      <c r="BQ182" s="1" t="str">
        <f t="shared" si="59"/>
        <v/>
      </c>
      <c r="BR182" s="1" t="str">
        <f t="shared" si="60"/>
        <v/>
      </c>
      <c r="BS182" s="1" t="str">
        <f t="shared" si="61"/>
        <v/>
      </c>
    </row>
    <row r="183" spans="48:71" x14ac:dyDescent="0.25">
      <c r="AV183" t="s">
        <v>1693</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OBRMod</v>
      </c>
      <c r="BP183" s="1" t="str">
        <f t="shared" si="58"/>
        <v/>
      </c>
      <c r="BQ183" s="1" t="str">
        <f t="shared" si="59"/>
        <v/>
      </c>
      <c r="BR183" s="1" t="str">
        <f t="shared" si="60"/>
        <v/>
      </c>
      <c r="BS183" s="1" t="str">
        <f t="shared" si="61"/>
        <v/>
      </c>
    </row>
    <row r="184" spans="48:71" x14ac:dyDescent="0.25">
      <c r="AV184" t="s">
        <v>1624</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Ots12</v>
      </c>
      <c r="BP184" s="1" t="str">
        <f t="shared" si="58"/>
        <v/>
      </c>
      <c r="BQ184" s="1" t="str">
        <f t="shared" si="59"/>
        <v/>
      </c>
      <c r="BR184" s="1" t="str">
        <f t="shared" si="60"/>
        <v/>
      </c>
      <c r="BS184" s="1" t="str">
        <f t="shared" si="61"/>
        <v/>
      </c>
    </row>
    <row r="185" spans="48:71" x14ac:dyDescent="0.25">
      <c r="AV185" t="s">
        <v>1694</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OTs14</v>
      </c>
      <c r="BP185" s="1" t="str">
        <f t="shared" si="58"/>
        <v/>
      </c>
      <c r="BQ185" s="1" t="str">
        <f t="shared" si="59"/>
        <v/>
      </c>
      <c r="BR185" s="1" t="str">
        <f t="shared" si="60"/>
        <v/>
      </c>
      <c r="BS185" s="1" t="str">
        <f t="shared" si="61"/>
        <v/>
      </c>
    </row>
    <row r="186" spans="48:71" x14ac:dyDescent="0.25">
      <c r="AV186" t="s">
        <v>71</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Ots44</v>
      </c>
      <c r="BP186" s="1" t="str">
        <f t="shared" si="58"/>
        <v/>
      </c>
      <c r="BQ186" s="1" t="str">
        <f t="shared" si="59"/>
        <v/>
      </c>
      <c r="BR186" s="1" t="str">
        <f t="shared" si="60"/>
        <v/>
      </c>
      <c r="BS186" s="1" t="str">
        <f t="shared" si="61"/>
        <v/>
      </c>
    </row>
    <row r="187" spans="48:71" x14ac:dyDescent="0.25">
      <c r="AV187" t="s">
        <v>197</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P08</v>
      </c>
      <c r="BP187" s="1" t="str">
        <f t="shared" si="58"/>
        <v/>
      </c>
      <c r="BQ187" s="1" t="str">
        <f t="shared" si="59"/>
        <v/>
      </c>
      <c r="BR187" s="1" t="str">
        <f t="shared" si="60"/>
        <v/>
      </c>
      <c r="BS187" s="1" t="str">
        <f t="shared" si="61"/>
        <v/>
      </c>
    </row>
    <row r="188" spans="48:71" x14ac:dyDescent="0.25">
      <c r="AV188" t="s">
        <v>69</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P22</v>
      </c>
      <c r="BP188" s="1" t="str">
        <f t="shared" si="58"/>
        <v/>
      </c>
      <c r="BQ188" s="1" t="str">
        <f t="shared" si="59"/>
        <v/>
      </c>
      <c r="BR188" s="1" t="str">
        <f t="shared" si="60"/>
        <v/>
      </c>
      <c r="BS188" s="1" t="str">
        <f t="shared" si="61"/>
        <v/>
      </c>
    </row>
    <row r="189" spans="48:71" x14ac:dyDescent="0.25">
      <c r="AV189" t="s">
        <v>122</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P38</v>
      </c>
      <c r="BP189" s="1" t="str">
        <f t="shared" si="58"/>
        <v/>
      </c>
      <c r="BQ189" s="1" t="str">
        <f t="shared" si="59"/>
        <v/>
      </c>
      <c r="BR189" s="1" t="str">
        <f t="shared" si="60"/>
        <v/>
      </c>
      <c r="BS189" s="1" t="str">
        <f t="shared" si="61"/>
        <v/>
      </c>
    </row>
    <row r="190" spans="48:71" x14ac:dyDescent="0.25">
      <c r="AV190" t="s">
        <v>190</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P7</v>
      </c>
      <c r="BP190" s="1" t="str">
        <f t="shared" si="58"/>
        <v/>
      </c>
      <c r="BQ190" s="1" t="str">
        <f t="shared" si="59"/>
        <v/>
      </c>
      <c r="BR190" s="1" t="str">
        <f t="shared" si="60"/>
        <v/>
      </c>
      <c r="BS190" s="1" t="str">
        <f t="shared" si="61"/>
        <v/>
      </c>
    </row>
    <row r="191" spans="48:71" x14ac:dyDescent="0.25">
      <c r="AV191" t="s">
        <v>129</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P90</v>
      </c>
      <c r="BP191" s="1" t="str">
        <f t="shared" si="58"/>
        <v/>
      </c>
      <c r="BQ191" s="1" t="str">
        <f t="shared" si="59"/>
        <v/>
      </c>
      <c r="BR191" s="1" t="str">
        <f t="shared" si="60"/>
        <v/>
      </c>
      <c r="BS191" s="1" t="str">
        <f t="shared" si="61"/>
        <v/>
      </c>
    </row>
    <row r="192" spans="48:71" x14ac:dyDescent="0.25">
      <c r="AV192" t="s">
        <v>1653</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P99</v>
      </c>
      <c r="BP192" s="1" t="str">
        <f t="shared" si="58"/>
        <v/>
      </c>
      <c r="BQ192" s="1" t="str">
        <f t="shared" si="59"/>
        <v/>
      </c>
      <c r="BR192" s="1" t="str">
        <f t="shared" si="60"/>
        <v/>
      </c>
      <c r="BS192" s="1" t="str">
        <f t="shared" si="61"/>
        <v/>
      </c>
    </row>
    <row r="193" spans="48:71" x14ac:dyDescent="0.25">
      <c r="AV193" t="s">
        <v>1393</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PA15</v>
      </c>
      <c r="BP193" s="1" t="str">
        <f t="shared" si="58"/>
        <v/>
      </c>
      <c r="BQ193" s="1" t="str">
        <f t="shared" si="59"/>
        <v/>
      </c>
      <c r="BR193" s="1" t="str">
        <f t="shared" si="60"/>
        <v/>
      </c>
      <c r="BS193" s="1" t="str">
        <f t="shared" si="61"/>
        <v/>
      </c>
    </row>
    <row r="194" spans="48:71" x14ac:dyDescent="0.25">
      <c r="AV194" t="s">
        <v>111</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Pekola</v>
      </c>
      <c r="BP194" s="1" t="str">
        <f t="shared" si="58"/>
        <v/>
      </c>
      <c r="BQ194" s="1" t="str">
        <f t="shared" si="59"/>
        <v/>
      </c>
      <c r="BR194" s="1" t="str">
        <f t="shared" si="60"/>
        <v/>
      </c>
      <c r="BS194" s="1" t="str">
        <f t="shared" si="61"/>
        <v/>
      </c>
    </row>
    <row r="195" spans="48:71" x14ac:dyDescent="0.25">
      <c r="AV195" t="s">
        <v>154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PK</v>
      </c>
      <c r="BP195" s="1" t="str">
        <f t="shared" si="58"/>
        <v/>
      </c>
      <c r="BQ195" s="1" t="str">
        <f t="shared" si="59"/>
        <v/>
      </c>
      <c r="BR195" s="1" t="str">
        <f t="shared" si="60"/>
        <v/>
      </c>
      <c r="BS195" s="1" t="str">
        <f t="shared" si="61"/>
        <v/>
      </c>
    </row>
    <row r="196" spans="48:71" x14ac:dyDescent="0.25">
      <c r="AV196" t="s">
        <v>8907</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PKP</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1684</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PKPGZ</v>
      </c>
      <c r="BP197" s="1" t="str">
        <f t="shared" si="78"/>
        <v/>
      </c>
      <c r="BQ197" s="1" t="str">
        <f t="shared" si="79"/>
        <v/>
      </c>
      <c r="BR197" s="1" t="str">
        <f t="shared" si="80"/>
        <v/>
      </c>
      <c r="BS197" s="1" t="str">
        <f t="shared" si="81"/>
        <v/>
      </c>
    </row>
    <row r="198" spans="48:71" x14ac:dyDescent="0.25">
      <c r="AV198" t="s">
        <v>1133</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PP19Mod</v>
      </c>
      <c r="BP198" s="1" t="str">
        <f t="shared" si="78"/>
        <v/>
      </c>
      <c r="BQ198" s="1" t="str">
        <f t="shared" si="79"/>
        <v/>
      </c>
      <c r="BR198" s="1" t="str">
        <f t="shared" si="80"/>
        <v/>
      </c>
      <c r="BS198" s="1" t="str">
        <f t="shared" si="81"/>
        <v/>
      </c>
    </row>
    <row r="199" spans="48:71" x14ac:dyDescent="0.25">
      <c r="AV199" t="s">
        <v>1611</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PP2000</v>
      </c>
      <c r="BP199" s="1" t="str">
        <f t="shared" si="78"/>
        <v/>
      </c>
      <c r="BQ199" s="1" t="str">
        <f t="shared" si="79"/>
        <v/>
      </c>
      <c r="BR199" s="1" t="str">
        <f t="shared" si="80"/>
        <v/>
      </c>
      <c r="BS199" s="1" t="str">
        <f t="shared" si="81"/>
        <v/>
      </c>
    </row>
    <row r="200" spans="48:71" x14ac:dyDescent="0.25">
      <c r="AV200" t="s">
        <v>70</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PP90</v>
      </c>
      <c r="BP200" s="1" t="str">
        <f t="shared" si="78"/>
        <v/>
      </c>
      <c r="BQ200" s="1" t="str">
        <f t="shared" si="79"/>
        <v/>
      </c>
      <c r="BR200" s="1" t="str">
        <f t="shared" si="80"/>
        <v/>
      </c>
      <c r="BS200" s="1" t="str">
        <f t="shared" si="81"/>
        <v/>
      </c>
    </row>
    <row r="201" spans="48:71" x14ac:dyDescent="0.25">
      <c r="AV201" t="s">
        <v>6466</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PPK</v>
      </c>
      <c r="BP201" s="1" t="str">
        <f t="shared" si="78"/>
        <v/>
      </c>
      <c r="BQ201" s="1" t="str">
        <f t="shared" si="79"/>
        <v/>
      </c>
      <c r="BR201" s="1" t="str">
        <f t="shared" si="80"/>
        <v/>
      </c>
      <c r="BS201" s="1" t="str">
        <f t="shared" si="81"/>
        <v/>
      </c>
    </row>
    <row r="202" spans="48:71" x14ac:dyDescent="0.25">
      <c r="AV202" t="s">
        <v>8119</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PPKMod</v>
      </c>
      <c r="BP202" s="1" t="str">
        <f t="shared" si="78"/>
        <v/>
      </c>
      <c r="BQ202" s="1" t="str">
        <f t="shared" si="79"/>
        <v/>
      </c>
      <c r="BR202" s="1" t="str">
        <f t="shared" si="80"/>
        <v/>
      </c>
      <c r="BS202" s="1" t="str">
        <f t="shared" si="81"/>
        <v/>
      </c>
    </row>
    <row r="203" spans="48:71" x14ac:dyDescent="0.25">
      <c r="AV203" t="s">
        <v>904</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PPKModGZ</v>
      </c>
      <c r="BP203" s="1" t="str">
        <f t="shared" si="78"/>
        <v/>
      </c>
      <c r="BQ203" s="1" t="str">
        <f t="shared" si="79"/>
        <v/>
      </c>
      <c r="BR203" s="1" t="str">
        <f t="shared" si="80"/>
        <v/>
      </c>
      <c r="BS203" s="1" t="str">
        <f t="shared" si="81"/>
        <v/>
      </c>
    </row>
    <row r="204" spans="48:71" x14ac:dyDescent="0.25">
      <c r="AV204" t="s">
        <v>5721</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PPSh41</v>
      </c>
      <c r="BP204" s="1" t="str">
        <f t="shared" si="78"/>
        <v/>
      </c>
      <c r="BQ204" s="1" t="str">
        <f t="shared" si="79"/>
        <v/>
      </c>
      <c r="BR204" s="1" t="str">
        <f t="shared" si="80"/>
        <v/>
      </c>
      <c r="BS204" s="1" t="str">
        <f t="shared" si="81"/>
        <v/>
      </c>
    </row>
    <row r="205" spans="48:71" x14ac:dyDescent="0.25">
      <c r="AV205" t="s">
        <v>8120</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PPsh41Mod</v>
      </c>
      <c r="BP205" s="1" t="str">
        <f t="shared" si="78"/>
        <v/>
      </c>
      <c r="BQ205" s="1" t="str">
        <f t="shared" si="79"/>
        <v/>
      </c>
      <c r="BR205" s="1" t="str">
        <f t="shared" si="80"/>
        <v/>
      </c>
      <c r="BS205" s="1" t="str">
        <f t="shared" si="81"/>
        <v/>
      </c>
    </row>
    <row r="206" spans="48:71" x14ac:dyDescent="0.25">
      <c r="AV206" t="s">
        <v>91</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PPSh41ModGZ</v>
      </c>
      <c r="BP206" s="1" t="str">
        <f t="shared" si="78"/>
        <v/>
      </c>
      <c r="BQ206" s="1" t="str">
        <f t="shared" si="79"/>
        <v/>
      </c>
      <c r="BR206" s="1" t="str">
        <f t="shared" si="80"/>
        <v/>
      </c>
      <c r="BS206" s="1" t="str">
        <f t="shared" si="81"/>
        <v/>
      </c>
    </row>
    <row r="207" spans="48:71" x14ac:dyDescent="0.25">
      <c r="AV207" t="s">
        <v>186</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PTRD</v>
      </c>
      <c r="BP207" s="1" t="str">
        <f t="shared" si="78"/>
        <v/>
      </c>
      <c r="BQ207" s="1" t="str">
        <f t="shared" si="79"/>
        <v/>
      </c>
      <c r="BR207" s="1" t="str">
        <f t="shared" si="80"/>
        <v/>
      </c>
      <c r="BS207" s="1" t="str">
        <f t="shared" si="81"/>
        <v/>
      </c>
    </row>
    <row r="208" spans="48:71" x14ac:dyDescent="0.25">
      <c r="AV208" t="s">
        <v>8626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Px4 Storm</v>
      </c>
      <c r="BP208" s="1" t="str">
        <f t="shared" si="78"/>
        <v/>
      </c>
      <c r="BQ208" s="1" t="str">
        <f t="shared" si="79"/>
        <v/>
      </c>
      <c r="BR208" s="1" t="str">
        <f t="shared" si="80"/>
        <v/>
      </c>
      <c r="BS208" s="1" t="str">
        <f t="shared" si="81"/>
        <v/>
      </c>
    </row>
    <row r="209" spans="48:71" x14ac:dyDescent="0.25">
      <c r="AV209" t="s">
        <v>64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Px4 StormMod</v>
      </c>
      <c r="BP209" s="1" t="str">
        <f t="shared" si="78"/>
        <v/>
      </c>
      <c r="BQ209" s="1" t="str">
        <f t="shared" si="79"/>
        <v/>
      </c>
      <c r="BR209" s="1" t="str">
        <f t="shared" si="80"/>
        <v/>
      </c>
      <c r="BS209" s="1" t="str">
        <f t="shared" si="81"/>
        <v/>
      </c>
    </row>
    <row r="210" spans="48:71" x14ac:dyDescent="0.25">
      <c r="AV210" t="s">
        <v>159</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Python</v>
      </c>
      <c r="BP210" s="1" t="str">
        <f t="shared" si="78"/>
        <v/>
      </c>
      <c r="BQ210" s="1" t="str">
        <f t="shared" si="79"/>
        <v/>
      </c>
      <c r="BR210" s="1" t="str">
        <f t="shared" si="80"/>
        <v/>
      </c>
      <c r="BS210" s="1" t="str">
        <f t="shared" si="81"/>
        <v/>
      </c>
    </row>
    <row r="211" spans="48:71" x14ac:dyDescent="0.25">
      <c r="AV211" t="s">
        <v>1654</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PzB39</v>
      </c>
      <c r="BP211" s="1" t="str">
        <f t="shared" si="78"/>
        <v/>
      </c>
      <c r="BQ211" s="1" t="str">
        <f t="shared" si="79"/>
        <v/>
      </c>
      <c r="BR211" s="1" t="str">
        <f t="shared" si="80"/>
        <v/>
      </c>
      <c r="BS211" s="1" t="str">
        <f t="shared" si="81"/>
        <v/>
      </c>
    </row>
    <row r="212" spans="48:71" x14ac:dyDescent="0.25">
      <c r="AV212" t="s">
        <v>8963</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QBU88</v>
      </c>
      <c r="BP212" s="1" t="str">
        <f t="shared" si="78"/>
        <v/>
      </c>
      <c r="BQ212" s="1" t="str">
        <f t="shared" si="79"/>
        <v/>
      </c>
      <c r="BR212" s="1" t="str">
        <f t="shared" si="80"/>
        <v/>
      </c>
      <c r="BS212" s="1" t="str">
        <f t="shared" si="81"/>
        <v/>
      </c>
    </row>
    <row r="213" spans="48:71" x14ac:dyDescent="0.25">
      <c r="AV213" t="s">
        <v>229</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Rex Zero 1Mod</v>
      </c>
      <c r="BP213" s="1" t="str">
        <f t="shared" si="78"/>
        <v/>
      </c>
      <c r="BQ213" s="1" t="str">
        <f t="shared" si="79"/>
        <v/>
      </c>
      <c r="BR213" s="1" t="str">
        <f t="shared" si="80"/>
        <v/>
      </c>
      <c r="BS213" s="1" t="str">
        <f t="shared" si="81"/>
        <v/>
      </c>
    </row>
    <row r="214" spans="48:71" x14ac:dyDescent="0.25">
      <c r="AV214" t="s">
        <v>1754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RFB</v>
      </c>
      <c r="BP214" s="1" t="str">
        <f t="shared" si="78"/>
        <v/>
      </c>
      <c r="BQ214" s="1" t="str">
        <f t="shared" si="79"/>
        <v/>
      </c>
      <c r="BR214" s="1" t="str">
        <f t="shared" si="80"/>
        <v/>
      </c>
      <c r="BS214" s="1" t="str">
        <f t="shared" si="81"/>
        <v/>
      </c>
    </row>
    <row r="215" spans="48:71" x14ac:dyDescent="0.25">
      <c r="AV215" t="s">
        <v>248</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Ribeyrolles1918Mod</v>
      </c>
      <c r="BP215" s="1" t="str">
        <f t="shared" si="78"/>
        <v/>
      </c>
      <c r="BQ215" s="1" t="str">
        <f t="shared" si="79"/>
        <v/>
      </c>
      <c r="BR215" s="1" t="str">
        <f t="shared" si="80"/>
        <v/>
      </c>
      <c r="BS215" s="1" t="str">
        <f t="shared" si="81"/>
        <v/>
      </c>
    </row>
    <row r="216" spans="48:71" x14ac:dyDescent="0.25">
      <c r="AV216" t="s">
        <v>927</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Rico</v>
      </c>
      <c r="BP216" s="1" t="str">
        <f t="shared" si="78"/>
        <v/>
      </c>
      <c r="BQ216" s="1" t="str">
        <f t="shared" si="79"/>
        <v/>
      </c>
      <c r="BR216" s="1" t="str">
        <f t="shared" si="80"/>
        <v/>
      </c>
      <c r="BS216" s="1" t="str">
        <f t="shared" si="81"/>
        <v/>
      </c>
    </row>
    <row r="217" spans="48:71" x14ac:dyDescent="0.25">
      <c r="AV217" t="s">
        <v>825</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RMB93Mod</v>
      </c>
      <c r="BP217" s="1" t="str">
        <f t="shared" si="78"/>
        <v/>
      </c>
      <c r="BQ217" s="1" t="str">
        <f t="shared" si="79"/>
        <v/>
      </c>
      <c r="BR217" s="1" t="str">
        <f t="shared" si="80"/>
        <v/>
      </c>
      <c r="BS217" s="1" t="str">
        <f t="shared" si="81"/>
        <v/>
      </c>
    </row>
    <row r="218" spans="48:71" x14ac:dyDescent="0.25">
      <c r="AV218" t="s">
        <v>8703</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RO635Mod</v>
      </c>
      <c r="BP218" s="1" t="str">
        <f t="shared" si="78"/>
        <v/>
      </c>
      <c r="BQ218" s="1" t="str">
        <f t="shared" si="79"/>
        <v/>
      </c>
      <c r="BR218" s="1" t="str">
        <f t="shared" si="80"/>
        <v/>
      </c>
      <c r="BS218" s="1" t="str">
        <f t="shared" si="81"/>
        <v/>
      </c>
    </row>
    <row r="219" spans="48:71" x14ac:dyDescent="0.25">
      <c r="AV219" t="s">
        <v>110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RO635ModGZ</v>
      </c>
      <c r="BP219" s="1" t="str">
        <f t="shared" si="78"/>
        <v/>
      </c>
      <c r="BQ219" s="1" t="str">
        <f t="shared" si="79"/>
        <v/>
      </c>
      <c r="BR219" s="1" t="str">
        <f t="shared" si="80"/>
        <v/>
      </c>
      <c r="BS219" s="1" t="str">
        <f t="shared" si="81"/>
        <v/>
      </c>
    </row>
    <row r="220" spans="48:71" x14ac:dyDescent="0.25">
      <c r="AV220" t="s">
        <v>266</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RPD</v>
      </c>
      <c r="BP220" s="1" t="str">
        <f t="shared" si="78"/>
        <v/>
      </c>
      <c r="BQ220" s="1" t="str">
        <f t="shared" si="79"/>
        <v/>
      </c>
      <c r="BR220" s="1" t="str">
        <f t="shared" si="80"/>
        <v/>
      </c>
      <c r="BS220" s="1" t="str">
        <f t="shared" si="81"/>
        <v/>
      </c>
    </row>
    <row r="221" spans="48:71" x14ac:dyDescent="0.25">
      <c r="AV221" t="s">
        <v>1634</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SAAMod</v>
      </c>
      <c r="BP221" s="1" t="str">
        <f t="shared" si="78"/>
        <v/>
      </c>
      <c r="BQ221" s="1" t="str">
        <f t="shared" si="79"/>
        <v/>
      </c>
      <c r="BR221" s="1" t="str">
        <f t="shared" si="80"/>
        <v/>
      </c>
      <c r="BS221" s="1" t="str">
        <f t="shared" si="81"/>
        <v/>
      </c>
    </row>
    <row r="222" spans="48:71" x14ac:dyDescent="0.25">
      <c r="AV222" t="s">
        <v>7023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Saiga12</v>
      </c>
      <c r="BP222" s="1" t="str">
        <f t="shared" si="78"/>
        <v/>
      </c>
      <c r="BQ222" s="1" t="str">
        <f t="shared" si="79"/>
        <v/>
      </c>
      <c r="BR222" s="1" t="str">
        <f t="shared" si="80"/>
        <v/>
      </c>
      <c r="BS222" s="1" t="str">
        <f t="shared" si="81"/>
        <v/>
      </c>
    </row>
    <row r="223" spans="48:71" x14ac:dyDescent="0.25">
      <c r="AV223" t="s">
        <v>235</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Saki</v>
      </c>
      <c r="BP223" s="1" t="str">
        <f t="shared" si="78"/>
        <v/>
      </c>
      <c r="BQ223" s="1" t="str">
        <f t="shared" si="79"/>
        <v/>
      </c>
      <c r="BR223" s="1" t="str">
        <f t="shared" si="80"/>
        <v/>
      </c>
      <c r="BS223" s="1" t="str">
        <f t="shared" si="81"/>
        <v/>
      </c>
    </row>
    <row r="224" spans="48:71" x14ac:dyDescent="0.25">
      <c r="AV224" t="s">
        <v>6897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Sakura</v>
      </c>
      <c r="BP224" s="1" t="str">
        <f t="shared" si="78"/>
        <v/>
      </c>
      <c r="BQ224" s="1" t="str">
        <f t="shared" si="79"/>
        <v/>
      </c>
      <c r="BR224" s="1" t="str">
        <f t="shared" si="80"/>
        <v/>
      </c>
      <c r="BS224" s="1" t="str">
        <f t="shared" si="81"/>
        <v/>
      </c>
    </row>
    <row r="225" spans="48:71" x14ac:dyDescent="0.25">
      <c r="AV225" t="s">
        <v>6905</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SCAR-H</v>
      </c>
      <c r="BP225" s="1" t="str">
        <f t="shared" si="78"/>
        <v/>
      </c>
      <c r="BQ225" s="1" t="str">
        <f t="shared" si="79"/>
        <v/>
      </c>
      <c r="BR225" s="1" t="str">
        <f t="shared" si="80"/>
        <v/>
      </c>
      <c r="BS225" s="1" t="str">
        <f t="shared" si="81"/>
        <v/>
      </c>
    </row>
    <row r="226" spans="48:71" x14ac:dyDescent="0.25">
      <c r="AV226" t="s">
        <v>750</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SCAR-L</v>
      </c>
      <c r="BP226" s="1" t="str">
        <f t="shared" si="78"/>
        <v/>
      </c>
      <c r="BQ226" s="1" t="str">
        <f t="shared" si="79"/>
        <v/>
      </c>
      <c r="BR226" s="1" t="str">
        <f t="shared" si="80"/>
        <v/>
      </c>
      <c r="BS226" s="1" t="str">
        <f t="shared" si="81"/>
        <v/>
      </c>
    </row>
    <row r="227" spans="48:71" x14ac:dyDescent="0.25">
      <c r="AV227" t="s">
        <v>731</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SCW</v>
      </c>
      <c r="BP227" s="1" t="str">
        <f t="shared" si="78"/>
        <v/>
      </c>
      <c r="BQ227" s="1" t="str">
        <f t="shared" si="79"/>
        <v/>
      </c>
      <c r="BR227" s="1" t="str">
        <f t="shared" si="80"/>
        <v/>
      </c>
      <c r="BS227" s="1" t="str">
        <f t="shared" si="81"/>
        <v/>
      </c>
    </row>
    <row r="228" spans="48:71" x14ac:dyDescent="0.25">
      <c r="AV228" t="s">
        <v>749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Sei</v>
      </c>
      <c r="BP228" s="1" t="str">
        <f t="shared" si="78"/>
        <v/>
      </c>
      <c r="BQ228" s="1" t="str">
        <f t="shared" si="79"/>
        <v/>
      </c>
      <c r="BR228" s="1" t="str">
        <f t="shared" si="80"/>
        <v/>
      </c>
      <c r="BS228" s="1" t="str">
        <f t="shared" si="81"/>
        <v/>
      </c>
    </row>
    <row r="229" spans="48:71" x14ac:dyDescent="0.25">
      <c r="AV229" t="s">
        <v>144</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Serdyukov</v>
      </c>
      <c r="BP229" s="1" t="str">
        <f t="shared" si="78"/>
        <v/>
      </c>
      <c r="BQ229" s="1" t="str">
        <f t="shared" si="79"/>
        <v/>
      </c>
      <c r="BR229" s="1" t="str">
        <f t="shared" si="80"/>
        <v/>
      </c>
      <c r="BS229" s="1" t="str">
        <f t="shared" si="81"/>
        <v/>
      </c>
    </row>
    <row r="230" spans="48:71" x14ac:dyDescent="0.25">
      <c r="AV230" t="s">
        <v>744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Shipka</v>
      </c>
      <c r="BP230" s="1" t="str">
        <f t="shared" si="78"/>
        <v/>
      </c>
      <c r="BQ230" s="1" t="str">
        <f t="shared" si="79"/>
        <v/>
      </c>
      <c r="BR230" s="1" t="str">
        <f t="shared" si="80"/>
        <v/>
      </c>
      <c r="BS230" s="1" t="str">
        <f t="shared" si="81"/>
        <v/>
      </c>
    </row>
    <row r="231" spans="48:71" x14ac:dyDescent="0.25">
      <c r="AV231" t="s">
        <v>81</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SIG510</v>
      </c>
      <c r="BP231" s="1" t="str">
        <f t="shared" si="78"/>
        <v/>
      </c>
      <c r="BQ231" s="1" t="str">
        <f t="shared" si="79"/>
        <v/>
      </c>
      <c r="BR231" s="1" t="str">
        <f t="shared" si="80"/>
        <v/>
      </c>
      <c r="BS231" s="1" t="str">
        <f t="shared" si="81"/>
        <v/>
      </c>
    </row>
    <row r="232" spans="48:71" x14ac:dyDescent="0.25">
      <c r="AV232" t="s">
        <v>794</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Skorpion</v>
      </c>
      <c r="BP232" s="1" t="str">
        <f t="shared" si="78"/>
        <v/>
      </c>
      <c r="BQ232" s="1" t="str">
        <f t="shared" si="79"/>
        <v/>
      </c>
      <c r="BR232" s="1" t="str">
        <f t="shared" si="80"/>
        <v/>
      </c>
      <c r="BS232" s="1" t="str">
        <f t="shared" si="81"/>
        <v/>
      </c>
    </row>
    <row r="233" spans="48:71" x14ac:dyDescent="0.25">
      <c r="AV233" t="s">
        <v>9021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SL8</v>
      </c>
      <c r="BP233" s="1" t="str">
        <f t="shared" si="78"/>
        <v/>
      </c>
      <c r="BQ233" s="1" t="str">
        <f t="shared" si="79"/>
        <v/>
      </c>
      <c r="BR233" s="1" t="str">
        <f t="shared" si="80"/>
        <v/>
      </c>
      <c r="BS233" s="1" t="str">
        <f t="shared" si="81"/>
        <v/>
      </c>
    </row>
    <row r="234" spans="48:71" x14ac:dyDescent="0.25">
      <c r="AV234" t="s">
        <v>116</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SPAS12Mod</v>
      </c>
      <c r="BP234" s="1" t="str">
        <f t="shared" si="78"/>
        <v/>
      </c>
      <c r="BQ234" s="1" t="str">
        <f t="shared" si="79"/>
        <v/>
      </c>
      <c r="BR234" s="1" t="str">
        <f t="shared" si="80"/>
        <v/>
      </c>
      <c r="BS234" s="1" t="str">
        <f t="shared" si="81"/>
        <v/>
      </c>
    </row>
    <row r="235" spans="48:71" x14ac:dyDescent="0.25">
      <c r="AV235" t="s">
        <v>87</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Spectre M4</v>
      </c>
      <c r="BP235" s="1" t="str">
        <f t="shared" si="78"/>
        <v/>
      </c>
      <c r="BQ235" s="1" t="str">
        <f t="shared" si="79"/>
        <v/>
      </c>
      <c r="BR235" s="1" t="str">
        <f t="shared" si="80"/>
        <v/>
      </c>
      <c r="BS235" s="1" t="str">
        <f t="shared" si="81"/>
        <v/>
      </c>
    </row>
    <row r="236" spans="48:71" x14ac:dyDescent="0.25">
      <c r="AV236" t="s">
        <v>1626</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Springfield</v>
      </c>
      <c r="BP236" s="1" t="str">
        <f t="shared" si="78"/>
        <v/>
      </c>
      <c r="BQ236" s="1" t="str">
        <f t="shared" si="79"/>
        <v/>
      </c>
      <c r="BR236" s="1" t="str">
        <f t="shared" si="80"/>
        <v/>
      </c>
      <c r="BS236" s="1" t="str">
        <f t="shared" si="81"/>
        <v/>
      </c>
    </row>
    <row r="237" spans="48:71" x14ac:dyDescent="0.25">
      <c r="AV237" t="s">
        <v>8978</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SR3MP</v>
      </c>
      <c r="BP237" s="1" t="str">
        <f t="shared" si="78"/>
        <v/>
      </c>
      <c r="BQ237" s="1" t="str">
        <f t="shared" si="79"/>
        <v/>
      </c>
      <c r="BR237" s="1" t="str">
        <f t="shared" si="80"/>
        <v/>
      </c>
      <c r="BS237" s="1" t="str">
        <f t="shared" si="81"/>
        <v/>
      </c>
    </row>
    <row r="238" spans="48:71" x14ac:dyDescent="0.25">
      <c r="AV238" t="s">
        <v>100</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SR3MPGZ</v>
      </c>
      <c r="BP238" s="1" t="str">
        <f t="shared" si="78"/>
        <v/>
      </c>
      <c r="BQ238" s="1" t="str">
        <f t="shared" si="79"/>
        <v/>
      </c>
      <c r="BR238" s="1" t="str">
        <f t="shared" si="80"/>
        <v/>
      </c>
      <c r="BS238" s="1" t="str">
        <f t="shared" si="81"/>
        <v/>
      </c>
    </row>
    <row r="239" spans="48:71" x14ac:dyDescent="0.25">
      <c r="AV239" t="s">
        <v>1682</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ST AR-15</v>
      </c>
      <c r="BP239" s="1" t="str">
        <f t="shared" si="78"/>
        <v/>
      </c>
      <c r="BQ239" s="1" t="str">
        <f t="shared" si="79"/>
        <v/>
      </c>
      <c r="BR239" s="1" t="str">
        <f t="shared" si="80"/>
        <v/>
      </c>
      <c r="BS239" s="1" t="str">
        <f t="shared" si="81"/>
        <v/>
      </c>
    </row>
    <row r="240" spans="48:71" x14ac:dyDescent="0.25">
      <c r="AV240" t="s">
        <v>8122</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ST AR15Mod</v>
      </c>
      <c r="BP240" s="1" t="str">
        <f t="shared" si="78"/>
        <v/>
      </c>
      <c r="BQ240" s="1" t="str">
        <f t="shared" si="79"/>
        <v/>
      </c>
      <c r="BR240" s="1" t="str">
        <f t="shared" si="80"/>
        <v/>
      </c>
      <c r="BS240" s="1" t="str">
        <f t="shared" si="81"/>
        <v/>
      </c>
    </row>
    <row r="241" spans="48:71" x14ac:dyDescent="0.25">
      <c r="AV241" t="s">
        <v>67</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ST AR15ModGZ</v>
      </c>
      <c r="BP241" s="1" t="str">
        <f t="shared" si="78"/>
        <v/>
      </c>
      <c r="BQ241" s="1" t="str">
        <f t="shared" si="79"/>
        <v/>
      </c>
      <c r="BR241" s="1" t="str">
        <f t="shared" si="80"/>
        <v/>
      </c>
      <c r="BS241" s="1" t="str">
        <f t="shared" si="81"/>
        <v/>
      </c>
    </row>
    <row r="242" spans="48:71" x14ac:dyDescent="0.25">
      <c r="AV242" t="s">
        <v>739</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Stechkin</v>
      </c>
      <c r="BP242" s="1" t="str">
        <f t="shared" si="78"/>
        <v/>
      </c>
      <c r="BQ242" s="1" t="str">
        <f t="shared" si="79"/>
        <v/>
      </c>
      <c r="BR242" s="1" t="str">
        <f t="shared" si="80"/>
        <v/>
      </c>
      <c r="BS242" s="1" t="str">
        <f t="shared" si="81"/>
        <v/>
      </c>
    </row>
    <row r="243" spans="48:71" x14ac:dyDescent="0.25">
      <c r="AV243" t="s">
        <v>8123</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StechkinMod</v>
      </c>
      <c r="BP243" s="1" t="str">
        <f t="shared" si="78"/>
        <v/>
      </c>
      <c r="BQ243" s="1" t="str">
        <f t="shared" si="79"/>
        <v/>
      </c>
      <c r="BR243" s="1" t="str">
        <f t="shared" si="80"/>
        <v/>
      </c>
      <c r="BS243" s="1" t="str">
        <f t="shared" si="81"/>
        <v/>
      </c>
    </row>
    <row r="244" spans="48:71" x14ac:dyDescent="0.25">
      <c r="AV244" t="s">
        <v>736</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StechkinModGZ</v>
      </c>
      <c r="BP244" s="1" t="str">
        <f t="shared" si="78"/>
        <v/>
      </c>
      <c r="BQ244" s="1" t="str">
        <f t="shared" si="79"/>
        <v/>
      </c>
      <c r="BR244" s="1" t="str">
        <f t="shared" si="80"/>
        <v/>
      </c>
      <c r="BS244" s="1" t="str">
        <f t="shared" si="81"/>
        <v/>
      </c>
    </row>
    <row r="245" spans="48:71" x14ac:dyDescent="0.25">
      <c r="AV245" t="s">
        <v>828</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Stella</v>
      </c>
      <c r="BP245" s="1" t="str">
        <f t="shared" si="78"/>
        <v/>
      </c>
      <c r="BQ245" s="1" t="str">
        <f t="shared" si="79"/>
        <v/>
      </c>
      <c r="BR245" s="1" t="str">
        <f t="shared" si="80"/>
        <v/>
      </c>
      <c r="BS245" s="1" t="str">
        <f t="shared" si="81"/>
        <v/>
      </c>
    </row>
    <row r="246" spans="48:71" x14ac:dyDescent="0.25">
      <c r="AV246" t="s">
        <v>8965</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STEN MkIIMod</v>
      </c>
      <c r="BP246" s="1" t="str">
        <f t="shared" si="78"/>
        <v/>
      </c>
      <c r="BQ246" s="1" t="str">
        <f t="shared" si="79"/>
        <v/>
      </c>
      <c r="BR246" s="1" t="str">
        <f t="shared" si="80"/>
        <v/>
      </c>
      <c r="BS246" s="1" t="str">
        <f t="shared" si="81"/>
        <v/>
      </c>
    </row>
    <row r="247" spans="48:71" x14ac:dyDescent="0.25">
      <c r="AV247" t="s">
        <v>725</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STEN MkIIModGZ</v>
      </c>
      <c r="BP247" s="1" t="str">
        <f t="shared" si="78"/>
        <v/>
      </c>
      <c r="BQ247" s="1" t="str">
        <f t="shared" si="79"/>
        <v/>
      </c>
      <c r="BR247" s="1" t="str">
        <f t="shared" si="80"/>
        <v/>
      </c>
      <c r="BS247" s="1" t="str">
        <f t="shared" si="81"/>
        <v/>
      </c>
    </row>
    <row r="248" spans="48:71" x14ac:dyDescent="0.25">
      <c r="AV248" t="s">
        <v>8977</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Stg44Mod</v>
      </c>
      <c r="BP248" s="1" t="str">
        <f t="shared" si="78"/>
        <v/>
      </c>
      <c r="BQ248" s="1" t="str">
        <f t="shared" si="79"/>
        <v/>
      </c>
      <c r="BR248" s="1" t="str">
        <f t="shared" si="80"/>
        <v/>
      </c>
      <c r="BS248" s="1" t="str">
        <f t="shared" si="81"/>
        <v/>
      </c>
    </row>
    <row r="249" spans="48:71" x14ac:dyDescent="0.25">
      <c r="AV249" t="s">
        <v>127</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StG44ModGZ</v>
      </c>
      <c r="BP249" s="1" t="str">
        <f t="shared" si="78"/>
        <v/>
      </c>
      <c r="BQ249" s="1" t="str">
        <f t="shared" si="79"/>
        <v/>
      </c>
      <c r="BR249" s="1" t="str">
        <f t="shared" si="80"/>
        <v/>
      </c>
      <c r="BS249" s="1" t="str">
        <f t="shared" si="81"/>
        <v/>
      </c>
    </row>
    <row r="250" spans="48:71" x14ac:dyDescent="0.25">
      <c r="AV250" t="s">
        <v>6512</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Suomi</v>
      </c>
      <c r="BP250" s="1" t="str">
        <f t="shared" si="78"/>
        <v/>
      </c>
      <c r="BQ250" s="1" t="str">
        <f t="shared" si="79"/>
        <v/>
      </c>
      <c r="BR250" s="1" t="str">
        <f t="shared" si="80"/>
        <v/>
      </c>
      <c r="BS250" s="1" t="str">
        <f t="shared" si="81"/>
        <v/>
      </c>
    </row>
    <row r="251" spans="48:71" x14ac:dyDescent="0.25">
      <c r="AV251" t="s">
        <v>832</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SuomiMod</v>
      </c>
      <c r="BP251" s="1" t="str">
        <f t="shared" si="78"/>
        <v/>
      </c>
      <c r="BQ251" s="1" t="str">
        <f t="shared" si="79"/>
        <v/>
      </c>
      <c r="BR251" s="1" t="str">
        <f t="shared" si="80"/>
        <v/>
      </c>
      <c r="BS251" s="1" t="str">
        <f t="shared" si="81"/>
        <v/>
      </c>
    </row>
    <row r="252" spans="48:71" x14ac:dyDescent="0.25">
      <c r="AV252" t="s">
        <v>1680</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Super SASSMod</v>
      </c>
      <c r="BP252" s="1" t="str">
        <f t="shared" si="78"/>
        <v/>
      </c>
      <c r="BQ252" s="1" t="str">
        <f t="shared" si="79"/>
        <v/>
      </c>
      <c r="BR252" s="1" t="str">
        <f t="shared" si="80"/>
        <v/>
      </c>
      <c r="BS252" s="1" t="str">
        <f t="shared" si="81"/>
        <v/>
      </c>
    </row>
    <row r="253" spans="48:71" x14ac:dyDescent="0.25">
      <c r="AV253" t="s">
        <v>8908</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SV98Mod</v>
      </c>
      <c r="BP253" s="1" t="str">
        <f t="shared" si="78"/>
        <v/>
      </c>
      <c r="BQ253" s="1" t="str">
        <f t="shared" si="79"/>
        <v/>
      </c>
      <c r="BR253" s="1" t="str">
        <f t="shared" si="80"/>
        <v/>
      </c>
      <c r="BS253" s="1" t="str">
        <f t="shared" si="81"/>
        <v/>
      </c>
    </row>
    <row r="254" spans="48:71" x14ac:dyDescent="0.25">
      <c r="AV254" t="s">
        <v>92</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SV98ModGZ</v>
      </c>
      <c r="BP254" s="1" t="str">
        <f t="shared" si="78"/>
        <v/>
      </c>
      <c r="BQ254" s="1" t="str">
        <f t="shared" si="79"/>
        <v/>
      </c>
      <c r="BR254" s="1" t="str">
        <f t="shared" si="80"/>
        <v/>
      </c>
      <c r="BS254" s="1" t="str">
        <f t="shared" si="81"/>
        <v/>
      </c>
    </row>
    <row r="255" spans="48:71" x14ac:dyDescent="0.25">
      <c r="AV255" t="s">
        <v>1612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SVD</v>
      </c>
      <c r="BP255" s="1" t="str">
        <f t="shared" si="78"/>
        <v/>
      </c>
      <c r="BQ255" s="1" t="str">
        <f t="shared" si="79"/>
        <v/>
      </c>
      <c r="BR255" s="1" t="str">
        <f t="shared" si="80"/>
        <v/>
      </c>
      <c r="BS255" s="1" t="str">
        <f t="shared" si="81"/>
        <v/>
      </c>
    </row>
    <row r="256" spans="48:71" x14ac:dyDescent="0.25">
      <c r="AV256" t="s">
        <v>181</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SVT38</v>
      </c>
      <c r="BP256" s="1" t="str">
        <f t="shared" si="78"/>
        <v/>
      </c>
      <c r="BQ256" s="1" t="str">
        <f t="shared" si="79"/>
        <v/>
      </c>
      <c r="BR256" s="1" t="str">
        <f t="shared" si="80"/>
        <v/>
      </c>
      <c r="BS256" s="1" t="str">
        <f t="shared" si="81"/>
        <v/>
      </c>
    </row>
    <row r="257" spans="48:71" x14ac:dyDescent="0.25">
      <c r="AV257" t="s">
        <v>1237</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T77</v>
      </c>
      <c r="BP257" s="1" t="str">
        <f t="shared" si="78"/>
        <v/>
      </c>
      <c r="BQ257" s="1" t="str">
        <f t="shared" si="79"/>
        <v/>
      </c>
      <c r="BR257" s="1" t="str">
        <f t="shared" si="80"/>
        <v/>
      </c>
      <c r="BS257" s="1" t="str">
        <f t="shared" si="81"/>
        <v/>
      </c>
    </row>
    <row r="258" spans="48:71" x14ac:dyDescent="0.25">
      <c r="AV258" t="s">
        <v>6974</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TAC50</v>
      </c>
      <c r="BP258" s="1" t="str">
        <f t="shared" si="78"/>
        <v/>
      </c>
      <c r="BQ258" s="1" t="str">
        <f t="shared" si="79"/>
        <v/>
      </c>
      <c r="BR258" s="1" t="str">
        <f t="shared" si="80"/>
        <v/>
      </c>
      <c r="BS258" s="1" t="str">
        <f t="shared" si="81"/>
        <v/>
      </c>
    </row>
    <row r="259" spans="48:71" x14ac:dyDescent="0.25">
      <c r="AV259" t="s">
        <v>738</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Tae</v>
      </c>
      <c r="BP259" s="1" t="str">
        <f t="shared" si="78"/>
        <v/>
      </c>
      <c r="BQ259" s="1" t="str">
        <f t="shared" si="79"/>
        <v/>
      </c>
      <c r="BR259" s="1" t="str">
        <f t="shared" si="80"/>
        <v/>
      </c>
      <c r="BS259" s="1" t="str">
        <f t="shared" si="81"/>
        <v/>
      </c>
    </row>
    <row r="260" spans="48:71" x14ac:dyDescent="0.25">
      <c r="AV260" t="s">
        <v>76</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TAR21</v>
      </c>
      <c r="BP260" s="1" t="str">
        <f t="shared" si="83"/>
        <v/>
      </c>
      <c r="BQ260" s="1" t="str">
        <f t="shared" si="83"/>
        <v/>
      </c>
      <c r="BR260" s="1" t="str">
        <f t="shared" si="83"/>
        <v/>
      </c>
      <c r="BS260" s="1" t="str">
        <f t="shared" si="83"/>
        <v/>
      </c>
    </row>
    <row r="261" spans="48:71" x14ac:dyDescent="0.25">
      <c r="AV261" t="s">
        <v>5492</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Thompson</v>
      </c>
      <c r="BP261" s="1" t="str">
        <f t="shared" si="83"/>
        <v/>
      </c>
      <c r="BQ261" s="1" t="str">
        <f t="shared" si="83"/>
        <v/>
      </c>
      <c r="BR261" s="1" t="str">
        <f t="shared" si="83"/>
        <v/>
      </c>
      <c r="BS261" s="1" t="str">
        <f t="shared" si="83"/>
        <v/>
      </c>
    </row>
    <row r="262" spans="48:71" x14ac:dyDescent="0.25">
      <c r="AV262" t="s">
        <v>156</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Thunder</v>
      </c>
      <c r="BP262" s="1" t="str">
        <f t="shared" si="83"/>
        <v/>
      </c>
      <c r="BQ262" s="1" t="str">
        <f t="shared" si="83"/>
        <v/>
      </c>
      <c r="BR262" s="1" t="str">
        <f t="shared" si="83"/>
        <v/>
      </c>
      <c r="BS262" s="1" t="str">
        <f t="shared" si="83"/>
        <v/>
      </c>
    </row>
    <row r="263" spans="48:71" x14ac:dyDescent="0.25">
      <c r="AV263" t="s">
        <v>66</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TMP</v>
      </c>
      <c r="BP263" s="1" t="str">
        <f t="shared" si="83"/>
        <v/>
      </c>
      <c r="BQ263" s="1" t="str">
        <f t="shared" si="83"/>
        <v/>
      </c>
      <c r="BR263" s="1" t="str">
        <f t="shared" si="83"/>
        <v/>
      </c>
      <c r="BS263" s="1" t="str">
        <f t="shared" si="83"/>
        <v/>
      </c>
    </row>
    <row r="264" spans="48:71" x14ac:dyDescent="0.25">
      <c r="AV264" t="s">
        <v>249</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Tokarev</v>
      </c>
      <c r="BP264" s="1" t="str">
        <f t="shared" si="83"/>
        <v/>
      </c>
      <c r="BQ264" s="1" t="str">
        <f t="shared" si="83"/>
        <v/>
      </c>
      <c r="BR264" s="1" t="str">
        <f t="shared" si="83"/>
        <v/>
      </c>
      <c r="BS264" s="1" t="str">
        <f t="shared" si="83"/>
        <v/>
      </c>
    </row>
    <row r="265" spans="48:71" x14ac:dyDescent="0.25">
      <c r="AV265" t="s">
        <v>242</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Triela</v>
      </c>
      <c r="BP265" s="1" t="str">
        <f t="shared" si="83"/>
        <v/>
      </c>
      <c r="BQ265" s="1" t="str">
        <f t="shared" si="83"/>
        <v/>
      </c>
      <c r="BR265" s="1" t="str">
        <f t="shared" si="83"/>
        <v/>
      </c>
      <c r="BS265" s="1" t="str">
        <f t="shared" si="83"/>
        <v/>
      </c>
    </row>
    <row r="266" spans="48:71" x14ac:dyDescent="0.25">
      <c r="AV266" t="s">
        <v>829</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 4</v>
      </c>
      <c r="BP266" s="1" t="str">
        <f t="shared" si="83"/>
        <v/>
      </c>
      <c r="BQ266" s="1" t="str">
        <f t="shared" si="83"/>
        <v/>
      </c>
      <c r="BR266" s="1" t="str">
        <f t="shared" si="83"/>
        <v/>
      </c>
      <c r="BS266" s="1" t="str">
        <f t="shared" si="83"/>
        <v/>
      </c>
    </row>
    <row r="267" spans="48:71" x14ac:dyDescent="0.25">
      <c r="AV267" t="s">
        <v>1603</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 56 RMod</v>
      </c>
      <c r="BP267" s="1" t="str">
        <f t="shared" si="83"/>
        <v/>
      </c>
      <c r="BQ267" s="1" t="str">
        <f t="shared" si="83"/>
        <v/>
      </c>
      <c r="BR267" s="1" t="str">
        <f t="shared" si="83"/>
        <v/>
      </c>
      <c r="BS267" s="1" t="str">
        <f t="shared" si="83"/>
        <v/>
      </c>
    </row>
    <row r="268" spans="48:71" x14ac:dyDescent="0.25">
      <c r="AV268" t="s">
        <v>238</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 81 R</v>
      </c>
      <c r="BP268" s="1" t="str">
        <f t="shared" si="83"/>
        <v/>
      </c>
      <c r="BQ268" s="1" t="str">
        <f t="shared" si="83"/>
        <v/>
      </c>
      <c r="BR268" s="1" t="str">
        <f t="shared" si="83"/>
        <v/>
      </c>
      <c r="BS268" s="1" t="str">
        <f t="shared" si="83"/>
        <v/>
      </c>
    </row>
    <row r="269" spans="48:71" x14ac:dyDescent="0.25">
      <c r="AV269" t="s">
        <v>6762</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Type03</v>
      </c>
      <c r="BP269" s="1" t="str">
        <f t="shared" si="83"/>
        <v/>
      </c>
      <c r="BQ269" s="1" t="str">
        <f t="shared" si="83"/>
        <v/>
      </c>
      <c r="BR269" s="1" t="str">
        <f t="shared" si="83"/>
        <v/>
      </c>
      <c r="BS269" s="1" t="str">
        <f t="shared" si="83"/>
        <v/>
      </c>
    </row>
    <row r="270" spans="48:71" x14ac:dyDescent="0.25">
      <c r="AV270" t="s">
        <v>8353</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Type56-1mod</v>
      </c>
      <c r="BP270" s="1" t="str">
        <f t="shared" si="83"/>
        <v/>
      </c>
      <c r="BQ270" s="1" t="str">
        <f t="shared" si="83"/>
        <v/>
      </c>
      <c r="BR270" s="1" t="str">
        <f t="shared" si="83"/>
        <v/>
      </c>
      <c r="BS270" s="1" t="str">
        <f t="shared" si="83"/>
        <v/>
      </c>
    </row>
    <row r="271" spans="48:71" x14ac:dyDescent="0.25">
      <c r="AV271" t="s">
        <v>136</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Type56-1modGZ</v>
      </c>
      <c r="BP271" s="1" t="str">
        <f t="shared" si="83"/>
        <v/>
      </c>
      <c r="BQ271" s="1" t="str">
        <f t="shared" si="83"/>
        <v/>
      </c>
      <c r="BR271" s="1" t="str">
        <f t="shared" si="83"/>
        <v/>
      </c>
      <c r="BS271" s="1" t="str">
        <f t="shared" si="83"/>
        <v/>
      </c>
    </row>
    <row r="272" spans="48:71" x14ac:dyDescent="0.25">
      <c r="AV272" t="s">
        <v>118</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Type63</v>
      </c>
      <c r="BP272" s="1" t="str">
        <f t="shared" si="83"/>
        <v/>
      </c>
      <c r="BQ272" s="1" t="str">
        <f t="shared" si="83"/>
        <v/>
      </c>
      <c r="BR272" s="1" t="str">
        <f t="shared" si="83"/>
        <v/>
      </c>
      <c r="BS272" s="1" t="str">
        <f t="shared" si="83"/>
        <v/>
      </c>
    </row>
    <row r="273" spans="48:71" x14ac:dyDescent="0.25">
      <c r="AV273" t="s">
        <v>740</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Type64</v>
      </c>
      <c r="BP273" s="1" t="str">
        <f t="shared" si="83"/>
        <v/>
      </c>
      <c r="BQ273" s="1" t="str">
        <f t="shared" si="83"/>
        <v/>
      </c>
      <c r="BR273" s="1" t="str">
        <f t="shared" si="83"/>
        <v/>
      </c>
      <c r="BS273" s="1" t="str">
        <f t="shared" si="83"/>
        <v/>
      </c>
    </row>
    <row r="274" spans="48:71" x14ac:dyDescent="0.25">
      <c r="AV274" t="s">
        <v>8124</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Type64Mod</v>
      </c>
      <c r="BP274" s="1" t="str">
        <f t="shared" si="83"/>
        <v/>
      </c>
      <c r="BQ274" s="1" t="str">
        <f t="shared" si="83"/>
        <v/>
      </c>
      <c r="BR274" s="1" t="str">
        <f t="shared" si="83"/>
        <v/>
      </c>
      <c r="BS274" s="1" t="str">
        <f t="shared" si="83"/>
        <v/>
      </c>
    </row>
    <row r="275" spans="48:71" x14ac:dyDescent="0.25">
      <c r="AV275" t="s">
        <v>8745</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Type64ModGZ</v>
      </c>
      <c r="BP275" s="1" t="str">
        <f t="shared" si="83"/>
        <v/>
      </c>
      <c r="BQ275" s="1" t="str">
        <f t="shared" si="83"/>
        <v/>
      </c>
      <c r="BR275" s="1" t="str">
        <f t="shared" si="83"/>
        <v/>
      </c>
      <c r="BS275" s="1" t="str">
        <f t="shared" si="83"/>
        <v/>
      </c>
    </row>
    <row r="276" spans="48:71" x14ac:dyDescent="0.25">
      <c r="AV276" t="s">
        <v>8746</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Type79</v>
      </c>
      <c r="BP276" s="1" t="str">
        <f t="shared" si="85"/>
        <v/>
      </c>
      <c r="BQ276" s="1" t="str">
        <f t="shared" si="85"/>
        <v/>
      </c>
      <c r="BR276" s="1" t="str">
        <f t="shared" si="85"/>
        <v/>
      </c>
      <c r="BS276" s="1" t="str">
        <f t="shared" si="85"/>
        <v/>
      </c>
    </row>
    <row r="277" spans="48:71" x14ac:dyDescent="0.25">
      <c r="AV277" t="s">
        <v>833</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Type79Mod</v>
      </c>
      <c r="BP277" s="1" t="str">
        <f t="shared" si="85"/>
        <v/>
      </c>
      <c r="BQ277" s="1" t="str">
        <f t="shared" si="85"/>
        <v/>
      </c>
      <c r="BR277" s="1" t="str">
        <f t="shared" si="85"/>
        <v/>
      </c>
      <c r="BS277" s="1" t="str">
        <f t="shared" si="85"/>
        <v/>
      </c>
    </row>
    <row r="278" spans="48:71" x14ac:dyDescent="0.25">
      <c r="AV278" t="s">
        <v>119</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Type80Mod</v>
      </c>
      <c r="BP278" s="1" t="str">
        <f t="shared" si="85"/>
        <v/>
      </c>
      <c r="BQ278" s="1" t="str">
        <f t="shared" si="85"/>
        <v/>
      </c>
      <c r="BR278" s="1" t="str">
        <f t="shared" si="85"/>
        <v/>
      </c>
      <c r="BS278" s="1" t="str">
        <f t="shared" si="85"/>
        <v/>
      </c>
    </row>
    <row r="279" spans="48:71" x14ac:dyDescent="0.25">
      <c r="AV279" t="s">
        <v>838</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Type88</v>
      </c>
      <c r="BP279" s="1" t="str">
        <f t="shared" si="85"/>
        <v/>
      </c>
      <c r="BQ279" s="1" t="str">
        <f t="shared" si="85"/>
        <v/>
      </c>
      <c r="BR279" s="1" t="str">
        <f t="shared" si="85"/>
        <v/>
      </c>
      <c r="BS279" s="1" t="str">
        <f t="shared" si="85"/>
        <v/>
      </c>
    </row>
    <row r="280" spans="48:71" x14ac:dyDescent="0.25">
      <c r="AV280" t="s">
        <v>8305</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Type88Mod</v>
      </c>
      <c r="BP280" s="1" t="str">
        <f t="shared" si="85"/>
        <v/>
      </c>
      <c r="BQ280" s="1" t="str">
        <f t="shared" si="85"/>
        <v/>
      </c>
      <c r="BR280" s="1" t="str">
        <f t="shared" si="85"/>
        <v/>
      </c>
      <c r="BS280" s="1" t="str">
        <f t="shared" si="85"/>
        <v/>
      </c>
    </row>
    <row r="281" spans="48:71" x14ac:dyDescent="0.25">
      <c r="AV281" t="s">
        <v>6758</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Type88ModGZ</v>
      </c>
      <c r="BP281" s="1" t="str">
        <f t="shared" si="85"/>
        <v/>
      </c>
      <c r="BQ281" s="1" t="str">
        <f t="shared" si="85"/>
        <v/>
      </c>
      <c r="BR281" s="1" t="str">
        <f t="shared" si="85"/>
        <v/>
      </c>
      <c r="BS281" s="1" t="str">
        <f t="shared" si="85"/>
        <v/>
      </c>
    </row>
    <row r="282" spans="48:71" x14ac:dyDescent="0.25">
      <c r="AV282" t="s">
        <v>711</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Type92mod</v>
      </c>
      <c r="BP282" s="1" t="str">
        <f t="shared" si="85"/>
        <v/>
      </c>
      <c r="BQ282" s="1" t="str">
        <f t="shared" si="85"/>
        <v/>
      </c>
      <c r="BR282" s="1" t="str">
        <f t="shared" si="85"/>
        <v/>
      </c>
      <c r="BS282" s="1" t="str">
        <f t="shared" si="85"/>
        <v/>
      </c>
    </row>
    <row r="283" spans="48:71" x14ac:dyDescent="0.25">
      <c r="AV283" t="s">
        <v>733</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Type95/97</v>
      </c>
      <c r="BP283" s="1" t="str">
        <f t="shared" si="85"/>
        <v/>
      </c>
      <c r="BQ283" s="1" t="str">
        <f t="shared" si="85"/>
        <v/>
      </c>
      <c r="BR283" s="1" t="str">
        <f t="shared" si="85"/>
        <v/>
      </c>
      <c r="BS283" s="1" t="str">
        <f t="shared" si="85"/>
        <v/>
      </c>
    </row>
    <row r="284" spans="48:71" x14ac:dyDescent="0.25">
      <c r="AV284" t="s">
        <v>8529</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Type97SMod</v>
      </c>
      <c r="BP284" s="1" t="str">
        <f t="shared" si="85"/>
        <v/>
      </c>
      <c r="BQ284" s="1" t="str">
        <f t="shared" si="85"/>
        <v/>
      </c>
      <c r="BR284" s="1" t="str">
        <f t="shared" si="85"/>
        <v/>
      </c>
      <c r="BS284" s="1" t="str">
        <f t="shared" si="85"/>
        <v/>
      </c>
    </row>
    <row r="285" spans="48:71" x14ac:dyDescent="0.25">
      <c r="AV285" t="s">
        <v>1651</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Type97SModGZ</v>
      </c>
      <c r="BP285" s="1" t="str">
        <f t="shared" si="85"/>
        <v/>
      </c>
      <c r="BQ285" s="1" t="str">
        <f t="shared" si="85"/>
        <v/>
      </c>
      <c r="BR285" s="1" t="str">
        <f t="shared" si="85"/>
        <v/>
      </c>
      <c r="BS285" s="1" t="str">
        <f t="shared" si="85"/>
        <v/>
      </c>
    </row>
    <row r="286" spans="48:71" x14ac:dyDescent="0.25">
      <c r="AV286" t="s">
        <v>730</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UKM2000</v>
      </c>
      <c r="BP286" s="1" t="str">
        <f t="shared" si="85"/>
        <v/>
      </c>
      <c r="BQ286" s="1" t="str">
        <f t="shared" si="85"/>
        <v/>
      </c>
      <c r="BR286" s="1" t="str">
        <f t="shared" si="85"/>
        <v/>
      </c>
      <c r="BS286" s="1" t="str">
        <f t="shared" si="85"/>
        <v/>
      </c>
    </row>
    <row r="287" spans="48:71" x14ac:dyDescent="0.25">
      <c r="AV287" t="s">
        <v>264</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UMP</v>
      </c>
      <c r="BP287" s="1" t="str">
        <f t="shared" si="85"/>
        <v/>
      </c>
      <c r="BQ287" s="1" t="str">
        <f t="shared" si="85"/>
        <v/>
      </c>
      <c r="BR287" s="1" t="str">
        <f t="shared" si="85"/>
        <v/>
      </c>
      <c r="BS287" s="1" t="str">
        <f t="shared" si="85"/>
        <v/>
      </c>
    </row>
    <row r="288" spans="48:71" x14ac:dyDescent="0.25">
      <c r="AV288" t="s">
        <v>8163</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UMP45Mod</v>
      </c>
      <c r="BP288" s="1" t="str">
        <f t="shared" si="85"/>
        <v/>
      </c>
      <c r="BQ288" s="1" t="str">
        <f t="shared" si="85"/>
        <v/>
      </c>
      <c r="BR288" s="1" t="str">
        <f t="shared" si="85"/>
        <v/>
      </c>
      <c r="BS288" s="1" t="str">
        <f t="shared" si="85"/>
        <v/>
      </c>
    </row>
    <row r="289" spans="48:71" x14ac:dyDescent="0.25">
      <c r="AV289" t="s">
        <v>263</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UMP45ModGZ</v>
      </c>
      <c r="BP289" s="1" t="str">
        <f t="shared" si="85"/>
        <v/>
      </c>
      <c r="BQ289" s="1" t="str">
        <f t="shared" si="85"/>
        <v/>
      </c>
      <c r="BR289" s="1" t="str">
        <f t="shared" si="85"/>
        <v/>
      </c>
      <c r="BS289" s="1" t="str">
        <f t="shared" si="85"/>
        <v/>
      </c>
    </row>
    <row r="290" spans="48:71" x14ac:dyDescent="0.25">
      <c r="AV290" t="s">
        <v>8164</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UMP9Mod</v>
      </c>
      <c r="BP290" s="1" t="str">
        <f t="shared" si="85"/>
        <v/>
      </c>
      <c r="BQ290" s="1" t="str">
        <f t="shared" si="85"/>
        <v/>
      </c>
      <c r="BR290" s="1" t="str">
        <f t="shared" si="85"/>
        <v/>
      </c>
      <c r="BS290" s="1" t="str">
        <f t="shared" si="85"/>
        <v/>
      </c>
    </row>
    <row r="291" spans="48:71" x14ac:dyDescent="0.25">
      <c r="AV291" t="s">
        <v>1639</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UMP9ModGZ</v>
      </c>
      <c r="BP291" s="1" t="str">
        <f t="shared" si="85"/>
        <v/>
      </c>
      <c r="BQ291" s="1" t="str">
        <f t="shared" si="85"/>
        <v/>
      </c>
      <c r="BR291" s="1" t="str">
        <f t="shared" si="85"/>
        <v/>
      </c>
      <c r="BS291" s="1" t="str">
        <f t="shared" si="85"/>
        <v/>
      </c>
    </row>
    <row r="292" spans="48:71" x14ac:dyDescent="0.25">
      <c r="AV292" t="s">
        <v>1193</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USAS12</v>
      </c>
      <c r="BP292" s="1" t="str">
        <f t="shared" si="87"/>
        <v/>
      </c>
      <c r="BQ292" s="1" t="str">
        <f t="shared" si="87"/>
        <v/>
      </c>
      <c r="BR292" s="1" t="str">
        <f t="shared" si="87"/>
        <v/>
      </c>
      <c r="BS292" s="1" t="str">
        <f t="shared" si="87"/>
        <v/>
      </c>
    </row>
    <row r="293" spans="48:71" x14ac:dyDescent="0.25">
      <c r="AV293" t="s">
        <v>79</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USPCompact</v>
      </c>
      <c r="BP293" s="1" t="str">
        <f t="shared" si="87"/>
        <v/>
      </c>
      <c r="BQ293" s="1" t="str">
        <f t="shared" si="87"/>
        <v/>
      </c>
      <c r="BR293" s="1" t="str">
        <f t="shared" si="87"/>
        <v/>
      </c>
      <c r="BS293" s="1" t="str">
        <f t="shared" si="87"/>
        <v/>
      </c>
    </row>
    <row r="294" spans="48:71" x14ac:dyDescent="0.25">
      <c r="AV294" t="s">
        <v>97</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Vector</v>
      </c>
      <c r="BP294" s="1" t="str">
        <f t="shared" si="87"/>
        <v/>
      </c>
      <c r="BQ294" s="1" t="str">
        <f t="shared" si="87"/>
        <v/>
      </c>
      <c r="BR294" s="1" t="str">
        <f t="shared" si="87"/>
        <v/>
      </c>
      <c r="BS294" s="1" t="str">
        <f t="shared" si="87"/>
        <v/>
      </c>
    </row>
    <row r="295" spans="48:71" x14ac:dyDescent="0.25">
      <c r="AV295" t="s">
        <v>1668</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VM59</v>
      </c>
      <c r="BP295" s="1" t="str">
        <f t="shared" si="87"/>
        <v/>
      </c>
      <c r="BQ295" s="1" t="str">
        <f t="shared" si="87"/>
        <v/>
      </c>
      <c r="BR295" s="1" t="str">
        <f t="shared" si="87"/>
        <v/>
      </c>
      <c r="BS295" s="1" t="str">
        <f t="shared" si="87"/>
        <v/>
      </c>
    </row>
    <row r="296" spans="48:71" x14ac:dyDescent="0.25">
      <c r="AV296" t="s">
        <v>95</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VSK94</v>
      </c>
      <c r="BP296" s="1" t="str">
        <f t="shared" si="87"/>
        <v/>
      </c>
      <c r="BQ296" s="1" t="str">
        <f t="shared" si="87"/>
        <v/>
      </c>
      <c r="BR296" s="1" t="str">
        <f t="shared" si="87"/>
        <v/>
      </c>
      <c r="BS296" s="1" t="str">
        <f t="shared" si="87"/>
        <v/>
      </c>
    </row>
    <row r="297" spans="48:71" x14ac:dyDescent="0.25">
      <c r="AV297" t="s">
        <v>9016</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WA2000</v>
      </c>
      <c r="BP297" s="1" t="str">
        <f t="shared" si="87"/>
        <v/>
      </c>
      <c r="BQ297" s="1" t="str">
        <f t="shared" si="87"/>
        <v/>
      </c>
      <c r="BR297" s="1" t="str">
        <f t="shared" si="87"/>
        <v/>
      </c>
      <c r="BS297" s="1" t="str">
        <f t="shared" si="87"/>
        <v/>
      </c>
    </row>
    <row r="298" spans="48:71" x14ac:dyDescent="0.25">
      <c r="AV298" t="s">
        <v>792</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WA2000GZ</v>
      </c>
      <c r="BP298" s="1" t="str">
        <f t="shared" si="87"/>
        <v/>
      </c>
      <c r="BQ298" s="1" t="str">
        <f t="shared" si="87"/>
        <v/>
      </c>
      <c r="BR298" s="1" t="str">
        <f t="shared" si="87"/>
        <v/>
      </c>
      <c r="BS298" s="1" t="str">
        <f t="shared" si="87"/>
        <v/>
      </c>
    </row>
    <row r="299" spans="48:71" x14ac:dyDescent="0.25">
      <c r="AV299" t="s">
        <v>834</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Webley</v>
      </c>
      <c r="BP299" s="1" t="str">
        <f t="shared" si="87"/>
        <v/>
      </c>
      <c r="BQ299" s="1" t="str">
        <f t="shared" si="87"/>
        <v/>
      </c>
      <c r="BR299" s="1" t="str">
        <f t="shared" si="87"/>
        <v/>
      </c>
      <c r="BS299" s="1" t="str">
        <f t="shared" si="87"/>
        <v/>
      </c>
    </row>
    <row r="300" spans="48:71" x14ac:dyDescent="0.25">
      <c r="AV300" t="s">
        <v>8964</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Welrod MkIIMod</v>
      </c>
      <c r="BP300" s="1" t="str">
        <f t="shared" si="87"/>
        <v/>
      </c>
      <c r="BQ300" s="1" t="str">
        <f t="shared" si="87"/>
        <v/>
      </c>
      <c r="BR300" s="1" t="str">
        <f t="shared" si="87"/>
        <v/>
      </c>
      <c r="BS300" s="1" t="str">
        <f t="shared" si="87"/>
        <v/>
      </c>
    </row>
    <row r="301" spans="48:71" x14ac:dyDescent="0.25">
      <c r="AV301" t="s">
        <v>928</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Welrod MkIIModGZ</v>
      </c>
      <c r="BP301" s="1" t="str">
        <f t="shared" si="87"/>
        <v/>
      </c>
      <c r="BQ301" s="1" t="str">
        <f t="shared" si="87"/>
        <v/>
      </c>
      <c r="BR301" s="1" t="str">
        <f t="shared" si="87"/>
        <v/>
      </c>
      <c r="BS301" s="1" t="str">
        <f t="shared" si="87"/>
        <v/>
      </c>
    </row>
    <row r="302" spans="48:71" x14ac:dyDescent="0.25">
      <c r="AV302" t="s">
        <v>5736</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XM3Mod</v>
      </c>
      <c r="BP302" s="1" t="str">
        <f t="shared" si="87"/>
        <v/>
      </c>
      <c r="BQ302" s="1" t="str">
        <f t="shared" si="87"/>
        <v/>
      </c>
      <c r="BR302" s="1" t="str">
        <f t="shared" si="87"/>
        <v/>
      </c>
      <c r="BS302" s="1" t="str">
        <f t="shared" si="87"/>
        <v/>
      </c>
    </row>
    <row r="303" spans="48:71" x14ac:dyDescent="0.25">
      <c r="AV303" t="s">
        <v>1690</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XM8Mod</v>
      </c>
      <c r="BP303" s="1" t="str">
        <f t="shared" si="87"/>
        <v/>
      </c>
      <c r="BQ303" s="1" t="str">
        <f t="shared" si="87"/>
        <v/>
      </c>
      <c r="BR303" s="1" t="str">
        <f t="shared" si="87"/>
        <v/>
      </c>
      <c r="BS303" s="1" t="str">
        <f t="shared" si="87"/>
        <v/>
      </c>
    </row>
    <row r="304" spans="48:71" x14ac:dyDescent="0.25">
      <c r="AV304" t="s">
        <v>7015</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Yurine</v>
      </c>
      <c r="BP304" s="1" t="str">
        <f t="shared" si="87"/>
        <v/>
      </c>
      <c r="BQ304" s="1" t="str">
        <f t="shared" si="87"/>
        <v/>
      </c>
      <c r="BR304" s="1" t="str">
        <f t="shared" si="87"/>
        <v/>
      </c>
      <c r="BS304" s="1" t="str">
        <f t="shared" si="87"/>
        <v/>
      </c>
    </row>
    <row r="305" spans="48:71" x14ac:dyDescent="0.25">
      <c r="AV305" t="s">
        <v>1622</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Yuugiri</v>
      </c>
      <c r="BP305" s="1" t="str">
        <f t="shared" si="87"/>
        <v/>
      </c>
      <c r="BQ305" s="1" t="str">
        <f t="shared" si="87"/>
        <v/>
      </c>
      <c r="BR305" s="1" t="str">
        <f t="shared" si="87"/>
        <v/>
      </c>
      <c r="BS305" s="1" t="str">
        <f t="shared" si="87"/>
        <v/>
      </c>
    </row>
    <row r="306" spans="48:71" x14ac:dyDescent="0.25">
      <c r="AV306" t="s">
        <v>1667</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Z62</v>
      </c>
      <c r="BP306" s="1" t="str">
        <f t="shared" si="87"/>
        <v/>
      </c>
      <c r="BQ306" s="1" t="str">
        <f t="shared" si="87"/>
        <v/>
      </c>
      <c r="BR306" s="1" t="str">
        <f t="shared" si="87"/>
        <v/>
      </c>
      <c r="BS306" s="1" t="str">
        <f t="shared" si="87"/>
        <v/>
      </c>
    </row>
    <row r="307" spans="48: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ZB26</v>
      </c>
      <c r="BP307" s="1" t="str">
        <f t="shared" si="87"/>
        <v/>
      </c>
      <c r="BQ307" s="1" t="str">
        <f t="shared" si="87"/>
        <v/>
      </c>
      <c r="BR307" s="1" t="str">
        <f t="shared" si="87"/>
        <v/>
      </c>
      <c r="BS307" s="1" t="str">
        <f t="shared" si="87"/>
        <v/>
      </c>
    </row>
    <row r="308" spans="48: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48: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48: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48: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48: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48: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48: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48: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48: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48: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48: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48: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48: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06">
    <sortCondition ref="AV2:AV306"/>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2024-09-07T18:15:32Z</dcterms:modified>
</cp:coreProperties>
</file>