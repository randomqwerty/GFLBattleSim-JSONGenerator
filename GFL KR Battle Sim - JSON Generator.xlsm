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D363D250-BFCF-41E6-B2B9-8EF49FA26648}"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 i="52" l="1"/>
  <c r="AE5" i="52"/>
  <c r="AE6" i="52"/>
  <c r="AE7" i="52"/>
  <c r="AF7" i="52"/>
  <c r="AG8" i="52"/>
  <c r="AE9" i="52"/>
  <c r="AE10" i="52"/>
  <c r="AC10" i="52" s="1"/>
  <c r="AE11" i="52"/>
  <c r="AF11" i="52"/>
  <c r="AG12" i="52"/>
  <c r="AE13" i="52"/>
  <c r="AC13" i="52" s="1"/>
  <c r="AE14" i="52"/>
  <c r="AE15" i="52"/>
  <c r="AF15" i="52"/>
  <c r="AG16" i="52"/>
  <c r="AE17" i="52"/>
  <c r="AE18" i="52"/>
  <c r="AC18" i="52" s="1"/>
  <c r="AE19" i="52"/>
  <c r="AF19" i="52"/>
  <c r="AG2" i="52"/>
  <c r="AF2" i="52"/>
  <c r="AE2" i="52"/>
  <c r="AC2" i="52" s="1"/>
  <c r="J19" i="52"/>
  <c r="AG19" i="52" s="1"/>
  <c r="I19" i="52"/>
  <c r="H19" i="52"/>
  <c r="J18" i="52"/>
  <c r="AG18" i="52" s="1"/>
  <c r="I18" i="52"/>
  <c r="AF18" i="52" s="1"/>
  <c r="H18" i="52"/>
  <c r="J17" i="52"/>
  <c r="AG17" i="52" s="1"/>
  <c r="I17" i="52"/>
  <c r="AF17" i="52" s="1"/>
  <c r="H17" i="52"/>
  <c r="J16" i="52"/>
  <c r="I16" i="52"/>
  <c r="AF16" i="52" s="1"/>
  <c r="H16" i="52"/>
  <c r="AE16" i="52" s="1"/>
  <c r="AC16" i="52" s="1"/>
  <c r="J15" i="52"/>
  <c r="AG15" i="52" s="1"/>
  <c r="AC15" i="52" s="1"/>
  <c r="I15" i="52"/>
  <c r="H15" i="52"/>
  <c r="J14" i="52"/>
  <c r="AG14" i="52" s="1"/>
  <c r="I14" i="52"/>
  <c r="AF14" i="52" s="1"/>
  <c r="AC14" i="52" s="1"/>
  <c r="H14" i="52"/>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J8" i="52"/>
  <c r="I8" i="52"/>
  <c r="AF8" i="52" s="1"/>
  <c r="H8" i="52"/>
  <c r="AE8" i="52" s="1"/>
  <c r="AC8" i="52" s="1"/>
  <c r="J7" i="52"/>
  <c r="AG7" i="52" s="1"/>
  <c r="I7" i="52"/>
  <c r="H7" i="52"/>
  <c r="J6" i="52"/>
  <c r="AG6" i="52" s="1"/>
  <c r="I6" i="52"/>
  <c r="AF6" i="52" s="1"/>
  <c r="H6" i="52"/>
  <c r="J5" i="52"/>
  <c r="AG5" i="52" s="1"/>
  <c r="I5" i="52"/>
  <c r="AF5" i="52" s="1"/>
  <c r="H5" i="52"/>
  <c r="J4" i="52"/>
  <c r="I4" i="52"/>
  <c r="AF4" i="52" s="1"/>
  <c r="H4" i="52"/>
  <c r="AE4" i="52" s="1"/>
  <c r="AC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19" i="52" l="1"/>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E41" i="45"/>
  <c r="C41" i="45" s="1"/>
  <c r="E42" i="45"/>
  <c r="C42" i="45" s="1"/>
  <c r="E43" i="45"/>
  <c r="C43" i="45" s="1"/>
  <c r="E44" i="45"/>
  <c r="C44" i="45" s="1"/>
  <c r="E45" i="45"/>
  <c r="C45" i="45" s="1"/>
  <c r="E46" i="45"/>
  <c r="C46" i="45" s="1"/>
  <c r="E47" i="45"/>
  <c r="E48" i="45"/>
  <c r="E49" i="45"/>
  <c r="C49" i="45" s="1"/>
  <c r="E50" i="45"/>
  <c r="E51" i="45"/>
  <c r="E52" i="45"/>
  <c r="E53" i="45"/>
  <c r="C53" i="45" s="1"/>
  <c r="E54" i="45"/>
  <c r="E55" i="45"/>
  <c r="E56" i="45"/>
  <c r="E57" i="45"/>
  <c r="C57" i="45" s="1"/>
  <c r="E58" i="45"/>
  <c r="C58" i="45" s="1"/>
  <c r="E59" i="45"/>
  <c r="E60" i="45"/>
  <c r="C60" i="45" s="1"/>
  <c r="E61" i="45"/>
  <c r="C61" i="45" s="1"/>
  <c r="E62" i="45"/>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40" i="45"/>
  <c r="C48" i="45"/>
  <c r="C50" i="45"/>
  <c r="C62" i="45"/>
  <c r="C35"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3" i="55"/>
  <c r="A2" i="55"/>
  <c r="D2" i="55"/>
  <c r="C2" i="55" s="1"/>
  <c r="B12" i="55"/>
  <c r="A12" i="55" s="1"/>
  <c r="B3" i="55"/>
  <c r="B4" i="55" s="1"/>
  <c r="D4" i="55" l="1"/>
  <c r="C4" i="55" s="1"/>
  <c r="A4" i="55"/>
  <c r="D3" i="55"/>
  <c r="C3" i="55" s="1"/>
  <c r="D12" i="55"/>
  <c r="C12" i="55" s="1"/>
  <c r="B13" i="55"/>
  <c r="B22" i="55"/>
  <c r="B14" i="55"/>
  <c r="B5" i="55"/>
  <c r="D42" i="18"/>
  <c r="A5" i="55" l="1"/>
  <c r="D5" i="55"/>
  <c r="C5" i="55" s="1"/>
  <c r="D14" i="55"/>
  <c r="C14" i="55" s="1"/>
  <c r="A14" i="55"/>
  <c r="D13" i="55"/>
  <c r="C13" i="55" s="1"/>
  <c r="A13" i="55"/>
  <c r="A22" i="55"/>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D23" i="55" l="1"/>
  <c r="C23" i="55" s="1"/>
  <c r="A23" i="55"/>
  <c r="D6" i="55"/>
  <c r="C6" i="55" s="1"/>
  <c r="A6" i="55"/>
  <c r="A15" i="55"/>
  <c r="D15" i="55"/>
  <c r="C15" i="55" s="1"/>
  <c r="A24" i="55"/>
  <c r="D24" i="55"/>
  <c r="C24" i="55" s="1"/>
  <c r="A32" i="55"/>
  <c r="D32" i="55"/>
  <c r="C32" i="55" s="1"/>
  <c r="B25" i="55"/>
  <c r="B33" i="55"/>
  <c r="B34" i="55"/>
  <c r="B7" i="55"/>
  <c r="B16" i="55"/>
  <c r="B42" i="55"/>
  <c r="A33" i="55" l="1"/>
  <c r="D33" i="55"/>
  <c r="C33" i="55" s="1"/>
  <c r="D25" i="55"/>
  <c r="C25" i="55" s="1"/>
  <c r="A25" i="55"/>
  <c r="D7" i="55"/>
  <c r="C7" i="55" s="1"/>
  <c r="A7" i="55"/>
  <c r="A16" i="55"/>
  <c r="D16" i="55"/>
  <c r="C16" i="55" s="1"/>
  <c r="A34" i="55"/>
  <c r="D34" i="55"/>
  <c r="C34" i="55" s="1"/>
  <c r="Y2" i="52"/>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26" i="55" l="1"/>
  <c r="C26" i="55" s="1"/>
  <c r="A26" i="55"/>
  <c r="D35" i="55"/>
  <c r="C35" i="55" s="1"/>
  <c r="A35" i="55"/>
  <c r="A44" i="55"/>
  <c r="D44" i="55"/>
  <c r="C44" i="55" s="1"/>
  <c r="A8" i="55"/>
  <c r="D8" i="55"/>
  <c r="C8" i="55" s="1"/>
  <c r="A43" i="55"/>
  <c r="D43" i="55"/>
  <c r="C43" i="55" s="1"/>
  <c r="A17" i="55"/>
  <c r="D17" i="55"/>
  <c r="C17" i="55" s="1"/>
  <c r="A52" i="55"/>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D27" i="55" l="1"/>
  <c r="C27" i="55" s="1"/>
  <c r="A27" i="55"/>
  <c r="D36" i="55"/>
  <c r="C36" i="55" s="1"/>
  <c r="A36" i="55"/>
  <c r="D54" i="55"/>
  <c r="C54" i="55" s="1"/>
  <c r="A54" i="55"/>
  <c r="D53" i="55"/>
  <c r="C53" i="55" s="1"/>
  <c r="A53" i="55"/>
  <c r="A45" i="55"/>
  <c r="D45" i="55"/>
  <c r="C45" i="55" s="1"/>
  <c r="D9" i="55"/>
  <c r="C9" i="55" s="1"/>
  <c r="A9" i="55"/>
  <c r="A18" i="55"/>
  <c r="D18" i="55"/>
  <c r="C18" i="55" s="1"/>
  <c r="A62" i="55"/>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A37" i="55" l="1"/>
  <c r="D37" i="55"/>
  <c r="C37" i="55" s="1"/>
  <c r="A55" i="55"/>
  <c r="D55" i="55"/>
  <c r="C55" i="55" s="1"/>
  <c r="A10" i="55"/>
  <c r="D10" i="55"/>
  <c r="C10" i="55" s="1"/>
  <c r="A46" i="55"/>
  <c r="D46" i="55"/>
  <c r="C46" i="55" s="1"/>
  <c r="A19" i="55"/>
  <c r="D19" i="55"/>
  <c r="C19" i="55" s="1"/>
  <c r="D63" i="55"/>
  <c r="C63" i="55" s="1"/>
  <c r="A63" i="55"/>
  <c r="A28" i="55"/>
  <c r="D28" i="55"/>
  <c r="C28" i="55" s="1"/>
  <c r="A64" i="55"/>
  <c r="D64" i="55"/>
  <c r="C64" i="55" s="1"/>
  <c r="D72" i="55"/>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E14" i="26"/>
  <c r="E13" i="26"/>
  <c r="A12"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D47" i="55" l="1"/>
  <c r="C47" i="55" s="1"/>
  <c r="A47" i="55"/>
  <c r="D56" i="55"/>
  <c r="C56" i="55" s="1"/>
  <c r="A56" i="55"/>
  <c r="D20" i="55"/>
  <c r="C20" i="55" s="1"/>
  <c r="A20" i="55"/>
  <c r="D29" i="55"/>
  <c r="C29" i="55" s="1"/>
  <c r="A29" i="55"/>
  <c r="A73" i="55"/>
  <c r="D73" i="55"/>
  <c r="C73" i="55" s="1"/>
  <c r="D11" i="55"/>
  <c r="C11" i="55" s="1"/>
  <c r="A11" i="55"/>
  <c r="D65" i="55"/>
  <c r="C65" i="55" s="1"/>
  <c r="A65" i="55"/>
  <c r="D74" i="55"/>
  <c r="C74" i="55" s="1"/>
  <c r="A74" i="55"/>
  <c r="D38" i="55"/>
  <c r="C38" i="55" s="1"/>
  <c r="A38" i="55"/>
  <c r="A82" i="55"/>
  <c r="D82" i="55"/>
  <c r="C82" i="55" s="1"/>
  <c r="B66" i="55"/>
  <c r="B30" i="55"/>
  <c r="B57" i="55"/>
  <c r="B83" i="55"/>
  <c r="B39" i="55"/>
  <c r="B48" i="55"/>
  <c r="B21" i="55"/>
  <c r="B92" i="55"/>
  <c r="B84" i="55"/>
  <c r="B75" i="55"/>
  <c r="M2" i="49"/>
  <c r="C9" i="43"/>
  <c r="E56" i="18"/>
  <c r="D84" i="55" l="1"/>
  <c r="C84" i="55" s="1"/>
  <c r="A84" i="55"/>
  <c r="D21" i="55"/>
  <c r="C21" i="55" s="1"/>
  <c r="A21" i="55"/>
  <c r="D39" i="55"/>
  <c r="C39" i="55" s="1"/>
  <c r="A39" i="55"/>
  <c r="A57" i="55"/>
  <c r="D57" i="55"/>
  <c r="C57" i="55" s="1"/>
  <c r="A83" i="55"/>
  <c r="D83" i="55"/>
  <c r="C83" i="55" s="1"/>
  <c r="D30" i="55"/>
  <c r="C30" i="55" s="1"/>
  <c r="A30" i="55"/>
  <c r="D66" i="55"/>
  <c r="C66" i="55" s="1"/>
  <c r="A66" i="55"/>
  <c r="D48" i="55"/>
  <c r="C48" i="55" s="1"/>
  <c r="A48" i="55"/>
  <c r="D75" i="55"/>
  <c r="C75" i="55" s="1"/>
  <c r="A75" i="55"/>
  <c r="D92" i="55"/>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A40" i="55" l="1"/>
  <c r="D40" i="55"/>
  <c r="C40" i="55" s="1"/>
  <c r="D58" i="55"/>
  <c r="C58" i="55" s="1"/>
  <c r="A58" i="55"/>
  <c r="A85" i="55"/>
  <c r="D85" i="55"/>
  <c r="C85" i="55" s="1"/>
  <c r="D49" i="55"/>
  <c r="C49" i="55" s="1"/>
  <c r="A49" i="55"/>
  <c r="D67" i="55"/>
  <c r="C67" i="55" s="1"/>
  <c r="A67" i="55"/>
  <c r="D94" i="55"/>
  <c r="C94" i="55" s="1"/>
  <c r="A94" i="55"/>
  <c r="D93" i="55"/>
  <c r="C93" i="55" s="1"/>
  <c r="A93" i="55"/>
  <c r="A31" i="55"/>
  <c r="D31" i="55"/>
  <c r="C31" i="55" s="1"/>
  <c r="D76" i="55"/>
  <c r="C76" i="55" s="1"/>
  <c r="A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A59" i="55" l="1"/>
  <c r="D59" i="55"/>
  <c r="C59" i="55" s="1"/>
  <c r="A50" i="55"/>
  <c r="D50" i="55"/>
  <c r="C50" i="55" s="1"/>
  <c r="A41" i="55"/>
  <c r="D41" i="55"/>
  <c r="C41" i="55" s="1"/>
  <c r="A86" i="55"/>
  <c r="D86" i="55"/>
  <c r="C86" i="55" s="1"/>
  <c r="DH10" i="3"/>
  <c r="DH18" i="3"/>
  <c r="DH22" i="3"/>
  <c r="A68" i="55"/>
  <c r="D68" i="55"/>
  <c r="C68" i="55" s="1"/>
  <c r="D77" i="55"/>
  <c r="C77" i="55" s="1"/>
  <c r="A77" i="55"/>
  <c r="DM10" i="3"/>
  <c r="DJ18" i="3"/>
  <c r="A95" i="55"/>
  <c r="D95" i="55"/>
  <c r="C95" i="55" s="1"/>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S15" i="3" s="1"/>
  <c r="P14" i="7" s="1"/>
  <c r="DA17" i="3"/>
  <c r="DA18" i="3"/>
  <c r="DS18" i="3" s="1"/>
  <c r="P17" i="7" s="1"/>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22" i="3" l="1"/>
  <c r="P21" i="7" s="1"/>
  <c r="DS10" i="3"/>
  <c r="P9" i="7" s="1"/>
  <c r="A96" i="55"/>
  <c r="D96" i="55"/>
  <c r="C96" i="55" s="1"/>
  <c r="D51" i="55"/>
  <c r="C51" i="55" s="1"/>
  <c r="A51" i="55"/>
  <c r="D78" i="55"/>
  <c r="C78" i="55" s="1"/>
  <c r="A78" i="55"/>
  <c r="DU13" i="3"/>
  <c r="O12" i="7" s="1"/>
  <c r="A69" i="55"/>
  <c r="D69" i="55"/>
  <c r="C69" i="55" s="1"/>
  <c r="D60" i="55"/>
  <c r="C60" i="55" s="1"/>
  <c r="A60" i="55"/>
  <c r="D87" i="55"/>
  <c r="C87" i="55" s="1"/>
  <c r="A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D61" i="55" l="1"/>
  <c r="C61" i="55" s="1"/>
  <c r="A61" i="55"/>
  <c r="D79" i="55"/>
  <c r="C79" i="55" s="1"/>
  <c r="A79" i="55"/>
  <c r="D88" i="55"/>
  <c r="C88" i="55" s="1"/>
  <c r="A88" i="55"/>
  <c r="A70" i="55"/>
  <c r="D70" i="55"/>
  <c r="C70" i="55" s="1"/>
  <c r="A97" i="55"/>
  <c r="D97" i="55"/>
  <c r="C97" i="55" s="1"/>
  <c r="B98" i="55"/>
  <c r="B80" i="55"/>
  <c r="B89" i="55"/>
  <c r="B71" i="55"/>
  <c r="A98" i="55" l="1"/>
  <c r="D98" i="55"/>
  <c r="C98" i="55" s="1"/>
  <c r="D80" i="55"/>
  <c r="C80" i="55" s="1"/>
  <c r="A80" i="55"/>
  <c r="D89" i="55"/>
  <c r="C89" i="55" s="1"/>
  <c r="A89" i="55"/>
  <c r="A71" i="55"/>
  <c r="D71" i="55"/>
  <c r="C71" i="55" s="1"/>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A81" i="55" l="1"/>
  <c r="D81" i="55"/>
  <c r="C81" i="55" s="1"/>
  <c r="D90" i="55"/>
  <c r="C90" i="55" s="1"/>
  <c r="A90" i="55"/>
  <c r="A99" i="55"/>
  <c r="D99" i="55"/>
  <c r="C99" i="55" s="1"/>
  <c r="B91" i="55"/>
  <c r="B100" i="55"/>
  <c r="B7" i="20"/>
  <c r="C9" i="24"/>
  <c r="D100" i="55" l="1"/>
  <c r="C100" i="55" s="1"/>
  <c r="A100" i="55"/>
  <c r="D91" i="55"/>
  <c r="C91" i="55" s="1"/>
  <c r="A91" i="55"/>
  <c r="B101" i="55"/>
  <c r="C7" i="20"/>
  <c r="C8" i="24"/>
  <c r="A101" i="55" l="1"/>
  <c r="D101" i="55"/>
  <c r="C101" i="55" s="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4" i="26"/>
  <c r="D13" i="26"/>
  <c r="D15" i="26"/>
  <c r="D12"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<sst xmlns="http://schemas.openxmlformats.org/spreadsheetml/2006/main" count="28366" uniqueCount="8991">
  <si>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</si>
  <si>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</si>
  <si>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</si>
  <si>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</si>
  <si>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</si>
  <si>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</si>
  <si>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</si>
  <si>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</si>
  <si>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</si>
  <si>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</si>
  <si>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</si>
  <si>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</si>
  <si>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</si>
  <si>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</si>
  <si>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</si>
  <si>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</si>
  <si>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</si>
  <si>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</si>
  <si>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</si>
  <si>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</si>
  <si>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</si>
  <si>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</si>
  <si>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</si>
  <si>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</si>
  <si>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</si>
  <si>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</si>
  <si>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</si>
  <si>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</si>
  <si>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</si>
  <si>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</si>
  <si>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</si>
  <si>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</si>
  <si>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</si>
  <si>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</si>
  <si>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</si>
  <si>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</si>
  <si>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</si>
  <si>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</si>
  <si>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</si>
  <si>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</si>
  <si>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</si>
  <si>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</si>
  <si>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</si>
  <si>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</si>
  <si>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</si>
  <si>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</si>
  <si>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</si>
  <si>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</si>
  <si>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</si>
  <si>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</si>
  <si>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</si>
  <si>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</si>
  <si>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</si>
  <si>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</si>
  <si>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</si>
  <si>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</si>
  <si>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</si>
  <si>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</si>
  <si>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</si>
  <si>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</si>
  <si>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</si>
  <si>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</si>
  <si>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</si>
  <si>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</si>
  <si>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</si>
  <si>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</si>
  <si>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</si>
  <si>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</si>
  <si>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</si>
  <si>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</si>
  <si>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</si>
  <si>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</si>
  <si>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</si>
  <si>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</si>
  <si>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</si>
  <si>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</si>
  <si>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</si>
  <si>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</si>
  <si>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</si>
  <si>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</si>
  <si>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</si>
  <si>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</si>
  <si>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</si>
  <si>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</si>
  <si>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</si>
  <si>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</si>
  <si>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</si>
  <si>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</si>
  <si>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</si>
  <si>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</si>
  <si>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</si>
  <si>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</si>
  <si>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</si>
  <si>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</si>
  <si>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</si>
  <si>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</si>
  <si>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</si>
  <si>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</si>
  <si>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</si>
  <si>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</si>
  <si>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</si>
  <si>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</si>
  <si>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</si>
  <si>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</si>
  <si>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</si>
  <si>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</si>
  <si>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</si>
  <si>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</si>
  <si>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</si>
  <si>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</si>
  <si>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</si>
  <si>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</si>
  <si>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</si>
  <si>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</si>
  <si>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</si>
  <si>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</si>
  <si>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</si>
  <si>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</si>
  <si>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</si>
  <si>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</si>
  <si>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</si>
  <si>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</si>
  <si>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</si>
  <si>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</si>
  <si>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</si>
  <si>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</si>
  <si>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</si>
  <si>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</si>
  <si>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</si>
  <si>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</si>
  <si>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</si>
  <si>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</si>
  <si>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</si>
  <si>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</si>
  <si>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</si>
  <si>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</si>
  <si>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</si>
  <si>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</si>
  <si>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</si>
  <si>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</si>
  <si>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</si>
  <si>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</si>
  <si>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</si>
  <si>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</si>
  <si>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</si>
  <si>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</si>
  <si>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</si>
  <si>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</si>
  <si>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</si>
  <si>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</si>
  <si>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</si>
  <si>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</si>
  <si>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</si>
  <si>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</si>
  <si>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</si>
  <si>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</si>
  <si>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</si>
  <si>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</si>
  <si>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</si>
  <si>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</si>
  <si>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</si>
  <si>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</si>
  <si>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</si>
  <si>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</si>
  <si>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</si>
  <si>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</si>
  <si>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</si>
  <si>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</si>
  <si>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</si>
  <si>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</si>
  <si>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</si>
  <si>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</si>
  <si>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</si>
  <si>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</si>
  <si>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</si>
  <si>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</si>
  <si>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</si>
  <si>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</si>
  <si>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</si>
  <si>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</si>
  <si>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</si>
  <si>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</si>
  <si>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</si>
  <si>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</si>
  <si>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</si>
  <si>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</si>
  <si>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</si>
  <si>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</si>
  <si>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</si>
  <si>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</si>
  <si>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</si>
  <si>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</si>
  <si>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</si>
  <si>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</si>
  <si>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</si>
  <si>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</si>
  <si>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</si>
  <si>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</si>
  <si>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</si>
  <si>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</si>
  <si>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</si>
  <si>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</si>
  <si>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</si>
  <si>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</si>
  <si>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</si>
  <si>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</si>
  <si>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</si>
  <si>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</si>
  <si>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</si>
  <si>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</si>
  <si>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</si>
  <si>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</si>
  <si>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</si>
  <si>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</si>
  <si>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</si>
  <si>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</si>
  <si>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</si>
  <si>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</si>
  <si>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</si>
  <si>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</si>
  <si>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</si>
  <si>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</si>
  <si>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</si>
  <si>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</si>
  <si>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</si>
  <si>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</si>
  <si>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</si>
  <si>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</si>
  <si>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</si>
  <si>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</si>
  <si>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</si>
  <si>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</si>
  <si>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</si>
  <si>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</si>
  <si>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</si>
  <si>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</si>
  <si>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</si>
  <si>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</si>
  <si>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</si>
  <si>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</si>
  <si>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</si>
  <si>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</si>
  <si>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</si>
  <si>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</si>
  <si>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</si>
  <si>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</si>
  <si>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</si>
  <si>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</si>
  <si>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</si>
  <si>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</si>
  <si>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</si>
  <si>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</si>
  <si>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</si>
  <si>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</si>
  <si>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</si>
  <si>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</si>
  <si>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</si>
  <si>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</si>
  <si>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</si>
  <si>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</si>
  <si>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</si>
  <si>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</si>
  <si>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</si>
  <si>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</si>
  <si>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</si>
  <si>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</si>
  <si>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</si>
  <si>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</si>
  <si>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</si>
  <si>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</si>
  <si>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</si>
  <si>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</si>
  <si>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</si>
  <si>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</si>
  <si>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</si>
  <si>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</si>
  <si>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</si>
  <si>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</si>
  <si>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</si>
  <si>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</si>
  <si>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</si>
  <si>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</si>
  <si>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</si>
  <si>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</si>
  <si>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</si>
  <si>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</si>
  <si>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</si>
  <si>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</si>
  <si>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</si>
  <si>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</si>
  <si>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</si>
  <si>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</si>
  <si>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</si>
  <si>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</si>
  <si>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</si>
  <si>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</si>
  <si>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</si>
  <si>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</si>
  <si>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</si>
  <si>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</si>
  <si>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</si>
  <si>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</si>
  <si>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</si>
  <si>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</si>
  <si>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</si>
  <si>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</si>
  <si>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</si>
  <si>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</si>
  <si>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</si>
  <si>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</si>
  <si>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</si>
  <si>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</si>
  <si>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</si>
  <si>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</si>
  <si>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</si>
  <si>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</si>
  <si>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</si>
  <si>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</si>
  <si>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</si>
  <si>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</si>
  <si>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</si>
  <si>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</si>
  <si>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</si>
  <si>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</si>
  <si>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</si>
  <si>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</si>
  <si>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</si>
  <si>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</si>
  <si>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</si>
  <si>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</si>
  <si>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</si>
  <si>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</si>
  <si>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</si>
  <si>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</si>
  <si>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</si>
  <si>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</si>
  <si>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</si>
  <si>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</si>
  <si>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</si>
  <si>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</si>
  <si>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</si>
  <si>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</si>
  <si>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</si>
  <si>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</si>
  <si>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</si>
  <si>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</si>
  <si>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</si>
  <si>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</si>
  <si>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</si>
  <si>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</si>
  <si>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</si>
  <si>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</si>
  <si>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</si>
  <si>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</si>
  <si>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</si>
  <si>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</si>
  <si>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</si>
  <si>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</si>
  <si>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</si>
  <si>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</si>
  <si>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</si>
  <si>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</si>
  <si>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</si>
  <si>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</si>
  <si>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</si>
  <si>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</si>
  <si>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</si>
  <si>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</si>
  <si>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</si>
  <si>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</si>
  <si>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</si>
  <si>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</si>
  <si>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</si>
  <si>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</si>
  <si>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</si>
  <si>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</si>
  <si>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</si>
  <si>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</si>
  <si>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</si>
  <si>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</si>
  <si>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</si>
  <si>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</si>
  <si>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</si>
  <si>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</si>
  <si>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</si>
  <si>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</si>
  <si>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</si>
  <si>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</si>
  <si>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</si>
  <si>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</si>
  <si>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</si>
  <si>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</si>
  <si>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</si>
  <si>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</si>
  <si>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</si>
  <si>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</si>
  <si>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</si>
  <si>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</si>
  <si>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</si>
  <si>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</si>
  <si>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</si>
  <si>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</si>
  <si>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</si>
  <si>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</si>
  <si>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</si>
  <si>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</si>
  <si>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</si>
  <si>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</si>
  <si>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</si>
  <si>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</si>
  <si>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</si>
  <si>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</si>
  <si>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</si>
  <si>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</si>
  <si>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</si>
  <si>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</si>
  <si>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</si>
  <si>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</si>
  <si>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</si>
  <si>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</si>
  <si>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</si>
  <si>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</si>
  <si>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</si>
  <si>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</si>
  <si>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</si>
  <si>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</si>
  <si>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</si>
  <si>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</si>
  <si>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</si>
  <si>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</si>
  <si>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</si>
  <si>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</si>
  <si>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</si>
  <si>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</si>
  <si>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</si>
  <si>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</si>
  <si>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</si>
  <si>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</si>
  <si>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</si>
  <si>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</si>
  <si>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</si>
  <si>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</si>
  <si>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</si>
  <si>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</si>
  <si>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</si>
  <si>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</si>
  <si>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</si>
  <si>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</si>
  <si>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</si>
  <si>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</si>
  <si>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</si>
  <si>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</si>
  <si>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</si>
  <si>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</si>
  <si>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</si>
  <si>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</si>
  <si>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</si>
  <si>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</si>
  <si>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</si>
  <si>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</si>
  <si>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</si>
  <si>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</si>
  <si>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</si>
  <si>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</si>
  <si>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</si>
  <si>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</si>
  <si>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</si>
  <si>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</si>
  <si>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</si>
  <si>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</si>
  <si>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</si>
  <si>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</si>
  <si>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</si>
  <si>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</si>
  <si>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</si>
  <si>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</si>
  <si>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</si>
  <si>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</si>
  <si>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</si>
  <si>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</si>
  <si>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</si>
  <si>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</si>
  <si>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</si>
  <si>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</si>
  <si>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</si>
  <si>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</si>
  <si>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</si>
  <si>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</si>
  <si>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</si>
  <si>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</si>
  <si>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</si>
  <si>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</si>
  <si>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</si>
  <si>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</si>
  <si>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</si>
  <si>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</si>
  <si>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</si>
  <si>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</si>
  <si>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</si>
  <si>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</si>
  <si>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</si>
  <si>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</si>
  <si>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</si>
  <si>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</si>
  <si>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</si>
  <si>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</si>
  <si>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</si>
  <si>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</si>
  <si>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</si>
  <si>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</si>
  <si>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</si>
  <si>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</si>
  <si>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</si>
  <si>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</si>
  <si>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</si>
  <si>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</si>
  <si>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</si>
  <si>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</si>
  <si>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</si>
  <si>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</si>
  <si>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</si>
  <si>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</si>
  <si>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</si>
  <si>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</si>
  <si>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</si>
  <si>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</si>
  <si>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</si>
  <si>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</si>
  <si>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</si>
  <si>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</si>
  <si>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</si>
  <si>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</si>
  <si>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</si>
  <si>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</si>
  <si>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</si>
  <si>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</si>
  <si>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</si>
  <si>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</si>
  <si>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</si>
  <si>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</si>
  <si>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</si>
  <si>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</si>
  <si>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</si>
  <si>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</si>
  <si>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</si>
  <si>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</si>
  <si>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</si>
  <si>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</si>
  <si>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</si>
  <si>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</si>
  <si>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</si>
  <si>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</si>
  <si>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</si>
  <si>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</si>
  <si>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</si>
  <si>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</si>
  <si>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</si>
  <si>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</si>
  <si>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</si>
  <si>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</si>
  <si>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</si>
  <si>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</si>
  <si>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</si>
  <si>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</si>
  <si>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</si>
  <si>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</si>
  <si>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</si>
  <si>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</si>
  <si>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</si>
  <si>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</si>
  <si>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</si>
  <si>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</si>
  <si>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</si>
  <si>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</si>
  <si>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</si>
  <si>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</si>
  <si>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</si>
  <si>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</si>
  <si>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</si>
  <si>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</si>
  <si>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</si>
  <si>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</si>
  <si>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</si>
  <si>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</si>
  <si>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</si>
  <si>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</si>
  <si>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</si>
  <si>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</si>
  <si>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</si>
  <si>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</si>
  <si>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</si>
  <si>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</si>
  <si>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</si>
  <si>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</si>
  <si>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</si>
  <si>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</si>
  <si>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</si>
  <si>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</si>
  <si>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</si>
  <si>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</si>
  <si>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</si>
  <si>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</si>
  <si>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</si>
  <si>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</si>
  <si>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</si>
  <si>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</si>
  <si>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</si>
  <si>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</si>
  <si>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</si>
  <si>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</si>
  <si>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</si>
  <si>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</si>
  <si>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</si>
  <si>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</si>
  <si>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</si>
  <si>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</si>
  <si>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</si>
  <si>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</si>
  <si>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</si>
  <si>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</si>
  <si>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</si>
  <si>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</si>
  <si>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</si>
  <si>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</si>
  <si>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</si>
  <si>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</si>
  <si>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</si>
  <si>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</si>
  <si>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</si>
  <si>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</si>
  <si>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</si>
  <si>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</si>
  <si>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</si>
  <si>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</si>
  <si>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</si>
  <si>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</si>
  <si>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</si>
  <si>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</si>
  <si>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</si>
  <si>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</si>
  <si>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</si>
  <si>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</si>
  <si>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</si>
  <si>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</si>
  <si>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</si>
  <si>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</si>
  <si>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</si>
  <si>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</si>
  <si>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</si>
  <si>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</si>
  <si>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</si>
  <si>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</si>
  <si>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</si>
  <si>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</si>
  <si>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</si>
  <si>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</si>
  <si>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</si>
  <si>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</si>
  <si>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</si>
  <si>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</si>
  <si>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</si>
  <si>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</si>
  <si>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</si>
  <si>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</si>
  <si>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</si>
  <si>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</si>
  <si>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</si>
  <si>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</si>
  <si>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</si>
  <si>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</si>
  <si>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</si>
  <si>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</si>
  <si>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</si>
  <si>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</si>
  <si>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</si>
  <si>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</si>
  <si>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</si>
  <si>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</si>
  <si>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</si>
  <si>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</si>
  <si>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</si>
  <si>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</si>
  <si>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</si>
  <si>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</si>
  <si>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</si>
  <si>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</si>
  <si>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</si>
  <si>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</si>
  <si>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</si>
  <si>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</si>
  <si>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</si>
  <si>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</si>
  <si>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</si>
  <si>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</si>
  <si>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</si>
  <si>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</si>
  <si>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</si>
  <si>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</si>
  <si>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</si>
  <si>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</si>
  <si>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</si>
  <si>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</si>
  <si>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</si>
  <si>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</si>
  <si>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</si>
  <si>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</si>
  <si>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</si>
  <si>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</si>
  <si>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</si>
  <si>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</si>
  <si>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</si>
  <si>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</si>
  <si>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</si>
  <si>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</si>
  <si>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</si>
  <si>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</si>
  <si>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</si>
  <si>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</si>
  <si>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</si>
  <si>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</si>
  <si>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</si>
  <si>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</si>
  <si>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</si>
  <si>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</si>
  <si>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</si>
  <si>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</si>
  <si>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</si>
  <si>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</si>
  <si>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</si>
  <si>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</si>
  <si>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</si>
  <si>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</si>
  <si>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</si>
  <si>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</si>
  <si>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</si>
  <si>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</si>
  <si>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</si>
  <si>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</si>
  <si>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</si>
  <si>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</si>
  <si>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</si>
  <si>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</si>
  <si>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</si>
  <si>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</si>
  <si>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</si>
  <si>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</si>
  <si>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</si>
  <si>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</si>
  <si>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</si>
  <si>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</si>
  <si>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</si>
  <si>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</si>
  <si>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</si>
  <si>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</si>
  <si>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</si>
  <si>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</si>
  <si>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</si>
  <si>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</si>
  <si>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</si>
  <si>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</si>
  <si>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</si>
  <si>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</si>
  <si>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</si>
  <si>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</si>
  <si>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</si>
  <si>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</si>
  <si>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</si>
  <si>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</si>
  <si>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</si>
  <si>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</si>
  <si>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</si>
  <si>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</si>
  <si>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</si>
  <si>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</si>
  <si>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</si>
  <si>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</si>
  <si>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</si>
  <si>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</si>
  <si>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</si>
  <si>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</si>
  <si>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</si>
  <si>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</si>
  <si>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</si>
  <si>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</si>
  <si>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</si>
  <si>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</si>
  <si>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</si>
  <si>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</si>
  <si>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</si>
  <si>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</si>
  <si>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</si>
  <si>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</si>
  <si>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</si>
  <si>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</si>
  <si>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</si>
  <si>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</si>
  <si>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</si>
  <si>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</si>
  <si>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</si>
  <si>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</si>
  <si>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</si>
  <si>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</si>
  <si>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</si>
  <si>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</si>
  <si>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</si>
  <si>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</si>
  <si>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</si>
  <si>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</si>
  <si>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</si>
  <si>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</si>
  <si>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</si>
  <si>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</si>
  <si>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</si>
  <si>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</si>
  <si>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</si>
  <si>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</si>
  <si>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</si>
  <si>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</si>
  <si>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</si>
  <si>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</si>
  <si>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</si>
  <si>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</si>
  <si>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</si>
  <si>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</si>
  <si>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</si>
  <si>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</si>
  <si>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</si>
  <si>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</si>
  <si>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</si>
  <si>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</si>
  <si>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</si>
  <si>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</si>
  <si>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</si>
  <si>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</si>
  <si>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</si>
  <si>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</si>
  <si>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</si>
  <si>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</si>
  <si>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</si>
  <si>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</si>
  <si>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</si>
  <si>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</si>
  <si>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</si>
  <si>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</si>
  <si>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</si>
  <si>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</si>
  <si>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</si>
  <si>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</si>
  <si>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</si>
  <si>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</si>
  <si>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</si>
  <si>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</si>
  <si>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</si>
  <si>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</si>
  <si>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</si>
  <si>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</si>
  <si>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</si>
  <si>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</si>
  <si>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</si>
  <si>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</si>
  <si>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</si>
  <si>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</si>
  <si>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</si>
  <si>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</si>
  <si>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</si>
  <si>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</si>
  <si>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</si>
  <si>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</si>
  <si>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</si>
  <si>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</si>
  <si>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</si>
  <si>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</si>
  <si>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</si>
  <si>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</si>
  <si>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</si>
  <si>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</si>
  <si>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</si>
  <si>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</si>
  <si>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</si>
  <si>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</si>
  <si>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</si>
  <si>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</si>
  <si>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</si>
  <si>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</si>
  <si>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</si>
  <si>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</si>
  <si>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</si>
  <si>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</si>
  <si>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</si>
  <si>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</si>
  <si>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</si>
  <si>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</si>
  <si>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</si>
  <si>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</si>
  <si>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</si>
  <si>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</si>
  <si>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</si>
  <si>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</si>
  <si>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</si>
  <si>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</si>
  <si>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</si>
  <si>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</si>
  <si>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</si>
  <si>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</si>
  <si>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</si>
  <si>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</si>
  <si>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</si>
  <si>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</si>
  <si>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</si>
  <si>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</si>
  <si>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</si>
  <si>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</si>
  <si>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</si>
  <si>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</si>
  <si>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</si>
  <si>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</si>
  <si>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</si>
  <si>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</si>
  <si>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</si>
  <si>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</si>
  <si>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</si>
  <si>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</si>
  <si>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</si>
  <si>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</si>
  <si>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</si>
  <si>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</si>
  <si>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</si>
  <si>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</si>
  <si>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</si>
  <si>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</si>
  <si>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</si>
  <si>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</si>
  <si>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</si>
  <si>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</si>
  <si>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</si>
  <si>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</si>
  <si>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</si>
  <si>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</si>
  <si>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</si>
  <si>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</si>
  <si>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</si>
  <si>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</si>
  <si>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</si>
  <si>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</si>
  <si>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</si>
  <si>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</si>
  <si>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</si>
  <si>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</si>
  <si>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</si>
  <si>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</si>
  <si>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</si>
  <si>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</si>
  <si>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</si>
  <si>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</si>
  <si>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</si>
  <si>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</si>
  <si>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</si>
  <si>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</si>
  <si>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</si>
  <si>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</si>
  <si>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</si>
  <si>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</si>
  <si>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</si>
  <si>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</si>
  <si>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</si>
  <si>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</si>
  <si>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</si>
  <si>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</si>
  <si>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</si>
  <si>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</si>
  <si>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</si>
  <si>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</si>
  <si>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</si>
  <si>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</si>
  <si>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</si>
  <si>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</si>
  <si>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</si>
  <si>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</si>
  <si>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</si>
  <si>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</si>
  <si>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</si>
  <si>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</si>
  <si>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</si>
  <si>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</si>
  <si>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</si>
  <si>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</si>
  <si>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</si>
  <si>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</si>
  <si>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</si>
  <si>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</si>
  <si>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</si>
  <si>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</si>
  <si>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</si>
  <si>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</si>
  <si>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</si>
  <si>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</si>
  <si>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</si>
  <si>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</si>
  <si>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</si>
  <si>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</si>
  <si>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</si>
  <si>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</si>
  <si>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</si>
  <si>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</si>
  <si>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</si>
  <si>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</si>
  <si>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</si>
  <si>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</si>
  <si>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</si>
  <si>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</si>
  <si>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</si>
  <si>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</si>
  <si>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</si>
  <si>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</si>
  <si>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</si>
  <si>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</si>
  <si>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</si>
  <si>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</si>
  <si>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</si>
  <si>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</si>
  <si>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</si>
  <si>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</si>
  <si>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</si>
  <si>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</si>
  <si>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</si>
  <si>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</si>
  <si>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</si>
  <si>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</si>
  <si>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</si>
  <si>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</si>
  <si>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</si>
  <si>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</si>
  <si>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</si>
  <si>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</si>
  <si>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</si>
  <si>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</si>
  <si>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</si>
  <si>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</si>
  <si>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</si>
  <si>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</si>
  <si>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</si>
  <si>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</si>
  <si>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</si>
  <si>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</si>
  <si>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</si>
  <si>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</si>
  <si>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</si>
  <si>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</si>
  <si>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</si>
  <si>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</si>
  <si>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</si>
  <si>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</si>
  <si>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</si>
  <si>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</si>
  <si>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</si>
  <si>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</si>
  <si>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</si>
  <si>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</si>
  <si>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</si>
  <si>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</si>
  <si>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</si>
  <si>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</si>
  <si>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</si>
  <si>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</si>
  <si>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</si>
  <si>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</si>
  <si>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</si>
  <si>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</si>
  <si>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</si>
  <si>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</si>
  <si>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</si>
  <si>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</si>
  <si>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</si>
  <si>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</si>
  <si>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</si>
  <si>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</si>
  <si>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</si>
  <si>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</si>
  <si>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</si>
  <si>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</si>
  <si>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</si>
  <si>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</si>
  <si>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</si>
  <si>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</si>
  <si>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</si>
  <si>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</si>
  <si>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</si>
  <si>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</si>
  <si>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</si>
  <si>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</si>
  <si>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</si>
  <si>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</si>
  <si>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</si>
  <si>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</si>
  <si>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</si>
  <si>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</si>
  <si>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</si>
  <si>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</si>
  <si>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</si>
  <si>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</si>
  <si>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</si>
  <si>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</si>
  <si>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</si>
  <si>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</si>
  <si>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</si>
  <si>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</si>
  <si>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</si>
  <si>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</si>
  <si>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</si>
  <si>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</si>
  <si>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</si>
  <si>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</si>
  <si>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</si>
  <si>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</si>
  <si>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</si>
  <si>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</si>
  <si>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</si>
  <si>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</si>
  <si>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</si>
  <si>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</si>
  <si>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</si>
  <si>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</si>
  <si>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</si>
  <si>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</si>
  <si>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</si>
  <si>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</si>
  <si>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</si>
  <si>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</si>
  <si>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</si>
  <si>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</si>
  <si>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</si>
  <si>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</si>
  <si>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</si>
  <si>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</si>
  <si>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</si>
  <si>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</si>
  <si>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</si>
  <si>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</si>
  <si>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</si>
  <si>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</si>
  <si>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</si>
  <si>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</si>
  <si>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</si>
  <si>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</si>
  <si>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</si>
  <si>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</si>
  <si>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</si>
  <si>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</si>
  <si>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</si>
  <si>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</si>
  <si>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</si>
  <si>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</si>
  <si>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</si>
  <si>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</si>
  <si>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</si>
  <si>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</si>
  <si>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</si>
  <si>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</si>
  <si>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</si>
  <si>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</si>
  <si>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</si>
  <si>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</si>
  <si>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</si>
  <si>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</si>
  <si>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</si>
  <si>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</si>
  <si>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</si>
  <si>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</si>
  <si>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</si>
  <si>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</si>
  <si>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</si>
  <si>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</si>
  <si>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</si>
  <si>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</si>
  <si>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</si>
  <si>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</si>
  <si>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</si>
  <si>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</si>
  <si>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</si>
  <si>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</si>
  <si>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</si>
  <si>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</si>
  <si>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</si>
  <si>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</si>
  <si>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</si>
  <si>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</si>
  <si>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</si>
  <si>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</si>
  <si>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</si>
  <si>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</si>
  <si>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</si>
  <si>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</si>
  <si>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</si>
  <si>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</si>
  <si>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</si>
  <si>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</si>
  <si>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</si>
  <si>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</si>
  <si>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</si>
  <si>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</si>
  <si>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</si>
  <si>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</si>
  <si>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</si>
  <si>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</si>
  <si>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</si>
  <si>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</si>
  <si>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</si>
  <si>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</si>
  <si>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</si>
  <si>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</si>
  <si>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</si>
  <si>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</si>
  <si>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</si>
  <si>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</si>
  <si>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</si>
  <si>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</si>
  <si>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</si>
  <si>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</si>
  <si>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</si>
  <si>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</si>
  <si>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</si>
  <si>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</si>
  <si>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</si>
  <si>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</si>
  <si>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</si>
  <si>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</si>
  <si>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</si>
  <si>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</si>
  <si>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</si>
  <si>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</si>
  <si>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</si>
  <si>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</si>
  <si>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</si>
  <si>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</si>
  <si>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</si>
  <si>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</si>
  <si>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</si>
  <si>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</si>
  <si>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</si>
  <si>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</si>
  <si>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</si>
  <si>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</si>
  <si>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</si>
  <si>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</si>
  <si>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</si>
  <si>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</si>
  <si>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</si>
  <si>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</si>
  <si>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</si>
  <si>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</si>
  <si>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</si>
  <si>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</si>
  <si>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</si>
  <si>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</si>
  <si>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</si>
  <si>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</si>
  <si>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</si>
  <si>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</si>
  <si>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</si>
  <si>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</si>
  <si>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</si>
  <si>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</si>
  <si>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</si>
  <si>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</si>
  <si>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</si>
  <si>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</si>
  <si>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</si>
  <si>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</si>
  <si>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</si>
  <si>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</si>
  <si>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</si>
  <si>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</si>
  <si>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</si>
  <si>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</si>
  <si>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</si>
  <si>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</si>
  <si>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</si>
  <si>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</si>
  <si>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</si>
  <si>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</si>
  <si>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</si>
  <si>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</si>
  <si>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</si>
  <si>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</si>
  <si>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</si>
  <si>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</si>
  <si>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</si>
  <si>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</si>
  <si>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</si>
  <si>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</si>
  <si>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</si>
  <si>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</si>
  <si>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</si>
  <si>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</si>
  <si>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</si>
  <si>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</si>
  <si>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</si>
  <si>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</si>
  <si>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</si>
  <si>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</si>
  <si>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</si>
  <si>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</si>
  <si>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</si>
  <si>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</si>
  <si>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</si>
  <si>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</si>
  <si>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</si>
  <si>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</si>
  <si>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</si>
  <si>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</si>
  <si>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</si>
  <si>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</si>
  <si>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</si>
  <si>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</si>
  <si>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</si>
  <si>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</si>
  <si>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</si>
  <si>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</si>
  <si>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</si>
  <si>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</si>
  <si>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</si>
  <si>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</si>
  <si>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</si>
  <si>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</si>
  <si>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</si>
  <si>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</si>
  <si>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</si>
  <si>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</si>
  <si>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</si>
  <si>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</si>
  <si>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</si>
  <si>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</si>
  <si>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</si>
  <si>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</si>
  <si>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</si>
  <si>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</si>
  <si>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</si>
  <si>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</si>
  <si>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</si>
  <si>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</si>
  <si>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</si>
  <si>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</si>
  <si>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</si>
  <si>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</si>
  <si>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</si>
  <si>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</si>
  <si>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</si>
  <si>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</si>
  <si>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</si>
  <si>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</si>
  <si>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</si>
  <si>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</si>
  <si>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</si>
  <si>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</si>
  <si>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</si>
  <si>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</si>
  <si>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</si>
  <si>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</si>
  <si>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</si>
  <si>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</si>
  <si>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</si>
  <si>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</si>
  <si>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</si>
  <si>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</si>
  <si>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</si>
  <si>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</si>
  <si>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</si>
  <si>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</si>
  <si>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</si>
  <si>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</si>
  <si>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</si>
  <si>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</si>
  <si>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</si>
  <si>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</si>
  <si>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</si>
  <si>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</si>
  <si>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</si>
  <si>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</si>
  <si>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</si>
  <si>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</si>
  <si>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</si>
  <si>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</si>
  <si>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</si>
  <si>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</si>
  <si>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</si>
  <si>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</si>
  <si>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</si>
  <si>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</si>
  <si>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</si>
  <si>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</si>
  <si>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</si>
  <si>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</si>
  <si>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</si>
  <si>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</si>
  <si>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</si>
  <si>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</si>
  <si>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</si>
  <si>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</si>
  <si>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</si>
  <si>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</si>
  <si>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</si>
  <si>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</si>
  <si>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</si>
  <si>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</si>
  <si>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</si>
  <si>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</si>
  <si>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</si>
  <si>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</si>
  <si>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</si>
  <si>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</si>
  <si>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</si>
  <si>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</si>
  <si>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</si>
  <si>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</si>
  <si>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</si>
  <si>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</si>
  <si>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</si>
  <si>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</si>
  <si>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</si>
  <si>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</si>
  <si>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</si>
  <si>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</si>
  <si>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</si>
  <si>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</si>
  <si>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</si>
  <si>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</si>
  <si>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</si>
  <si>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</si>
  <si>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</si>
  <si>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</si>
  <si>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</si>
  <si>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</si>
  <si>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</si>
  <si>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</si>
  <si>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</si>
  <si>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</si>
  <si>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</si>
  <si>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</si>
  <si>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</si>
  <si>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</si>
  <si>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</si>
  <si>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</si>
  <si>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</si>
  <si>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</si>
  <si>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</si>
  <si>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</si>
  <si>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</si>
  <si>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</si>
  <si>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</si>
  <si>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</si>
  <si>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</si>
  <si>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</si>
  <si>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</si>
  <si>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</si>
  <si>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</si>
  <si>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</si>
  <si>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</si>
  <si>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</si>
  <si>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</si>
  <si>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</si>
  <si>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</si>
  <si>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</si>
  <si>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</si>
  <si>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</si>
  <si>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</si>
  <si>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</si>
  <si>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</si>
  <si>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</si>
  <si>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</si>
  <si>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</si>
  <si>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</si>
  <si>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</si>
  <si>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</si>
  <si>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</si>
  <si>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</si>
  <si>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</si>
  <si>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</si>
  <si>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</si>
  <si>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</si>
  <si>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</si>
  <si>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</si>
  <si>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</si>
  <si>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</si>
  <si>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</si>
  <si>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</si>
  <si>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</si>
  <si>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</si>
  <si>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</si>
  <si>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</si>
  <si>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</si>
  <si>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</si>
  <si>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</si>
  <si>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</si>
  <si>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</si>
  <si>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</si>
  <si>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</si>
  <si>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</si>
  <si>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</si>
  <si>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</si>
  <si>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</si>
  <si>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</si>
  <si>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</si>
  <si>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</si>
  <si>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</si>
  <si>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</si>
  <si>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</si>
  <si>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</si>
  <si>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</si>
  <si>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</si>
  <si>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</si>
  <si>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</si>
  <si>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</si>
  <si>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</si>
  <si>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</si>
  <si>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</si>
  <si>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</si>
  <si>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</si>
  <si>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</si>
  <si>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</si>
  <si>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</si>
  <si>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</si>
  <si>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</si>
  <si>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</si>
  <si>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</si>
  <si>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</si>
  <si>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</si>
  <si>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</si>
  <si>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</si>
  <si>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</si>
  <si>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</si>
  <si>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</si>
  <si>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</si>
  <si>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</si>
  <si>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</si>
  <si>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</si>
  <si>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</si>
  <si>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</si>
  <si>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</si>
  <si>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</si>
  <si>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</si>
  <si>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</si>
  <si>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</si>
  <si>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</si>
  <si>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</si>
  <si>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</si>
  <si>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</si>
  <si>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</si>
  <si>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</si>
  <si>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</si>
  <si>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</si>
  <si>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</si>
  <si>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</si>
  <si>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</si>
  <si>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</si>
  <si>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</si>
  <si>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</si>
  <si>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</si>
  <si>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</si>
  <si>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</si>
  <si>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</si>
  <si>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</si>
  <si>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</si>
  <si>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</si>
  <si>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</si>
  <si>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</si>
  <si>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</si>
  <si>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</si>
  <si>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</si>
  <si>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</si>
  <si>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</si>
  <si>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</si>
  <si>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</si>
  <si>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</si>
  <si>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</si>
  <si>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</si>
  <si>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</si>
  <si>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</si>
  <si>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</si>
  <si>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</si>
  <si>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</si>
  <si>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</si>
  <si>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</si>
  <si>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</si>
  <si>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</si>
  <si>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</si>
  <si>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</si>
  <si>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</si>
  <si>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</si>
  <si>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</si>
  <si>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</si>
  <si>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</si>
  <si>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</si>
  <si>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</si>
  <si>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</si>
  <si>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</si>
  <si>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</si>
  <si>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</si>
  <si>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</si>
  <si>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</si>
  <si>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</si>
  <si>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</si>
  <si>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</si>
  <si>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</si>
  <si>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</si>
  <si>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</si>
  <si>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</si>
  <si>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</si>
  <si>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</si>
  <si>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</si>
  <si>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</si>
  <si>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</si>
  <si>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</si>
  <si>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</si>
  <si>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</si>
  <si>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</si>
  <si>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</si>
  <si>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</si>
  <si>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</si>
  <si>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</si>
  <si>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</si>
  <si>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</si>
  <si>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</si>
  <si>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</si>
  <si>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</si>
  <si>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</si>
  <si>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</si>
  <si>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</si>
  <si>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</si>
  <si>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</si>
  <si>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</si>
  <si>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</si>
  <si>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</si>
  <si>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</si>
  <si>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</si>
  <si>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</si>
  <si>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</si>
  <si>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</si>
  <si>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</si>
  <si>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</si>
  <si>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</si>
  <si>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</si>
  <si>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</si>
  <si>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</si>
  <si>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</si>
  <si>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</si>
  <si>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</si>
  <si>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</si>
  <si>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</si>
  <si>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</si>
  <si>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</si>
  <si>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</si>
  <si>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</si>
  <si>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</si>
  <si>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</si>
  <si>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</si>
  <si>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</si>
  <si>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</si>
  <si>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</si>
  <si>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</si>
  <si>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</si>
  <si>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</si>
  <si>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</si>
  <si>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</si>
  <si>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</si>
  <si>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</si>
  <si>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</si>
  <si>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</si>
  <si>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</si>
  <si>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</si>
  <si>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</si>
  <si>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</si>
  <si>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</si>
  <si>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</si>
  <si>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</si>
  <si>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</si>
  <si>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</si>
  <si>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</si>
  <si>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</si>
  <si>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</si>
  <si>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</si>
  <si>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</si>
  <si>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</si>
  <si>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</si>
  <si>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</si>
  <si>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</si>
  <si>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</si>
  <si>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</si>
  <si>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</si>
  <si>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</si>
  <si>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</si>
  <si>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</si>
  <si>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</si>
  <si>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</si>
  <si>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</si>
  <si>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</si>
  <si>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</si>
  <si>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</si>
  <si>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</si>
  <si>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</si>
  <si>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</si>
  <si>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</si>
  <si>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</si>
  <si>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</si>
  <si>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</si>
  <si>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</si>
  <si>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</si>
  <si>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</si>
  <si>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</si>
  <si>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</si>
  <si>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</si>
  <si>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</si>
  <si>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</si>
  <si>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</si>
  <si>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</si>
  <si>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</si>
  <si>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</si>
  <si>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</si>
  <si>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</si>
  <si>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</si>
  <si>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</si>
  <si>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</si>
  <si>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</si>
  <si>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</si>
  <si>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</si>
  <si>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</si>
  <si>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</si>
  <si>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</si>
  <si>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</si>
  <si>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</si>
  <si>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</si>
  <si>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</si>
  <si>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</si>
  <si>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</si>
  <si>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</si>
  <si>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</si>
  <si>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</si>
  <si>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</si>
  <si>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</si>
  <si>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</si>
  <si>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</si>
  <si>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</si>
  <si>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</si>
  <si>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</si>
  <si>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</si>
  <si>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</si>
  <si>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</si>
  <si>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</si>
  <si>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</si>
  <si>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</si>
  <si>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</si>
  <si>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</si>
  <si>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</si>
  <si>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</si>
  <si>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</si>
  <si>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</si>
  <si>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</si>
  <si>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</si>
  <si>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</si>
  <si>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</si>
  <si>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</si>
  <si>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</si>
  <si>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</si>
  <si>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</si>
  <si>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</si>
  <si>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</si>
  <si>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</si>
  <si>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</si>
  <si>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</si>
  <si>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</si>
  <si>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</si>
  <si>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</si>
  <si>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</si>
  <si>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</si>
  <si>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</si>
  <si>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</si>
  <si>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</si>
  <si>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</si>
  <si>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</si>
  <si>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</si>
  <si>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</si>
  <si>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</si>
  <si>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</si>
  <si>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</si>
  <si>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</si>
  <si>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</si>
  <si>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</si>
  <si>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</si>
  <si>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</si>
  <si>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</si>
  <si>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</si>
  <si>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</si>
  <si>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</si>
  <si>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</si>
  <si>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</si>
  <si>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</si>
  <si>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</si>
  <si>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</si>
  <si>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</si>
  <si>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</si>
  <si>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</si>
  <si>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</si>
  <si>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</si>
  <si>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</si>
  <si>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</si>
  <si>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</si>
  <si>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</si>
  <si>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</si>
  <si>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</si>
  <si>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</si>
  <si>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</si>
  <si>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</si>
  <si>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</si>
  <si>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</si>
  <si>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</si>
  <si>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</si>
  <si>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</si>
  <si>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</si>
  <si>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</si>
  <si>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</si>
  <si>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</si>
  <si>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</si>
  <si>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</si>
  <si>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</si>
  <si>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</si>
  <si>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</si>
  <si>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</si>
  <si>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</si>
  <si>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</si>
  <si>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</si>
  <si>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</si>
  <si>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</si>
  <si>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</si>
  <si>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</si>
  <si>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</si>
  <si>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</si>
  <si>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</si>
  <si>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</si>
  <si>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</si>
  <si>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</si>
  <si>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</si>
  <si>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</si>
  <si>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</si>
  <si>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</si>
  <si>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</si>
  <si>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</si>
  <si>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</si>
  <si>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</si>
  <si>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</si>
  <si>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</si>
  <si>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</si>
  <si>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</si>
  <si>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</si>
  <si>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</si>
  <si>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</si>
  <si>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</si>
  <si>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</si>
  <si>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</si>
  <si>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</si>
  <si>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</si>
  <si>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</si>
  <si>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</si>
  <si>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</si>
  <si>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</si>
  <si>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</si>
  <si>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</si>
  <si>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</si>
  <si>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</si>
  <si>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</si>
  <si>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</si>
  <si>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</si>
  <si>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</si>
  <si>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</si>
  <si>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</si>
  <si>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</si>
  <si>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</si>
  <si>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</si>
  <si>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</si>
  <si>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</si>
  <si>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</si>
  <si>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</si>
  <si>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</si>
  <si>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</si>
  <si>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</si>
  <si>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</si>
  <si>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</si>
  <si>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</si>
  <si>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</si>
  <si>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</si>
  <si>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</si>
  <si>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</si>
  <si>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</si>
  <si>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</si>
  <si>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</si>
  <si>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</si>
  <si>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</si>
  <si>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</si>
  <si>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</si>
  <si>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</si>
  <si>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</si>
  <si>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</si>
  <si>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</si>
  <si>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</si>
  <si>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</si>
  <si>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</si>
  <si>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</si>
  <si>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</si>
  <si>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</si>
  <si>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</si>
  <si>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</si>
  <si>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</si>
  <si>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</si>
  <si>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</si>
  <si>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</si>
  <si>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</si>
  <si>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</si>
  <si>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</si>
  <si>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</si>
  <si>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</si>
  <si>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</si>
  <si>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</si>
  <si>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</si>
  <si>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</si>
  <si>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</si>
  <si>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</si>
  <si>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</si>
  <si>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</si>
  <si>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</si>
  <si>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</si>
  <si>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</si>
  <si>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</si>
  <si>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</si>
  <si>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</si>
  <si>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</si>
  <si>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</si>
  <si>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</si>
  <si>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</si>
  <si>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</si>
  <si>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</si>
  <si>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</si>
  <si>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</si>
  <si>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</si>
  <si>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</si>
  <si>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</si>
  <si>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</si>
  <si>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</si>
  <si>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</si>
  <si>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</si>
  <si>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</si>
  <si>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</si>
  <si>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</si>
  <si>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</si>
  <si>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</si>
  <si>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</si>
  <si>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</si>
  <si>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</si>
  <si>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</si>
  <si>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</si>
  <si>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</si>
  <si>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</si>
  <si>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</si>
  <si>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</si>
  <si>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</si>
  <si>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</si>
  <si>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</si>
  <si>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</si>
  <si>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</si>
  <si>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</si>
  <si>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</si>
  <si>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</si>
  <si>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</si>
  <si>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</si>
  <si>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</si>
  <si>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</si>
  <si>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</si>
  <si>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</si>
  <si>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</si>
  <si>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</si>
  <si>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</si>
  <si>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</si>
  <si>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</si>
  <si>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</si>
  <si>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</si>
  <si>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</si>
  <si>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</si>
  <si>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</si>
  <si>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</si>
  <si>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</si>
  <si>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</si>
  <si>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</si>
  <si>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</si>
  <si>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</si>
  <si>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</si>
  <si>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</si>
  <si>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</si>
  <si>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</si>
  <si>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</si>
  <si>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</si>
  <si>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</si>
  <si>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</si>
  <si>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</si>
  <si>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</si>
  <si>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</si>
  <si>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</si>
  <si>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</si>
  <si>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</si>
  <si>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</si>
  <si>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</si>
  <si>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</si>
  <si>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</si>
  <si>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</si>
  <si>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</si>
  <si>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</si>
  <si>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</si>
  <si>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</si>
  <si>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</si>
  <si>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</si>
  <si>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</si>
  <si>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</si>
  <si>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</si>
  <si>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</si>
  <si>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</si>
  <si>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</si>
  <si>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</si>
  <si>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</si>
  <si>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</si>
  <si>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</si>
  <si>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</si>
  <si>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</si>
  <si>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</si>
  <si>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</si>
  <si>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</si>
  <si>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</si>
  <si>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</si>
  <si>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</si>
  <si>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</si>
  <si>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</si>
  <si>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</si>
  <si>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</si>
  <si>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</si>
  <si>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</si>
  <si>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</si>
  <si>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</si>
  <si>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</si>
  <si>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</si>
  <si>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</si>
  <si>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</si>
  <si>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</si>
  <si>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</si>
  <si>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</si>
  <si>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</si>
  <si>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</si>
  <si>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</si>
  <si>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</si>
  <si>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</si>
  <si>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</si>
  <si>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</si>
  <si>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</si>
  <si>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</si>
  <si>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</si>
  <si>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</si>
  <si>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</si>
  <si>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</si>
  <si>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</si>
  <si>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</si>
  <si>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</si>
  <si>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</si>
  <si>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</si>
  <si>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</si>
  <si>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</si>
  <si>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</si>
  <si>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</si>
  <si>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</si>
  <si>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</si>
  <si>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</si>
  <si>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</si>
  <si>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</si>
  <si>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</si>
  <si>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</si>
  <si>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</si>
  <si>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</si>
  <si>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</si>
  <si>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</si>
  <si>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</si>
  <si>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</si>
  <si>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</si>
  <si>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</si>
  <si>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</si>
  <si>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</si>
  <si>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</si>
  <si>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</si>
  <si>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</si>
  <si>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</si>
  <si>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</si>
  <si>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</si>
  <si>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</si>
  <si>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</si>
  <si>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</si>
  <si>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</si>
  <si>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</si>
  <si>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</si>
  <si>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</si>
  <si>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</si>
  <si>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</si>
  <si>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</si>
  <si>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</si>
  <si>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</si>
  <si>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</si>
  <si>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</si>
  <si>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</si>
  <si>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</si>
  <si>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</si>
  <si>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</si>
  <si>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</si>
  <si>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</si>
  <si>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</si>
  <si>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</si>
  <si>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</si>
  <si>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</si>
  <si>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</si>
  <si>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</si>
  <si>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</si>
  <si>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</si>
  <si>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</si>
  <si>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</si>
  <si>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</si>
  <si>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</si>
  <si>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</si>
  <si>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</si>
  <si>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</si>
  <si>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</si>
  <si>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</si>
  <si>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</si>
  <si>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</si>
  <si>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</si>
  <si>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</si>
  <si>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</si>
  <si>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</si>
  <si>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</si>
  <si>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</si>
  <si>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</si>
  <si>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</si>
  <si>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</si>
  <si>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</si>
  <si>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</si>
  <si>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</si>
  <si>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</si>
  <si>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</si>
  <si>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</si>
  <si>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</si>
  <si>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</si>
  <si>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</si>
  <si>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</si>
  <si>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</si>
  <si>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</si>
  <si>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</si>
  <si>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</si>
  <si>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</si>
  <si>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</si>
  <si>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</si>
  <si>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</si>
  <si>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</si>
  <si>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</si>
  <si>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</si>
  <si>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</si>
  <si>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</si>
  <si>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</si>
  <si>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</si>
  <si>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</si>
  <si>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</si>
  <si>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</si>
  <si>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</si>
  <si>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</si>
  <si>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</si>
  <si>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</si>
  <si>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</si>
  <si>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</si>
  <si>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</si>
  <si>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</si>
  <si>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</si>
  <si>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</si>
  <si>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</si>
  <si>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</si>
  <si>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</si>
  <si>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</si>
  <si>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</si>
  <si>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</si>
  <si>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</si>
  <si>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</si>
  <si>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</si>
  <si>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</si>
  <si>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</si>
  <si>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</si>
  <si>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</si>
  <si>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</si>
  <si>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</si>
  <si>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</si>
  <si>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</si>
  <si>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</si>
  <si>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</si>
  <si>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</si>
  <si>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</si>
  <si>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</si>
  <si>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</si>
  <si>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</si>
  <si>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</si>
  <si>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</si>
  <si>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</si>
  <si>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</si>
  <si>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</si>
  <si>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</si>
  <si>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</si>
  <si>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</si>
  <si>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</si>
  <si>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</si>
  <si>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</si>
  <si>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</si>
  <si>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</si>
  <si>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</si>
  <si>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</si>
  <si>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</si>
  <si>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</si>
  <si>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</si>
  <si>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</si>
  <si>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</si>
  <si>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</si>
  <si>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</si>
  <si>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</si>
  <si>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</si>
  <si>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</si>
  <si>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</si>
  <si>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</si>
  <si>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</si>
  <si>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</si>
  <si>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</si>
  <si>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</si>
  <si>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</si>
  <si>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</si>
  <si>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</si>
  <si>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</si>
  <si>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</si>
  <si>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</si>
  <si>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</si>
  <si>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</si>
  <si>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</si>
  <si>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</si>
  <si>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</si>
  <si>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</si>
  <si>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</si>
  <si>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</si>
  <si>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</si>
  <si>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</si>
  <si>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</si>
  <si>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</si>
  <si>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</si>
  <si>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</si>
  <si>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</si>
  <si>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</si>
  <si>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</si>
  <si>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</si>
  <si>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</si>
  <si>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</si>
  <si>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</si>
  <si>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</si>
  <si>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</si>
  <si>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</si>
  <si>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</si>
  <si>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</si>
  <si>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</si>
  <si>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</si>
  <si>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</si>
  <si>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</si>
  <si>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</si>
  <si>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</si>
  <si>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</si>
  <si>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</si>
  <si>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</si>
  <si>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</si>
  <si>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</si>
  <si>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</si>
  <si>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</si>
  <si>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</si>
  <si>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</si>
  <si>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</si>
  <si>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</si>
  <si>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</si>
  <si>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</si>
  <si>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</si>
  <si>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</si>
  <si>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</si>
  <si>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</si>
  <si>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</si>
  <si>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</si>
  <si>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</si>
  <si>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</si>
  <si>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</si>
  <si>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</si>
  <si>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</si>
  <si>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</si>
  <si>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</si>
  <si>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</si>
  <si>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</si>
  <si>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</si>
  <si>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</si>
  <si>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</si>
  <si>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</si>
  <si>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</si>
  <si>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</si>
  <si>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</si>
  <si>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</si>
  <si>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</si>
  <si>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</si>
  <si>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</si>
  <si>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</si>
  <si>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</si>
  <si>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</si>
  <si>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</si>
  <si>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</si>
  <si>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</si>
  <si>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</si>
  <si>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</si>
  <si>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</si>
  <si>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</si>
  <si>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</si>
  <si>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</si>
  <si>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</si>
  <si>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</si>
  <si>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</si>
  <si>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</si>
  <si>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</si>
  <si>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</si>
  <si>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</si>
  <si>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</si>
  <si>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</si>
  <si>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</si>
  <si>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</si>
  <si>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</si>
  <si>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</si>
  <si>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</si>
  <si>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</si>
  <si>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</si>
  <si>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</si>
  <si>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</si>
  <si>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</si>
  <si>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</si>
  <si>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</si>
  <si>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</si>
  <si>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</si>
  <si>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</si>
  <si>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</si>
  <si>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</si>
  <si>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</si>
  <si>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</si>
  <si>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</si>
  <si>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</si>
  <si>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</si>
  <si>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</si>
  <si>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</si>
  <si>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</si>
  <si>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</si>
  <si>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</si>
  <si>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</si>
  <si>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</si>
  <si>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</si>
  <si>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</si>
  <si>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</si>
  <si>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</si>
  <si>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</si>
  <si>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</si>
  <si>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</si>
  <si>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</si>
  <si>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</si>
  <si>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</si>
  <si>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</si>
  <si>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</si>
  <si>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</si>
  <si>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</si>
  <si>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</si>
  <si>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</si>
  <si>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</si>
  <si>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</si>
  <si>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</si>
  <si>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</si>
  <si>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</si>
  <si>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</si>
  <si>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</si>
  <si>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</si>
  <si>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</si>
  <si>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</si>
  <si>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</si>
  <si>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</si>
  <si>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</si>
  <si>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</si>
  <si>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</si>
  <si>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</si>
  <si>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</si>
  <si>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</si>
  <si>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</si>
  <si>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</si>
  <si>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</si>
  <si>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</si>
  <si>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</si>
  <si>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</si>
  <si>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</si>
  <si>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</si>
  <si>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</si>
  <si>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</si>
  <si>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</si>
  <si>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</si>
  <si>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</si>
  <si>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</si>
  <si>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</si>
  <si>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</si>
  <si>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</si>
  <si>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</si>
  <si>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</si>
  <si>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</si>
  <si>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</si>
  <si>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</si>
  <si>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</si>
  <si>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</si>
  <si>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</si>
  <si>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</si>
  <si>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</si>
  <si>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</si>
  <si>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</si>
  <si>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</si>
  <si>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</si>
  <si>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</si>
  <si>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</si>
  <si>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</si>
  <si>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</si>
  <si>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</si>
  <si>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</si>
  <si>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</si>
  <si>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</si>
  <si>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</si>
  <si>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</si>
  <si>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</si>
  <si>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</si>
  <si>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</si>
  <si>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</si>
  <si>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</si>
  <si>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</si>
  <si>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</si>
  <si>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</si>
  <si>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</si>
  <si>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</si>
  <si>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</si>
  <si>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</si>
  <si>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</si>
  <si>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</si>
  <si>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</si>
  <si>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</si>
  <si>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</si>
  <si>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</si>
  <si>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</si>
  <si>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</si>
  <si>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</si>
  <si>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</si>
  <si>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</si>
  <si>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</si>
  <si>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</si>
  <si>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</si>
  <si>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</si>
  <si>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</si>
  <si>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</si>
  <si>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</si>
  <si>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</si>
  <si>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</si>
  <si>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</si>
  <si>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</si>
  <si>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</si>
  <si>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</si>
  <si>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</si>
  <si>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</si>
  <si>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</si>
  <si>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</si>
  <si>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</si>
  <si>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</si>
  <si>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</si>
  <si>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</si>
  <si>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</si>
  <si>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</si>
  <si>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</si>
  <si>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</si>
  <si>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</si>
  <si>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</si>
  <si>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</si>
  <si>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</si>
  <si>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</si>
  <si>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</si>
  <si>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</si>
  <si>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</si>
  <si>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</si>
  <si>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</si>
  <si>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</si>
  <si>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</si>
  <si>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</si>
  <si>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</si>
  <si>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</si>
  <si>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</si>
  <si>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</si>
  <si>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</si>
  <si>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</si>
  <si>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</si>
  <si>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</si>
  <si>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</si>
  <si>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</si>
  <si>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</si>
  <si>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</si>
  <si>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</si>
  <si>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</si>
  <si>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</si>
  <si>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</si>
  <si>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</si>
  <si>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</si>
  <si>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</si>
  <si>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</si>
  <si>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</si>
  <si>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</si>
  <si>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</si>
  <si>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</si>
  <si>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</si>
  <si>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</si>
  <si>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</si>
  <si>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</si>
  <si>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</si>
  <si>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</si>
  <si>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</si>
  <si>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</si>
  <si>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</si>
  <si>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</si>
  <si>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</si>
  <si>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</si>
  <si>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</si>
  <si>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</si>
  <si>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</si>
  <si>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</si>
  <si>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</si>
  <si>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</si>
  <si>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</si>
  <si>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</si>
  <si>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</si>
  <si>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</si>
  <si>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</si>
  <si>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</si>
  <si>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</si>
  <si>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</si>
  <si>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</si>
  <si>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</si>
  <si>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</si>
  <si>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</si>
  <si>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</si>
  <si>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</si>
  <si>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</si>
  <si>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</si>
  <si>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</si>
  <si>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</si>
  <si>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</si>
  <si>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</si>
  <si>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</si>
  <si>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</si>
  <si>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</si>
  <si>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</si>
  <si>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</si>
  <si>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</si>
  <si>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</si>
  <si>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</si>
  <si>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</si>
  <si>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</si>
  <si>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</si>
  <si>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</si>
  <si>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</si>
  <si>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</si>
  <si>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</si>
  <si>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</si>
  <si>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</si>
  <si>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</si>
  <si>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</si>
  <si>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</si>
  <si>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</si>
  <si>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</si>
  <si>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</si>
  <si>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</si>
  <si>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</si>
  <si>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</si>
  <si>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</si>
  <si>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</si>
  <si>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</si>
  <si>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</si>
  <si>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</si>
  <si>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</si>
  <si>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</si>
  <si>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</si>
  <si>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</si>
  <si>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</si>
  <si>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</si>
  <si>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</si>
  <si>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</si>
  <si>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</si>
  <si>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</si>
  <si>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</si>
  <si>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</si>
  <si>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</si>
  <si>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</si>
  <si>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</si>
  <si>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</si>
  <si>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</si>
  <si>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</si>
  <si>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</si>
  <si>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</si>
  <si>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</si>
  <si>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</si>
  <si>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</si>
  <si>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</si>
  <si>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</si>
  <si>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</si>
  <si>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</si>
  <si>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</si>
  <si>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</si>
  <si>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</si>
  <si>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</si>
  <si>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</si>
  <si>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</si>
  <si>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</si>
  <si>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</si>
  <si>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</si>
  <si>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</si>
  <si>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</si>
  <si>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</si>
  <si>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</si>
  <si>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</si>
  <si>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</si>
  <si>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</si>
  <si>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</si>
  <si>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</si>
  <si>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</si>
  <si>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</si>
  <si>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</si>
  <si>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</si>
  <si>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</si>
  <si>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</si>
  <si>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</si>
  <si>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</si>
  <si>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</si>
  <si>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</si>
  <si>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</si>
  <si>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</si>
  <si>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</si>
  <si>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</si>
  <si>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</si>
  <si>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</si>
  <si>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</si>
  <si>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</si>
  <si>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</si>
  <si>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</si>
  <si>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</si>
  <si>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</si>
  <si>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</si>
  <si>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</si>
  <si>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</si>
  <si>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</si>
  <si>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</si>
  <si>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</si>
  <si>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</si>
  <si>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</si>
  <si>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</si>
  <si>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</si>
  <si>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</si>
  <si>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</si>
  <si>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</si>
  <si>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</si>
  <si>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</si>
  <si>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</si>
  <si>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</si>
  <si>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</si>
  <si>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</si>
  <si>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</si>
  <si>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</si>
  <si>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</si>
  <si>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</si>
  <si>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</si>
  <si>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</si>
  <si>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</si>
  <si>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</si>
  <si>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</si>
  <si>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</si>
  <si>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</si>
  <si>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</si>
  <si>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</si>
  <si>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</si>
  <si>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</si>
  <si>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</si>
  <si>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</si>
  <si>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</si>
  <si>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</si>
  <si>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</si>
  <si>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</si>
  <si>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</si>
  <si>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</si>
  <si>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</si>
  <si>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</si>
  <si>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</si>
  <si>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</si>
  <si>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</si>
  <si>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</si>
  <si>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</si>
  <si>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</si>
  <si>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</si>
  <si>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</si>
  <si>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</si>
  <si>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</si>
  <si>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</si>
  <si>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</si>
  <si>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</si>
  <si>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</si>
  <si>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</si>
  <si>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</si>
  <si>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</si>
  <si>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</si>
  <si>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</si>
  <si>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</si>
  <si>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</si>
  <si>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</si>
  <si>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</si>
  <si>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</si>
  <si>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</si>
  <si>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</si>
  <si>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</si>
  <si>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</si>
  <si>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</si>
  <si>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</si>
  <si>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</si>
  <si>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</si>
  <si>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</si>
  <si>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</si>
  <si>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</si>
  <si>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</si>
  <si>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</si>
  <si>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</si>
  <si>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</si>
  <si>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</si>
  <si>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</si>
  <si>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</si>
  <si>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</si>
  <si>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</si>
  <si>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</si>
  <si>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</si>
  <si>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</si>
  <si>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</si>
  <si>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</si>
  <si>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</si>
  <si>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</si>
  <si>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</si>
  <si>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</si>
  <si>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</si>
  <si>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</si>
  <si>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</si>
  <si>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</si>
  <si>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</si>
  <si>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</si>
  <si>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</si>
  <si>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</si>
  <si>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</si>
  <si>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</si>
  <si>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</si>
  <si>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</si>
  <si>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</si>
  <si>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</si>
  <si>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</si>
  <si>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</si>
  <si>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</si>
  <si>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</si>
  <si>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</si>
  <si>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</si>
  <si>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</si>
  <si>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</si>
  <si>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</si>
  <si>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</si>
  <si>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</si>
  <si>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</si>
  <si>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</si>
  <si>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</si>
  <si>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</si>
  <si>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</si>
  <si>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</si>
  <si>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</si>
  <si>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</si>
  <si>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</si>
  <si>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</si>
  <si>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</si>
  <si>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</si>
  <si>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</si>
  <si>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</si>
  <si>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</si>
  <si>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</si>
  <si>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</si>
  <si>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</si>
  <si>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</si>
  <si>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</si>
  <si>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</si>
  <si>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</si>
  <si>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</si>
  <si>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</si>
  <si>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</si>
  <si>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</si>
  <si>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</si>
  <si>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</si>
  <si>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</si>
  <si>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</si>
  <si>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</si>
  <si>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</si>
  <si>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</si>
  <si>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</si>
  <si>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</si>
  <si>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</si>
  <si>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</si>
  <si>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</si>
  <si>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</si>
  <si>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</si>
  <si>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</si>
  <si>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</si>
  <si>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</si>
  <si>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</si>
  <si>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</si>
  <si>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</si>
  <si>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</si>
  <si>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</si>
  <si>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</si>
  <si>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</si>
  <si>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</si>
  <si>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</si>
  <si>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</si>
  <si>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</si>
  <si>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</si>
  <si>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</si>
  <si>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</si>
  <si>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</si>
  <si>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</si>
  <si>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</si>
  <si>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</si>
  <si>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</si>
  <si>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</si>
  <si>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</si>
  <si>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</si>
  <si>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</si>
  <si>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</si>
  <si>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</si>
  <si>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</si>
  <si>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</si>
  <si>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</si>
  <si>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</si>
  <si>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</si>
  <si>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</si>
  <si>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</si>
  <si>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</si>
  <si>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</si>
  <si>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</si>
  <si>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</si>
  <si>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</si>
  <si>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</si>
  <si>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</si>
  <si>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</si>
  <si>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</si>
  <si>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</si>
  <si>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</si>
  <si>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</si>
  <si>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</si>
  <si>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</si>
  <si>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</si>
  <si>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</si>
  <si>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</si>
  <si>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</si>
  <si>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</si>
  <si>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</si>
  <si>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</si>
  <si>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</si>
  <si>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</si>
  <si>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</si>
  <si>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</si>
  <si>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</si>
  <si>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</si>
  <si>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</si>
  <si>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</si>
  <si>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</si>
  <si>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</si>
  <si>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</si>
  <si>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</si>
  <si>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</si>
  <si>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</si>
  <si>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</si>
  <si>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</si>
  <si>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</si>
  <si>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</si>
  <si>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</si>
  <si>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</si>
  <si>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</si>
  <si>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</si>
  <si>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</si>
  <si>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</si>
  <si>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</si>
  <si>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</si>
  <si>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</si>
  <si>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</si>
  <si>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</si>
  <si>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</si>
  <si>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</si>
  <si>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</si>
  <si>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</si>
  <si>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</si>
  <si>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</si>
  <si>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</si>
  <si>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</si>
  <si>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</si>
  <si>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</si>
  <si>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</si>
  <si>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</si>
  <si>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</si>
  <si>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</si>
  <si>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</si>
  <si>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</si>
  <si>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</si>
  <si>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</si>
  <si>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</si>
  <si>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</si>
  <si>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</si>
  <si>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</si>
  <si>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</si>
  <si>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</si>
  <si>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</si>
  <si>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</si>
  <si>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</si>
  <si>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</si>
  <si>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</si>
  <si>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</si>
  <si>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</si>
  <si>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</si>
  <si>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</si>
  <si>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</si>
  <si>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</si>
  <si>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</si>
  <si>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</si>
  <si>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</si>
  <si>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</si>
  <si>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</si>
  <si>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</si>
  <si>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</si>
  <si>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</si>
  <si>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</si>
  <si>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</si>
  <si>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</si>
  <si>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</si>
  <si>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</si>
  <si>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</si>
  <si>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</si>
  <si>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</si>
  <si>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</si>
  <si>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</si>
  <si>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</si>
  <si>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</si>
  <si>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</si>
  <si>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</si>
  <si>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</si>
  <si>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</si>
  <si>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</si>
  <si>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</si>
  <si>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</si>
  <si>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</si>
  <si>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</si>
  <si>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</si>
  <si>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</si>
  <si>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</si>
  <si>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</si>
  <si>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</si>
  <si>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</si>
  <si>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</si>
  <si>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</si>
  <si>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</si>
  <si>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</si>
  <si>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</si>
  <si>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</si>
  <si>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</si>
  <si>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</si>
  <si>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</si>
  <si>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</si>
  <si>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</si>
  <si>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</si>
  <si>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</si>
  <si>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</si>
  <si>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</si>
  <si>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</si>
  <si>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</si>
  <si>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</si>
  <si>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</si>
  <si>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</si>
  <si>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</si>
  <si>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</si>
  <si>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</si>
  <si>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</si>
  <si>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</si>
  <si>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</si>
  <si>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</si>
  <si>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</si>
  <si>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</si>
  <si>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</si>
  <si>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</si>
  <si>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</si>
  <si>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</si>
  <si>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</si>
  <si>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</si>
  <si>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</si>
  <si>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</si>
  <si>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</si>
  <si>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</si>
  <si>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</si>
  <si>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</si>
  <si>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</si>
  <si>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</si>
  <si>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</si>
  <si>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</si>
  <si>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</si>
  <si>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</si>
  <si>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</si>
  <si>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</si>
  <si>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</si>
  <si>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</si>
  <si>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</si>
  <si>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</si>
  <si>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</si>
  <si>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</si>
  <si>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</si>
  <si>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</si>
  <si>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</si>
  <si>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</si>
  <si>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</si>
  <si>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</si>
  <si>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</si>
  <si>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</si>
  <si>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</si>
  <si>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</si>
  <si>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</si>
  <si>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</si>
  <si>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</si>
  <si>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</si>
  <si>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</si>
  <si>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</si>
  <si>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</si>
  <si>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</si>
  <si>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</si>
  <si>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</si>
  <si>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</si>
  <si>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</si>
  <si>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</si>
  <si>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</si>
  <si>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</si>
  <si>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</si>
  <si>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</si>
  <si>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</si>
  <si>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</si>
  <si>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</si>
  <si>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</si>
  <si>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</si>
  <si>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</si>
  <si>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</si>
  <si>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</si>
  <si>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</si>
  <si>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</si>
  <si>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</si>
  <si>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</si>
  <si>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</si>
  <si>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</si>
  <si>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</si>
  <si>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</si>
  <si>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</si>
  <si>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</si>
  <si>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</si>
  <si>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</si>
  <si>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</si>
  <si>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</si>
  <si>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</si>
  <si>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</si>
  <si>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</si>
  <si>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</si>
  <si>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</si>
  <si>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</si>
  <si>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</si>
  <si>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</si>
  <si>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</si>
  <si>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</si>
  <si>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</si>
  <si>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</si>
  <si>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</si>
  <si>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</si>
  <si>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</si>
  <si>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</si>
  <si>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</si>
  <si>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</si>
  <si>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</si>
  <si>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</si>
  <si>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</si>
  <si>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</si>
  <si>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</si>
  <si>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</si>
  <si>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</si>
  <si>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</si>
  <si>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</si>
  <si>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</si>
  <si>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</si>
  <si>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</si>
  <si>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</si>
  <si>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</si>
  <si>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</si>
  <si>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</si>
  <si>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</si>
  <si>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</si>
  <si>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</si>
  <si>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</si>
  <si>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</si>
  <si>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</si>
  <si>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</si>
  <si>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</si>
  <si>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</si>
  <si>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</si>
  <si>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</si>
  <si>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</si>
  <si>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</si>
  <si>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</si>
  <si>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</si>
  <si>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</si>
  <si>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</si>
  <si>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</si>
  <si>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</si>
  <si>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</si>
  <si>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</si>
  <si>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</si>
  <si>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</si>
  <si>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</si>
  <si>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</si>
  <si>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</si>
  <si>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</si>
  <si>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</si>
  <si>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</si>
  <si>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</si>
  <si>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</si>
  <si>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</si>
  <si>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</si>
  <si>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</si>
  <si>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</si>
  <si>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</si>
  <si>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</si>
  <si>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</si>
  <si>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</si>
  <si>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</si>
  <si>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</si>
  <si>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</si>
  <si>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</si>
  <si>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</si>
  <si>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</si>
  <si>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</si>
  <si>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</si>
  <si>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</si>
  <si>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</si>
  <si>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</si>
  <si>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</si>
  <si>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</si>
  <si>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</si>
  <si>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</si>
  <si>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</si>
  <si>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</si>
  <si>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</si>
  <si>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</si>
  <si>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</si>
  <si>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</si>
  <si>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</si>
  <si>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</si>
  <si>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</si>
  <si>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</si>
  <si>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</si>
  <si>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</si>
  <si>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</si>
  <si>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</si>
  <si>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</si>
  <si>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</si>
  <si>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</si>
  <si>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</si>
  <si>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</si>
  <si>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</si>
  <si>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</si>
  <si>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</si>
  <si>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</si>
  <si>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</si>
  <si>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</si>
  <si>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</si>
  <si>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</si>
  <si>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</si>
  <si>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</si>
  <si>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</si>
  <si>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</si>
  <si>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</si>
  <si>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</si>
  <si>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</si>
  <si>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</si>
  <si>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</si>
  <si>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</si>
  <si>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</si>
  <si>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</si>
  <si>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</si>
  <si>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</si>
  <si>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</si>
  <si>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</si>
  <si>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</si>
  <si>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</si>
  <si>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</si>
  <si>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</si>
  <si>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</si>
  <si>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</si>
  <si>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</si>
  <si>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</si>
  <si>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</si>
  <si>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</si>
  <si>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</si>
  <si>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</si>
  <si>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</si>
  <si>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</si>
  <si>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</si>
  <si>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</si>
  <si>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</si>
  <si>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</si>
  <si>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</si>
  <si>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</si>
  <si>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</si>
  <si>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</si>
  <si>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</si>
  <si>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</si>
  <si>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</si>
  <si>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</si>
  <si>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</si>
  <si>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</si>
  <si>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</si>
  <si>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</si>
  <si>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</si>
  <si>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</si>
  <si>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</si>
  <si>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</si>
  <si>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</si>
  <si>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</si>
  <si>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</si>
  <si>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</si>
  <si>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</si>
  <si>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</si>
  <si>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</si>
  <si>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</si>
  <si>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</si>
  <si>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</si>
  <si>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</si>
  <si>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</si>
  <si>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</si>
  <si>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</si>
  <si>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</si>
  <si>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</si>
  <si>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</si>
  <si>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</si>
  <si>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</si>
  <si>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</si>
  <si>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</si>
  <si>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</si>
  <si>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</si>
  <si>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</si>
  <si>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</si>
  <si>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</si>
  <si>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</si>
  <si>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</si>
  <si>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</si>
  <si>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</si>
  <si>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</si>
  <si>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</si>
  <si>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</si>
  <si>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</si>
  <si>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</si>
  <si>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</si>
  <si>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</si>
  <si>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</si>
  <si>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</si>
  <si>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</si>
  <si>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</si>
  <si>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</si>
  <si>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</si>
  <si>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</si>
  <si>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</si>
  <si>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</si>
  <si>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</si>
  <si>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</si>
  <si>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</si>
  <si>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</si>
  <si>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</si>
  <si>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</si>
  <si>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</si>
  <si>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</si>
  <si>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</si>
  <si>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</si>
  <si>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</si>
  <si>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</si>
  <si>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</si>
  <si>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</si>
  <si>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</si>
  <si>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</si>
  <si>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</si>
  <si>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</si>
  <si>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</si>
  <si>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</si>
  <si>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</si>
  <si>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</si>
  <si>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</si>
  <si>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</si>
  <si>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</si>
  <si>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</si>
  <si>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</si>
  <si>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</si>
  <si>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</si>
  <si>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</si>
  <si>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</si>
  <si>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</si>
  <si>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</si>
  <si>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</si>
  <si>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</si>
  <si>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</si>
  <si>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</si>
  <si>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</si>
  <si>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</si>
  <si>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</si>
  <si>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</si>
  <si>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</si>
  <si>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</si>
  <si>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</si>
  <si>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</si>
  <si>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</si>
  <si>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</si>
  <si>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</si>
  <si>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</si>
  <si>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</si>
  <si>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</si>
  <si>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</si>
  <si>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</si>
  <si>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</si>
  <si>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</si>
  <si>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</si>
  <si>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</si>
  <si>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</si>
  <si>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</si>
  <si>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</si>
  <si>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</si>
  <si>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</si>
  <si>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</si>
  <si>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</si>
  <si>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</si>
  <si>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</si>
  <si>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</si>
  <si>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</si>
  <si>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</si>
  <si>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</si>
  <si>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</si>
  <si>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</si>
  <si>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</si>
  <si>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</si>
  <si>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</si>
  <si>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</si>
  <si>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</si>
  <si>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</si>
  <si>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</si>
  <si>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</si>
  <si>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</si>
  <si>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</si>
  <si>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</si>
  <si>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</si>
  <si>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</si>
  <si>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</si>
  <si>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</si>
  <si>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</si>
  <si>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</si>
  <si>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</si>
  <si>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</si>
  <si>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</si>
  <si>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</si>
  <si>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</si>
  <si>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</si>
  <si>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</si>
  <si>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</si>
  <si>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</si>
  <si>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</si>
  <si>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</si>
  <si>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</si>
  <si>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</si>
  <si>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</si>
  <si>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</si>
  <si>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</si>
  <si>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</si>
  <si>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</si>
  <si>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</si>
  <si>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</si>
  <si>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</si>
  <si>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</si>
  <si>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</si>
  <si>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</si>
  <si>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</si>
  <si>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</si>
  <si>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</si>
  <si>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</si>
  <si>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</si>
  <si>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</si>
  <si>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</si>
  <si>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</si>
  <si>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</si>
  <si>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</si>
  <si>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</si>
  <si>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</si>
  <si>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</si>
  <si>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</si>
  <si>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</si>
  <si>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</si>
  <si>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</si>
  <si>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</si>
  <si>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</si>
  <si>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</si>
  <si>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</si>
  <si>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</si>
  <si>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</si>
  <si>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</si>
  <si>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</si>
  <si>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</si>
  <si>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</si>
  <si>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</si>
  <si>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</si>
  <si>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</si>
  <si>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</si>
  <si>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</si>
  <si>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</si>
  <si>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</si>
  <si>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</si>
  <si>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</si>
  <si>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</si>
  <si>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</si>
  <si>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</si>
  <si>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</si>
  <si>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</si>
  <si>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</si>
  <si>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</si>
  <si>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</si>
  <si>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</si>
  <si>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</si>
  <si>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</si>
  <si>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</si>
  <si>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</si>
  <si>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</si>
  <si>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</si>
  <si>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</si>
  <si>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</si>
  <si>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</si>
  <si>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</si>
  <si>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</si>
  <si>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</si>
  <si>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</si>
  <si>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</si>
  <si>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</si>
  <si>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</si>
  <si>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</si>
  <si>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</si>
  <si>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</si>
  <si>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</si>
  <si>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</si>
  <si>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</si>
  <si>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</si>
  <si>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</si>
  <si>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</si>
  <si>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</si>
  <si>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</si>
  <si>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</si>
  <si>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</si>
  <si>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</si>
  <si>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</si>
  <si>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</si>
  <si>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</si>
  <si>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</si>
  <si>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</si>
  <si>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</si>
  <si>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</si>
  <si>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</si>
  <si>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</si>
  <si>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</si>
  <si>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</si>
  <si>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</si>
  <si>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</si>
  <si>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</si>
  <si>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</si>
  <si>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</si>
  <si>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</si>
  <si>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</si>
  <si>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</si>
  <si>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</si>
  <si>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</si>
  <si>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</si>
  <si>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</si>
  <si>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</si>
  <si>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</si>
  <si>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</si>
  <si>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</si>
  <si>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</si>
  <si>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</si>
  <si>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</si>
  <si>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</si>
  <si>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</si>
  <si>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</si>
  <si>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</si>
  <si>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</si>
  <si>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</si>
  <si>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</si>
  <si>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</si>
  <si>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</si>
  <si>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</si>
  <si>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</si>
  <si>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</si>
  <si>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</si>
  <si>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</si>
  <si>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</si>
  <si>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</si>
  <si>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</si>
  <si>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</si>
  <si>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</si>
  <si>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</si>
  <si>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</si>
  <si>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</si>
  <si>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</si>
  <si>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</si>
  <si>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</si>
  <si>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</si>
  <si>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</si>
  <si>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</si>
  <si>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</si>
  <si>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</si>
  <si>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</si>
  <si>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</si>
  <si>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</si>
  <si>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</si>
  <si>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</si>
  <si>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</si>
  <si>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</si>
  <si>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</si>
  <si>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</si>
  <si>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</si>
  <si>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</si>
  <si>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</si>
  <si>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</si>
  <si>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</si>
  <si>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</si>
  <si>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</si>
  <si>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</si>
  <si>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</si>
  <si>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</si>
  <si>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</si>
  <si>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</si>
  <si>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</si>
  <si>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</si>
  <si>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</si>
  <si>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</si>
  <si>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</si>
  <si>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</si>
  <si>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</si>
  <si>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</si>
  <si>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</si>
  <si>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</si>
  <si>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</si>
  <si>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</si>
  <si>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</si>
  <si>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</si>
  <si>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</si>
  <si>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</si>
  <si>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</si>
  <si>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</si>
  <si>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</si>
  <si>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</si>
  <si>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</si>
  <si>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</si>
  <si>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</si>
  <si>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</si>
  <si>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</si>
  <si>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</si>
  <si>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</si>
  <si>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</si>
  <si>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</si>
  <si>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</si>
  <si>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</si>
  <si>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</si>
  <si>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</si>
  <si>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</si>
  <si>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</si>
  <si>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</si>
  <si>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</si>
  <si>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</si>
  <si>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</si>
  <si>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</si>
  <si>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</si>
  <si>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</si>
  <si>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</si>
  <si>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</si>
  <si>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</si>
  <si>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</si>
  <si>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</si>
  <si>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</si>
  <si>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</si>
  <si>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</si>
  <si>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</si>
  <si>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</si>
  <si>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</si>
  <si>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</si>
  <si>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</si>
  <si>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</si>
  <si>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</si>
  <si>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</si>
  <si>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</si>
  <si>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</si>
  <si>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</si>
  <si>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</si>
  <si>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</si>
  <si>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</si>
  <si>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</si>
  <si>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</si>
  <si>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</si>
  <si>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</si>
  <si>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</si>
  <si>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</si>
  <si>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</si>
  <si>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</si>
  <si>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</si>
  <si>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</si>
  <si>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</si>
  <si>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</si>
  <si>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</si>
  <si>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</si>
  <si>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</si>
  <si>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</si>
  <si>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</si>
  <si>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</si>
  <si>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</si>
  <si>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</si>
  <si>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</si>
  <si>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</si>
  <si>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</si>
  <si>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</si>
  <si>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</si>
  <si>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</si>
  <si>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</si>
  <si>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</si>
  <si>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</si>
  <si>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</si>
  <si>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</si>
  <si>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</si>
  <si>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</si>
  <si>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</si>
  <si>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</si>
  <si>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</si>
  <si>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</si>
  <si>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</si>
  <si>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</si>
  <si>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</si>
  <si>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</si>
  <si>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</si>
  <si>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</si>
  <si>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</si>
  <si>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</si>
  <si>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</si>
  <si>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</si>
  <si>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</si>
  <si>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</si>
  <si>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</si>
  <si>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</si>
  <si>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</si>
  <si>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</si>
  <si>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</si>
  <si>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</si>
  <si>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</si>
  <si>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</si>
  <si>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</si>
  <si>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</si>
  <si>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</si>
  <si>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</si>
  <si>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</si>
  <si>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</si>
  <si>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</si>
  <si>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</si>
  <si>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</si>
  <si>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</si>
  <si>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</si>
  <si>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</si>
  <si>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</si>
  <si>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</si>
  <si>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</si>
  <si>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</si>
  <si>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</si>
  <si>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</si>
  <si>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</si>
  <si>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</si>
  <si>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</si>
  <si>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</si>
  <si>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</si>
  <si>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</si>
  <si>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</si>
  <si>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</si>
  <si>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</si>
  <si>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</si>
  <si>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</si>
  <si>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</si>
  <si>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</si>
  <si>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</si>
  <si>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</si>
  <si>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</si>
  <si>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</si>
  <si>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</si>
  <si>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</si>
  <si>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</si>
  <si>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</si>
  <si>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</si>
  <si>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</si>
  <si>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</si>
  <si>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</si>
  <si>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</si>
  <si>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</si>
  <si>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</si>
  <si>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</si>
  <si>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</si>
  <si>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</si>
  <si>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</si>
  <si>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</si>
  <si>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</si>
  <si>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</si>
  <si>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</si>
  <si>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</si>
  <si>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</si>
  <si>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</si>
  <si>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</si>
  <si>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</si>
  <si>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</si>
  <si>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</si>
  <si>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</si>
  <si>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</si>
  <si>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</si>
  <si>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</si>
  <si>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</si>
  <si>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</si>
  <si>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</si>
  <si>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</si>
  <si>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</si>
  <si>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</si>
  <si>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</si>
  <si>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</si>
  <si>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</si>
  <si>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</si>
  <si>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</si>
  <si>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</si>
  <si>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</si>
  <si>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</si>
  <si>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</si>
  <si>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</si>
  <si>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</si>
  <si>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</si>
  <si>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</si>
  <si>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</si>
  <si>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</si>
  <si>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</si>
  <si>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</si>
  <si>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</si>
  <si>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</si>
  <si>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</si>
  <si>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</si>
  <si>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</si>
  <si>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</si>
  <si>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</si>
  <si>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</si>
  <si>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</si>
  <si>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</si>
  <si>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</si>
  <si>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</si>
  <si>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</si>
  <si>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</si>
  <si>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</si>
  <si>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</si>
  <si>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</si>
  <si>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</si>
  <si>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</si>
  <si>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</si>
  <si>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</si>
  <si>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</si>
  <si>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</si>
  <si>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</si>
  <si>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</si>
  <si>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</si>
  <si>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</si>
  <si>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</si>
  <si>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</si>
  <si>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</si>
  <si>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</si>
  <si>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</si>
  <si>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</si>
  <si>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</si>
  <si>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</si>
  <si>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</si>
  <si>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</si>
  <si>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</si>
  <si>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</si>
  <si>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</si>
  <si>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</si>
  <si>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</si>
  <si>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</si>
  <si>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</si>
  <si>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</si>
  <si>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</si>
  <si>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</si>
  <si>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</si>
  <si>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</si>
  <si>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</si>
  <si>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</si>
  <si>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</si>
  <si>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</si>
  <si>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</si>
  <si>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</si>
  <si>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</si>
  <si>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</si>
  <si>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</si>
  <si>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</si>
  <si>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</si>
  <si>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</si>
  <si>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</si>
  <si>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</si>
  <si>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</si>
  <si>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</si>
  <si>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</si>
  <si>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</si>
  <si>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</si>
  <si>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</si>
  <si>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</si>
  <si>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</si>
  <si>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</si>
  <si>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</si>
  <si>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</si>
  <si>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</si>
  <si>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</si>
  <si>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</si>
  <si>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</si>
  <si>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</si>
  <si>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</si>
  <si>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</si>
  <si>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</si>
  <si>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</si>
  <si>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</si>
  <si>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</si>
  <si>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</si>
  <si>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</si>
  <si>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</si>
  <si>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</si>
  <si>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</si>
  <si>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</si>
  <si>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</si>
  <si>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</si>
  <si>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</si>
  <si>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</si>
  <si>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</si>
  <si>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</si>
  <si>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</si>
  <si>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</si>
  <si>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</si>
  <si>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</si>
  <si>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</si>
  <si>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</si>
  <si>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</si>
  <si>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</si>
  <si>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</si>
  <si>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</si>
  <si>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</si>
  <si>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</si>
  <si>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</si>
  <si>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</si>
  <si>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</si>
  <si>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</si>
  <si>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</si>
  <si>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</si>
  <si>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</si>
  <si>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</si>
  <si>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</si>
  <si>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</si>
  <si>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</si>
  <si>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</si>
  <si>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</si>
  <si>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</si>
  <si>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</si>
  <si>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</si>
  <si>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</si>
  <si>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</si>
  <si>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</si>
  <si>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</si>
  <si>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</si>
  <si>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</si>
  <si>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</si>
  <si>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</si>
  <si>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</si>
  <si>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</si>
  <si>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</si>
  <si>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</si>
  <si>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</si>
  <si>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</si>
  <si>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</si>
  <si>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</si>
  <si>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</si>
  <si>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</si>
  <si>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</si>
  <si>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</si>
  <si>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</si>
  <si>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</si>
  <si>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</si>
  <si>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</si>
  <si>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</si>
  <si>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</si>
  <si>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</si>
  <si>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</si>
  <si>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</si>
  <si>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</si>
  <si>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</si>
  <si>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</si>
  <si>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</si>
  <si>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</si>
  <si>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</si>
  <si>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</si>
  <si>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</si>
  <si>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</si>
  <si>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</si>
  <si>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</si>
  <si>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</si>
  <si>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</si>
  <si>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</si>
  <si>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</si>
  <si>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</si>
  <si>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</si>
  <si>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</si>
  <si>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</si>
  <si>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</si>
  <si>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</si>
  <si>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</si>
  <si>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</si>
  <si>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</si>
  <si>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</si>
  <si>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</si>
  <si>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</si>
  <si>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</si>
  <si>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</si>
  <si>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</si>
  <si>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</si>
  <si>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</si>
  <si>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</si>
  <si>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</si>
  <si>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</si>
  <si>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</si>
  <si>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</si>
  <si>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</si>
  <si>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</si>
  <si>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</si>
  <si>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</si>
  <si>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</si>
  <si>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</si>
  <si>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</si>
  <si>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</si>
  <si>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</si>
  <si>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</si>
  <si>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</si>
  <si>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</si>
  <si>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</si>
  <si>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</si>
  <si>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</si>
  <si>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</si>
  <si>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</si>
  <si>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</si>
  <si>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</si>
  <si>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</si>
  <si>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</si>
  <si>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</si>
  <si>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</si>
  <si>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</si>
  <si>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</si>
  <si>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</si>
  <si>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</si>
  <si>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</si>
  <si>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</si>
  <si>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</si>
  <si>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</si>
  <si>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</si>
  <si>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</si>
  <si>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</si>
  <si>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</si>
  <si>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</si>
  <si>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</si>
  <si>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</si>
  <si>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</si>
  <si>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</si>
  <si>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</si>
  <si>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</si>
  <si>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</si>
  <si>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</si>
  <si>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</si>
  <si>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</si>
  <si>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</si>
  <si>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</si>
  <si>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</si>
  <si>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</si>
  <si>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</si>
  <si>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</si>
  <si>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</si>
  <si>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</si>
  <si>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</si>
  <si>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</si>
  <si>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</si>
  <si>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</si>
  <si>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</si>
  <si>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</si>
  <si>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</si>
  <si>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</si>
  <si>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</si>
  <si>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</si>
  <si>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</si>
  <si>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</si>
  <si>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</si>
  <si>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</si>
  <si>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</si>
  <si>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</si>
  <si>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</si>
  <si>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</si>
  <si>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</si>
  <si>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</si>
  <si>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</si>
  <si>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</si>
  <si>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</si>
  <si>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</si>
  <si>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</si>
  <si>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</si>
  <si>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</si>
  <si>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</si>
  <si>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</si>
  <si>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</si>
  <si>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</si>
  <si>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</si>
  <si>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</si>
  <si>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</si>
  <si>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</si>
  <si>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</si>
  <si>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</si>
  <si>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</si>
  <si>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</si>
  <si>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</si>
  <si>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</si>
  <si>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</si>
  <si>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</si>
  <si>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</si>
  <si>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</si>
  <si>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</si>
  <si>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</si>
  <si>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</si>
  <si>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</si>
  <si>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</si>
  <si>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</si>
  <si>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</si>
  <si>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</si>
  <si>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</si>
  <si>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</si>
  <si>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</si>
  <si>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</si>
  <si>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</si>
  <si>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</si>
  <si>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</si>
  <si>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</si>
  <si>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</si>
  <si>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</si>
  <si>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</si>
  <si>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</si>
  <si>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</si>
  <si>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</si>
  <si>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</si>
  <si>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</si>
  <si>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</si>
  <si>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</si>
  <si>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</si>
  <si>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</si>
  <si>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</si>
  <si>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</si>
  <si>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</si>
  <si>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</si>
  <si>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</si>
  <si>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</si>
  <si>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</si>
  <si>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</si>
  <si>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</si>
  <si>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</si>
  <si>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</si>
  <si>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</si>
  <si>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</si>
  <si>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</si>
  <si>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</si>
  <si>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</si>
  <si>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</si>
  <si>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</si>
  <si>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</si>
  <si>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</si>
  <si>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</si>
  <si>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</si>
  <si>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</si>
  <si>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</si>
  <si>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</si>
  <si>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</si>
  <si>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</si>
  <si>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</si>
  <si>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</si>
  <si>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</si>
  <si>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</si>
  <si>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</si>
  <si>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</si>
  <si>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</si>
  <si>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</si>
  <si>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</si>
  <si>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</si>
  <si>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</si>
  <si>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</si>
  <si>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</si>
  <si>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</si>
  <si>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</si>
  <si>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</si>
  <si>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</si>
  <si>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</si>
  <si>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</si>
  <si>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</si>
  <si>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</si>
  <si>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</si>
  <si>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</si>
  <si>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</si>
  <si>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</si>
  <si>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</si>
  <si>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</si>
  <si>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</si>
  <si>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</si>
  <si>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</si>
  <si>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</si>
  <si>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</si>
  <si>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</si>
  <si>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</si>
  <si>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</si>
  <si>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</si>
  <si>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</si>
  <si>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</si>
  <si>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</si>
  <si>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</si>
  <si>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</si>
  <si>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</si>
  <si>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</si>
  <si>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</si>
  <si>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</si>
  <si>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</si>
  <si>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</si>
  <si>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</si>
  <si>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</si>
  <si>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</si>
  <si>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</si>
  <si>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</si>
  <si>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</si>
  <si>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</si>
  <si>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</si>
  <si>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</si>
  <si>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</si>
  <si>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</si>
  <si>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</si>
  <si>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</si>
  <si>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</si>
  <si>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</si>
  <si>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</si>
  <si>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</si>
  <si>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</si>
  <si>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</si>
  <si>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</si>
  <si>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</si>
  <si>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</si>
  <si>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</si>
  <si>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</si>
  <si>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</si>
  <si>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</si>
  <si>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</si>
  <si>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</si>
  <si>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</si>
  <si>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</si>
  <si>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</si>
  <si>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</si>
  <si>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</si>
  <si>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</si>
  <si>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</si>
  <si>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</si>
  <si>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</si>
  <si>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</si>
  <si>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</si>
  <si>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</si>
  <si>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</si>
  <si>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</si>
  <si>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</si>
  <si>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</si>
  <si>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</si>
  <si>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</si>
  <si>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</si>
  <si>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</si>
  <si>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</si>
  <si>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</si>
  <si>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</si>
  <si>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</si>
  <si>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</si>
  <si>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</si>
  <si>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</si>
  <si>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</si>
  <si>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</si>
  <si>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</si>
  <si>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</si>
  <si>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</si>
  <si>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</si>
  <si>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</si>
  <si>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</si>
  <si>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</si>
  <si>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</si>
  <si>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</si>
  <si>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</si>
  <si>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</si>
  <si>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</si>
  <si>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</si>
  <si>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</si>
  <si>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</si>
  <si>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</si>
  <si>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</si>
  <si>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</si>
  <si>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</si>
  <si>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</si>
  <si>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</si>
  <si>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</si>
  <si>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</si>
  <si>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</si>
  <si>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</si>
  <si>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</si>
  <si>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</si>
  <si>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</si>
  <si>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</si>
  <si>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</si>
  <si>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</si>
  <si>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</si>
  <si>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</si>
  <si>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</si>
  <si>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</si>
  <si>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</si>
  <si>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</si>
  <si>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</si>
  <si>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</si>
  <si>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</si>
  <si>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</si>
  <si>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</si>
  <si>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</si>
  <si>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</si>
  <si>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</si>
  <si>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</si>
  <si>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</si>
  <si>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</si>
  <si>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</si>
  <si>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</si>
  <si>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</si>
  <si>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</si>
  <si>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</si>
  <si>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</si>
  <si>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</si>
  <si>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</si>
  <si>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</si>
  <si>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</si>
  <si>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</si>
  <si>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</si>
  <si>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</si>
  <si>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</si>
  <si>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</si>
  <si>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</si>
  <si>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</si>
  <si>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</si>
  <si>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</si>
  <si>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</si>
  <si>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</si>
  <si>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</si>
  <si>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</si>
  <si>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</si>
  <si>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</si>
  <si>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</si>
  <si>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</si>
  <si>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</si>
  <si>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</si>
  <si>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</si>
  <si>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</si>
  <si>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</si>
  <si>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</si>
  <si>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</si>
  <si>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</si>
  <si>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</si>
  <si>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</si>
  <si>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</si>
  <si>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</si>
  <si>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</si>
  <si>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</si>
  <si>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</si>
  <si>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</si>
  <si>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</si>
  <si>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</si>
  <si>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</si>
  <si>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</si>
  <si>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</si>
  <si>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</si>
  <si>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</si>
  <si>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</si>
  <si>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</si>
  <si>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</si>
  <si>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</si>
  <si>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</si>
  <si>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</si>
  <si>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</si>
  <si>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</si>
  <si>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</si>
  <si>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</si>
  <si>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</si>
  <si>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</si>
  <si>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</si>
  <si>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</si>
  <si>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</si>
  <si>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</si>
  <si>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</si>
  <si>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</si>
  <si>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</si>
  <si>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</si>
  <si>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</si>
  <si>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</si>
  <si>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</si>
  <si>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</si>
  <si>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</si>
  <si>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</si>
  <si>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</si>
  <si>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</si>
  <si>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</si>
  <si>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</si>
  <si>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</si>
  <si>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</si>
  <si>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</si>
  <si>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</si>
  <si>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</si>
  <si>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</si>
  <si>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</si>
  <si>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</si>
  <si>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</si>
  <si>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</si>
  <si>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</si>
  <si>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</si>
  <si>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</si>
  <si>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</si>
  <si>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</si>
  <si>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</si>
  <si>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</si>
  <si>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</si>
  <si>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</si>
  <si>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</si>
  <si>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</si>
  <si>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</si>
  <si>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</si>
  <si>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</si>
  <si>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</si>
  <si>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</si>
  <si>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</si>
  <si>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</si>
  <si>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</si>
  <si>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</si>
  <si>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</si>
  <si>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</si>
  <si>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</si>
  <si>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</si>
  <si>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</si>
  <si>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</si>
  <si>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</si>
  <si>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</si>
  <si>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</si>
  <si>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</si>
  <si>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</si>
  <si>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</si>
  <si>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</si>
  <si>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</si>
  <si>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</si>
  <si>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</si>
  <si>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</si>
  <si>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</si>
  <si>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</si>
  <si>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</si>
  <si>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</si>
  <si>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</si>
  <si>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</si>
  <si>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</si>
  <si>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</si>
  <si>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</si>
  <si>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</si>
  <si>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</si>
  <si>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</si>
  <si>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</si>
  <si>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</si>
  <si>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</si>
  <si>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</si>
  <si>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</si>
  <si>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</si>
  <si>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</si>
  <si>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</si>
  <si>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</si>
  <si>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</si>
  <si>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</si>
  <si>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</si>
  <si>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</si>
  <si>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</si>
  <si>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</si>
  <si>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</si>
  <si>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</si>
  <si>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</si>
  <si>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</si>
  <si>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</si>
  <si>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</si>
  <si>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</si>
  <si>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</si>
  <si>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</si>
  <si>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</si>
  <si>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</si>
  <si>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</si>
  <si>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</si>
  <si>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</si>
  <si>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</si>
  <si>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</si>
  <si>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</si>
  <si>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</si>
  <si>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</si>
  <si>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</si>
  <si>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</si>
  <si>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</si>
  <si>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</si>
  <si>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</si>
  <si>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</si>
  <si>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</si>
  <si>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</si>
  <si>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</si>
  <si>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</si>
  <si>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</si>
  <si>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</si>
  <si>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</si>
  <si>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</si>
  <si>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</si>
  <si>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</si>
  <si>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</si>
  <si>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</si>
  <si>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</si>
  <si>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</si>
  <si>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</si>
  <si>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</si>
  <si>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</si>
  <si>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</si>
  <si>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</si>
  <si>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</si>
  <si>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</si>
  <si>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</si>
  <si>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</si>
  <si>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</si>
  <si>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</si>
  <si>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</si>
  <si>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</si>
  <si>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</si>
  <si>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</si>
  <si>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</si>
  <si>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</si>
  <si>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</si>
  <si>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</si>
  <si>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</si>
  <si>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</si>
  <si>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</si>
  <si>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</si>
  <si>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</si>
  <si>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</si>
  <si>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</si>
  <si>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</si>
  <si>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</si>
  <si>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</si>
  <si>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</si>
  <si>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</si>
  <si>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</si>
  <si>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</si>
  <si>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</si>
  <si>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</si>
  <si>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</si>
  <si>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</si>
  <si>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</si>
  <si>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</si>
  <si>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</si>
  <si>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</si>
  <si>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</si>
  <si>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</si>
  <si>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</si>
  <si>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</si>
  <si>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</si>
  <si>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</si>
  <si>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</si>
  <si>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</si>
  <si>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</si>
  <si>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</si>
  <si>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</si>
  <si>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</si>
  <si>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</si>
  <si>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</si>
  <si>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</si>
  <si>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</si>
  <si>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</si>
  <si>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</si>
  <si>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</si>
  <si>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</si>
  <si>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</si>
  <si>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</si>
  <si>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</si>
  <si>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</si>
  <si>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</si>
  <si>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</si>
  <si>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</si>
  <si>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</si>
  <si>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</si>
  <si>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</si>
  <si>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</si>
  <si>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</si>
  <si>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</si>
  <si>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</si>
  <si>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</si>
  <si>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</si>
  <si>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</si>
  <si>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</si>
  <si>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</si>
  <si>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</si>
  <si>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</si>
  <si>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</si>
  <si>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</si>
  <si>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</si>
  <si>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</si>
  <si>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</si>
  <si>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</si>
  <si>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</si>
  <si>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</si>
  <si>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</si>
  <si>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</si>
  <si>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</si>
  <si>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</si>
  <si>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</si>
  <si>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</si>
  <si>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</si>
  <si>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</si>
  <si>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</si>
  <si>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</si>
  <si>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</si>
  <si>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</si>
  <si>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</si>
  <si>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</si>
  <si>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</si>
  <si>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</si>
  <si>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</si>
  <si>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</si>
  <si>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</si>
  <si>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</si>
  <si>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</si>
  <si>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</si>
  <si>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</si>
  <si>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</si>
  <si>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</si>
  <si>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</si>
  <si>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</si>
  <si>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</si>
  <si>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</si>
  <si>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</si>
  <si>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</si>
  <si>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</si>
  <si>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</si>
  <si>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</si>
  <si>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</si>
  <si>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</si>
  <si>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</si>
  <si>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</si>
  <si>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</si>
  <si>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</si>
  <si>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</si>
  <si>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</si>
  <si>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</si>
  <si>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</si>
  <si>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</si>
  <si>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</si>
  <si>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</si>
  <si>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</si>
  <si>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</si>
  <si>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</si>
  <si>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</si>
  <si>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</si>
  <si>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</si>
  <si>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</si>
  <si>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</si>
  <si>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</si>
  <si>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</si>
  <si>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</si>
  <si>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</si>
  <si>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</si>
  <si>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</si>
  <si>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</si>
  <si>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</si>
  <si>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</si>
  <si>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</si>
  <si>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</si>
  <si>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</si>
  <si>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</si>
  <si>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</si>
  <si>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</si>
  <si>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</si>
  <si>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</si>
  <si>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</si>
  <si>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</si>
  <si>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</si>
  <si>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</si>
  <si>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</si>
  <si>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</si>
  <si>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</si>
  <si>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</si>
  <si>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</si>
  <si>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</si>
  <si>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</si>
  <si>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</si>
  <si>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</si>
  <si>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</si>
  <si>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</si>
  <si>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</si>
  <si>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</si>
  <si>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</si>
  <si>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</si>
  <si>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</si>
  <si>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</si>
  <si>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</si>
  <si>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</si>
  <si>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</si>
  <si>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</si>
  <si>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</si>
  <si>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</si>
  <si>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</si>
  <si>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</si>
  <si>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</si>
  <si>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</si>
  <si>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</si>
  <si>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</si>
  <si>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</si>
  <si>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</si>
  <si>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</si>
  <si>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</si>
  <si>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</si>
  <si>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</si>
  <si>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</si>
  <si>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</si>
  <si>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</si>
  <si>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</si>
  <si>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</si>
  <si>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</si>
  <si>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</si>
  <si>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</si>
  <si>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</si>
  <si>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</si>
  <si>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</si>
  <si>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</si>
  <si>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</si>
  <si>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</si>
  <si>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</si>
  <si>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</si>
  <si>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</si>
  <si>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</si>
  <si>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</si>
  <si>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</si>
  <si>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</si>
  <si>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</si>
  <si>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</si>
  <si>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</si>
  <si>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</si>
  <si>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</si>
  <si>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</si>
  <si>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</si>
  <si>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</si>
  <si>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</si>
  <si>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</si>
  <si>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</si>
  <si>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</si>
  <si>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</si>
  <si>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</si>
  <si>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</si>
  <si>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</si>
  <si>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</si>
  <si>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</si>
  <si>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</si>
  <si>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</si>
  <si>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</si>
  <si>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</si>
  <si>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</si>
  <si>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</si>
  <si>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</si>
  <si>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</si>
  <si>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</si>
  <si>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</si>
  <si>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</si>
  <si>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</si>
  <si>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</si>
  <si>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</si>
  <si>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</si>
  <si>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</si>
  <si>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</si>
  <si>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</si>
  <si>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</si>
  <si>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</si>
  <si>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</si>
  <si>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</si>
  <si>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</si>
  <si>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</si>
  <si>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</si>
  <si>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</si>
  <si>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</si>
  <si>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</si>
  <si>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</si>
  <si>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</si>
  <si>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</si>
  <si>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</si>
  <si>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</si>
  <si>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</si>
  <si>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</si>
  <si>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</si>
  <si>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</si>
  <si>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</si>
  <si>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</si>
  <si>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</si>
  <si>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</si>
  <si>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</si>
  <si>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</si>
  <si>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</si>
  <si>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</si>
  <si>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</si>
  <si>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</si>
  <si>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</si>
  <si>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</si>
  <si>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</si>
  <si>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</si>
  <si>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</si>
  <si>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</si>
  <si>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</si>
  <si>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</si>
  <si>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</si>
  <si>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</si>
  <si>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</si>
  <si>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</si>
  <si>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</si>
  <si>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</si>
  <si>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</si>
  <si>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</si>
  <si>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</si>
  <si>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</si>
  <si>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</si>
  <si>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</si>
  <si>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</si>
  <si>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</si>
  <si>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</si>
  <si>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</si>
  <si>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</si>
  <si>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</si>
  <si>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</si>
  <si>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</si>
  <si>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</si>
  <si>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</si>
  <si>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</si>
  <si>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</si>
  <si>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</si>
  <si>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</si>
  <si>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</si>
  <si>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</si>
  <si>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</si>
  <si>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</si>
  <si>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</si>
  <si>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</si>
  <si>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</si>
  <si>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</si>
  <si>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</si>
  <si>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</si>
  <si>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</si>
  <si>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</si>
  <si>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</si>
  <si>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</si>
  <si>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</si>
  <si>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</si>
  <si>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</si>
  <si>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</si>
  <si>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</si>
  <si>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</si>
  <si>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</si>
  <si>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</si>
  <si>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</si>
  <si>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</si>
  <si>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</si>
  <si>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</si>
  <si>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</si>
  <si>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</si>
  <si>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</si>
  <si>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</si>
  <si>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</si>
  <si>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</si>
  <si>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</si>
  <si>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</si>
  <si>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</si>
  <si>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</si>
  <si>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</si>
  <si>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</si>
  <si>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</si>
  <si>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</si>
  <si>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</si>
  <si>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</si>
  <si>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</si>
  <si>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</si>
  <si>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</si>
  <si>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</si>
  <si>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</si>
  <si>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</si>
  <si>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</si>
  <si>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</si>
  <si>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</si>
  <si>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</si>
  <si>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</si>
  <si>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</si>
  <si>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</si>
  <si>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</si>
  <si>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</si>
  <si>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</si>
  <si>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</si>
  <si>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</si>
  <si>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</si>
  <si>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</si>
  <si>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</si>
  <si>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</si>
  <si>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</si>
  <si>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</si>
  <si>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</si>
  <si>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</si>
  <si>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</si>
  <si>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</si>
  <si>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</si>
  <si>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</si>
  <si>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</si>
  <si>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</si>
  <si>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</si>
  <si>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</si>
  <si>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</si>
  <si>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</si>
  <si>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</si>
  <si>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</si>
  <si>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</si>
  <si>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</si>
  <si>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</si>
  <si>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</si>
  <si>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</si>
  <si>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</si>
  <si>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</si>
  <si>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</si>
  <si>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</si>
  <si>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</si>
  <si>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</si>
  <si>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</si>
  <si>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</si>
  <si>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</si>
  <si>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</si>
  <si>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</si>
  <si>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</si>
  <si>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</si>
  <si>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</si>
  <si>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</si>
  <si>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</si>
  <si>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</si>
  <si>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</si>
  <si>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</si>
  <si>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</si>
  <si>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</si>
  <si>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</si>
  <si>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</si>
  <si>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</si>
  <si>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</si>
  <si>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</si>
  <si>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</si>
  <si>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</si>
  <si>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</si>
  <si>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</si>
  <si>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</si>
  <si>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</si>
  <si>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</si>
  <si>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</si>
  <si>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</si>
  <si>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</si>
  <si>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</si>
  <si>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</si>
  <si>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</si>
  <si>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</si>
  <si>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</si>
  <si>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</si>
  <si>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</si>
  <si>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</si>
  <si>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</si>
  <si>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</si>
  <si>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</si>
  <si>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</si>
  <si>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</si>
  <si>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</si>
  <si>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</si>
  <si>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</si>
  <si>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</si>
  <si>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</si>
  <si>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</si>
  <si>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</si>
  <si>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</si>
  <si>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</si>
  <si>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</si>
  <si>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</si>
  <si>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</si>
  <si>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</si>
  <si>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</si>
  <si>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</si>
  <si>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</si>
  <si>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</si>
  <si>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</si>
  <si>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</si>
  <si>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</si>
  <si>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</si>
  <si>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</si>
  <si>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</si>
  <si>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</si>
  <si>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</si>
  <si>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</si>
  <si>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</si>
  <si>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</si>
  <si>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</si>
  <si>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</si>
  <si>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</si>
  <si>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</si>
  <si>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</si>
  <si>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</si>
  <si>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</si>
  <si>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</si>
  <si>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</si>
  <si>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</si>
  <si>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</si>
  <si>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</si>
  <si>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</si>
  <si>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</si>
  <si>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</si>
  <si>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</si>
  <si>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</si>
  <si>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</si>
  <si>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</si>
  <si>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</si>
  <si>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</si>
  <si>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</si>
  <si>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</si>
  <si>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</si>
  <si>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</si>
  <si>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</si>
  <si>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</si>
  <si>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</si>
  <si>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</si>
  <si>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</si>
  <si>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</si>
  <si>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</si>
  <si>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</si>
  <si>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</si>
  <si>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</si>
  <si>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</si>
  <si>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</si>
  <si>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</si>
  <si>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</si>
  <si>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</si>
  <si>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</si>
  <si>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</si>
  <si>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</si>
  <si>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</si>
  <si>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</si>
  <si>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</si>
  <si>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</si>
  <si>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</si>
  <si>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</si>
  <si>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</si>
  <si>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</si>
  <si>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</si>
  <si>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</si>
  <si>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</si>
  <si>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</si>
  <si>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</si>
  <si>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</si>
  <si>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</si>
  <si>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</si>
  <si>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</si>
  <si>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</si>
  <si>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</si>
  <si>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</si>
  <si>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</si>
  <si>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</si>
  <si>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</si>
  <si>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</si>
  <si>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</si>
  <si>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</si>
  <si>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</si>
  <si>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</si>
  <si>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</si>
  <si>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</si>
  <si>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</si>
  <si>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</si>
  <si>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</si>
  <si>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</si>
  <si>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</si>
  <si>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</si>
  <si>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</si>
  <si>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</si>
  <si>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</si>
  <si>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</si>
  <si>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</si>
  <si>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</si>
  <si>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</si>
  <si>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</si>
  <si>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</si>
  <si>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</si>
  <si>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</si>
  <si>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</si>
  <si>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</si>
  <si>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</si>
  <si>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</si>
  <si>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</si>
  <si>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</si>
  <si>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</si>
  <si>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</si>
  <si>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</si>
  <si>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</si>
  <si>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</si>
  <si>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</si>
  <si>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</si>
  <si>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</si>
  <si>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</si>
  <si>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</si>
  <si>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</si>
  <si>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</si>
  <si>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</si>
  <si>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</si>
  <si>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</si>
  <si>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</si>
  <si>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</si>
  <si>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</si>
  <si>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</si>
  <si>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</si>
  <si>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</si>
  <si>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</si>
  <si>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</si>
  <si>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</si>
  <si>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</si>
  <si>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</si>
  <si>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</si>
  <si>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</si>
  <si>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</si>
  <si>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</si>
  <si>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</si>
  <si>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</si>
  <si>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</si>
  <si>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</si>
  <si>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</si>
  <si>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</si>
  <si>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</si>
  <si>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</si>
  <si>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</si>
  <si>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</si>
  <si>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</si>
  <si>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</si>
  <si>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</si>
  <si>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</si>
  <si>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</si>
  <si>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</si>
  <si>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</si>
  <si>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</si>
  <si>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</si>
  <si>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</si>
  <si>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</si>
  <si>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</si>
  <si>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</si>
  <si>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</si>
  <si>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</si>
  <si>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</si>
  <si>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</si>
  <si>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</si>
  <si>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</si>
  <si>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</si>
  <si>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</si>
  <si>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</si>
  <si>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</si>
  <si>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</si>
  <si>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</si>
  <si>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</si>
  <si>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</si>
  <si>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</si>
  <si>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</si>
  <si>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</si>
  <si>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</si>
  <si>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</si>
  <si>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</si>
  <si>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</si>
  <si>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</si>
  <si>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</si>
  <si>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</si>
  <si>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</si>
  <si>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</si>
  <si>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</si>
  <si>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</si>
  <si>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</si>
  <si>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</si>
  <si>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</si>
  <si>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</si>
  <si>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</si>
  <si>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</si>
  <si>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</si>
  <si>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</si>
  <si>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</si>
  <si>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</si>
  <si>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</si>
  <si>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</si>
  <si>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</si>
  <si>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</si>
  <si>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</si>
  <si>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</si>
  <si>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</si>
  <si>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</si>
  <si>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</si>
  <si>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</si>
  <si>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</si>
  <si>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</si>
  <si>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</si>
  <si>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</si>
  <si>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</si>
  <si>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</si>
  <si>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</si>
  <si>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</si>
  <si>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</si>
  <si>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</si>
  <si>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</si>
  <si>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</si>
  <si>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</si>
  <si>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</si>
  <si>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</si>
  <si>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</si>
  <si>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</si>
  <si>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</si>
  <si>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</si>
  <si>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</si>
  <si>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</si>
  <si>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</si>
  <si>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</si>
  <si>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</si>
  <si>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</si>
  <si>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</si>
  <si>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</si>
  <si>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</si>
  <si>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</si>
  <si>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</si>
  <si>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</si>
  <si>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</si>
  <si>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</si>
  <si>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</si>
  <si>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</si>
  <si>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</si>
  <si>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</si>
  <si>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</si>
  <si>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</si>
  <si>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</si>
  <si>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</si>
  <si>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</si>
  <si>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</si>
  <si>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</si>
  <si>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</si>
  <si>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</si>
  <si>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</si>
  <si>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</si>
  <si>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</si>
  <si>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</si>
  <si>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</si>
  <si>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</si>
  <si>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</si>
  <si>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</si>
  <si>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</si>
  <si>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</si>
  <si>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</si>
  <si>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</si>
  <si>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</si>
  <si>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</si>
  <si>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</si>
  <si>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</si>
  <si>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</si>
  <si>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</si>
  <si>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</si>
  <si>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</si>
  <si>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</si>
  <si>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</si>
  <si>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</si>
  <si>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</si>
  <si>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</si>
  <si>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</si>
  <si>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</si>
  <si>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</si>
  <si>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</si>
  <si>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</si>
  <si>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</si>
  <si>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</si>
  <si>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</si>
  <si>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</si>
  <si>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</si>
  <si>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</si>
  <si>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</si>
  <si>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</si>
  <si>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</si>
  <si>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</si>
  <si>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</si>
  <si>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</si>
  <si>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</si>
  <si>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</si>
  <si>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</si>
  <si>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</si>
  <si>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</si>
  <si>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</si>
  <si>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</si>
  <si>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</si>
  <si>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</si>
  <si>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</si>
  <si>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</si>
  <si>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</si>
  <si>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</si>
  <si>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</si>
  <si>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</si>
  <si>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</si>
  <si>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</si>
  <si>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</si>
  <si>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</si>
  <si>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</si>
  <si>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</si>
  <si>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</si>
  <si>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</si>
  <si>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</si>
  <si>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</si>
  <si>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</si>
  <si>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</si>
  <si>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</si>
  <si>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</si>
  <si>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</si>
  <si>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</si>
  <si>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</si>
  <si>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</si>
  <si>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</si>
  <si>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</si>
  <si>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</si>
  <si>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</si>
  <si>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</si>
  <si>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</si>
  <si>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</si>
  <si>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</si>
  <si>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</si>
  <si>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</si>
  <si>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</si>
  <si>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</si>
  <si>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</si>
  <si>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</si>
  <si>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</si>
  <si>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</si>
  <si>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</si>
  <si>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</si>
  <si>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</si>
  <si>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</si>
  <si>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</si>
  <si>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</si>
  <si>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</si>
  <si>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</si>
  <si>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</si>
  <si>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</si>
  <si>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</si>
  <si>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</si>
  <si>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</si>
  <si>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</si>
  <si>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</si>
  <si>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</si>
  <si>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</si>
  <si>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</si>
  <si>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</si>
  <si>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</si>
  <si>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</si>
  <si>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</si>
  <si>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</si>
  <si>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</si>
  <si>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</si>
  <si>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</si>
  <si>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</si>
  <si>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</si>
  <si>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</si>
  <si>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</si>
  <si>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</si>
  <si>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</si>
  <si>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</si>
  <si>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</si>
  <si>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</si>
  <si>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</si>
  <si>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</si>
  <si>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</si>
  <si>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</si>
  <si>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</si>
  <si>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</si>
  <si>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</si>
  <si>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</si>
  <si>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</si>
  <si>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</si>
  <si>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</si>
  <si>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</si>
  <si>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</si>
  <si>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</si>
  <si>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</si>
  <si>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</si>
  <si>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</si>
  <si>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</si>
  <si>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</si>
  <si>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</si>
  <si>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</si>
  <si>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</si>
  <si>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</si>
  <si>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</si>
  <si>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</si>
  <si>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</si>
  <si>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</si>
  <si>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</si>
  <si>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</si>
  <si>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</si>
  <si>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</si>
  <si>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</si>
  <si>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</si>
  <si>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</si>
  <si>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</si>
  <si>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</si>
  <si>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</si>
  <si>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</si>
  <si>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</si>
  <si>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</si>
  <si>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</si>
  <si>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</si>
  <si>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</si>
  <si>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</si>
  <si>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</si>
  <si>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</si>
  <si>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</si>
  <si>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</si>
  <si>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</si>
  <si>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</si>
  <si>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</si>
  <si>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</si>
  <si>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</si>
  <si>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</si>
  <si>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</si>
  <si>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</si>
  <si>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</si>
  <si>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</si>
  <si>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</si>
  <si>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</si>
  <si>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</si>
  <si>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</si>
  <si>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</si>
  <si>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</si>
  <si>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</si>
  <si>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</si>
  <si>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</si>
  <si>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</si>
  <si>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</si>
  <si>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</si>
  <si>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</si>
  <si>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</si>
  <si>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</si>
  <si>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</si>
  <si>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</si>
  <si>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</si>
  <si>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</si>
  <si>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</si>
  <si>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</si>
  <si>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</si>
  <si>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</si>
  <si>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</si>
  <si>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</si>
  <si>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</si>
  <si>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</si>
  <si>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</si>
  <si>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</si>
  <si>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</si>
  <si>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</si>
  <si>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</si>
  <si>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</si>
  <si>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</si>
  <si>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</si>
  <si>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</si>
  <si>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</si>
  <si>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</si>
  <si>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</si>
  <si>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</si>
  <si>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</si>
  <si>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</si>
  <si>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</si>
  <si>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</si>
  <si>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</si>
  <si>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</si>
  <si>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</si>
  <si>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</si>
  <si>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</si>
  <si>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</si>
  <si>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</si>
  <si>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</si>
  <si>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</si>
  <si>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</si>
  <si>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</si>
  <si>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</si>
  <si>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</si>
  <si>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</si>
  <si>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</si>
  <si>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</si>
  <si>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</si>
  <si>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</si>
  <si>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</si>
  <si>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</si>
  <si>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</si>
  <si>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</si>
  <si>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</si>
  <si>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</si>
  <si>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</si>
  <si>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</si>
  <si>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</si>
  <si>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</si>
  <si>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</si>
  <si>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</si>
  <si>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</si>
  <si>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</si>
  <si>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</si>
  <si>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</si>
  <si>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</si>
  <si>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</si>
  <si>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</si>
  <si>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</si>
  <si>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</si>
  <si>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</si>
  <si>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</si>
  <si>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</si>
  <si>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</si>
  <si>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</si>
  <si>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</si>
  <si>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</si>
  <si>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</si>
  <si>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</si>
  <si>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</si>
  <si>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</si>
  <si>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</si>
  <si>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</si>
  <si>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</si>
  <si>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</si>
  <si>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</si>
  <si>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</si>
  <si>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</si>
  <si>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</si>
  <si>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</si>
  <si>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</si>
  <si>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</si>
  <si>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</si>
  <si>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</si>
  <si>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</si>
  <si>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</si>
  <si>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</si>
  <si>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</si>
  <si>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</si>
  <si>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</si>
  <si>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</si>
  <si>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</si>
  <si>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</si>
  <si>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</si>
  <si>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</si>
  <si>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</si>
  <si>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</si>
  <si>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</si>
  <si>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</si>
  <si>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</si>
  <si>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</si>
  <si>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</si>
  <si>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</si>
  <si>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</si>
  <si>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</si>
  <si>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</si>
  <si>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</si>
  <si>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</si>
  <si>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</si>
  <si>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</si>
  <si>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</si>
  <si>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</si>
  <si>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</si>
  <si>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</si>
  <si>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</si>
  <si>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</si>
  <si>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</si>
  <si>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</si>
  <si>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</si>
  <si>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</si>
  <si>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</si>
  <si>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</si>
  <si>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</si>
  <si>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</si>
  <si>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</si>
  <si>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</si>
  <si>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</si>
  <si>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</si>
  <si>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</si>
  <si>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</si>
  <si>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</si>
  <si>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</si>
  <si>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</si>
  <si>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</si>
  <si>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</si>
  <si>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</si>
  <si>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</si>
  <si>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</si>
  <si>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</si>
  <si>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</si>
  <si>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</si>
  <si>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</si>
  <si>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</si>
  <si>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</si>
  <si>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</si>
  <si>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</si>
  <si>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</si>
  <si>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</si>
  <si>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</si>
  <si>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</si>
  <si>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</si>
  <si>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</si>
  <si>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</si>
  <si>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</si>
  <si>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</si>
  <si>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</si>
  <si>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</si>
  <si>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</si>
  <si>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</si>
  <si>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</si>
  <si>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</si>
  <si>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</si>
  <si>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</si>
  <si>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</si>
  <si>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</si>
  <si>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</si>
  <si>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</si>
  <si>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</si>
  <si>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</si>
  <si>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</si>
  <si>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</si>
  <si>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</si>
  <si>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</si>
  <si>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</si>
  <si>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</si>
  <si>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</si>
  <si>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</si>
  <si>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</si>
  <si>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</si>
  <si>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</si>
  <si>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</si>
  <si>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</si>
  <si>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</si>
  <si>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</si>
  <si>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</si>
  <si>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</si>
  <si>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</si>
  <si>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</si>
  <si>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</si>
  <si>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</si>
  <si>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</si>
  <si>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</si>
  <si>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</si>
  <si>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</si>
  <si>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</si>
  <si>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</si>
  <si>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</si>
  <si>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</si>
  <si>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</si>
  <si>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</si>
  <si>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</si>
  <si>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</si>
  <si>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</si>
  <si>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</si>
  <si>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</si>
  <si>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</si>
  <si>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</si>
  <si>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</si>
  <si>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</si>
  <si>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</si>
  <si>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</si>
  <si>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</si>
  <si>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</si>
  <si>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</si>
  <si>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</si>
  <si>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</si>
  <si>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</si>
  <si>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</si>
  <si>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</si>
  <si>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</si>
  <si>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</si>
  <si>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</si>
  <si>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</si>
  <si>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</si>
  <si>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</si>
  <si>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</si>
  <si>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</si>
  <si>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</si>
  <si>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</si>
  <si>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</si>
  <si>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</si>
  <si>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</si>
  <si>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</si>
  <si>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</si>
  <si>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</si>
  <si>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</si>
  <si>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</si>
  <si>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</si>
  <si>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</si>
  <si>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</si>
  <si>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</si>
  <si>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</si>
  <si>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</si>
  <si>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</si>
  <si>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</si>
  <si>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</si>
  <si>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</si>
  <si>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</si>
  <si>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</si>
  <si>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</si>
  <si>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</si>
  <si>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</si>
  <si>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</si>
  <si>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</si>
  <si>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</si>
  <si>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</si>
  <si>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</si>
  <si>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</si>
  <si>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</si>
  <si>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</si>
  <si>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</si>
  <si>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</si>
  <si>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</si>
  <si>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</si>
  <si>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</si>
  <si>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</si>
  <si>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</si>
  <si>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</si>
  <si>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</si>
  <si>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</si>
  <si>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</si>
  <si>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</si>
  <si>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</si>
  <si>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</si>
  <si>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</si>
  <si>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</si>
  <si>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</si>
  <si>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</si>
  <si>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</si>
  <si>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</si>
  <si>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</si>
  <si>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</si>
  <si>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</si>
  <si>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</si>
  <si>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</si>
  <si>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</si>
  <si>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</si>
  <si>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</si>
  <si>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</si>
  <si>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</si>
  <si>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</si>
  <si>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</si>
  <si>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</si>
  <si>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</si>
  <si>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</si>
  <si>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</si>
  <si>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</si>
  <si>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</si>
  <si>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</si>
  <si>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</si>
  <si>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</si>
  <si>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</si>
  <si>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</si>
  <si>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</si>
  <si>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</si>
  <si>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</si>
  <si>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</si>
  <si>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</si>
  <si>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</si>
  <si>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</si>
  <si>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</si>
  <si>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</si>
  <si>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</si>
  <si>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</si>
  <si>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</si>
  <si>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</si>
  <si>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</si>
  <si>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</si>
  <si>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</si>
  <si>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</si>
  <si>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</si>
  <si>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</si>
  <si>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</si>
  <si>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</si>
  <si>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</si>
  <si>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</si>
  <si>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</si>
  <si>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</si>
  <si>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</si>
  <si>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</si>
  <si>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</si>
  <si>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</si>
  <si>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</si>
  <si>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</si>
  <si>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</si>
  <si>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</si>
  <si>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</si>
  <si>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</si>
  <si>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</si>
  <si>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</si>
  <si>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</si>
  <si>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</si>
  <si>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</si>
  <si>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</si>
  <si>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</si>
  <si>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</si>
  <si>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</si>
  <si>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</si>
  <si>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</si>
  <si>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</si>
  <si>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</si>
  <si>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</si>
  <si>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</si>
  <si>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</si>
  <si>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</si>
  <si>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</si>
  <si>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</si>
  <si>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</si>
  <si>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</si>
  <si>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</si>
  <si>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</si>
  <si>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</si>
  <si>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</si>
  <si>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</si>
  <si>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</si>
  <si>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</si>
  <si>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</si>
  <si>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</si>
  <si>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</si>
  <si>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</si>
  <si>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</si>
  <si>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</si>
  <si>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</si>
  <si>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</si>
  <si>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</si>
  <si>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</si>
  <si>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</si>
  <si>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</si>
  <si>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</si>
  <si>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</si>
  <si>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</si>
  <si>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</si>
  <si>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</si>
  <si>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</si>
  <si>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</si>
  <si>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</si>
  <si>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</si>
  <si>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</si>
  <si>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</si>
  <si>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</si>
  <si>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</si>
  <si>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</si>
  <si>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</si>
  <si>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</si>
  <si>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</si>
  <si>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</si>
  <si>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</si>
  <si>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</si>
  <si>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</si>
  <si>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</si>
  <si>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</si>
  <si>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</si>
  <si>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</si>
  <si>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</si>
  <si>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</si>
  <si>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</si>
  <si>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</si>
  <si>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</si>
  <si>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</si>
  <si>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</si>
  <si>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</si>
  <si>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</si>
  <si>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</si>
  <si>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</si>
  <si>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</si>
  <si>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</si>
  <si>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</si>
  <si>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</si>
  <si>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</si>
  <si>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</si>
  <si>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</si>
  <si>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</si>
  <si>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</si>
  <si>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</si>
  <si>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</si>
  <si>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</si>
  <si>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</si>
  <si>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</si>
  <si>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</si>
  <si>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</si>
  <si>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</si>
  <si>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</si>
  <si>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</si>
  <si>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</si>
  <si>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</si>
  <si>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</si>
  <si>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</si>
  <si>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</si>
  <si>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</si>
  <si>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</si>
  <si>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</si>
  <si>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</si>
  <si>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</si>
  <si>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</si>
  <si>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</si>
  <si>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</si>
  <si>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</si>
  <si>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</si>
  <si>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</si>
  <si>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</si>
  <si>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</si>
  <si>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</si>
  <si>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</si>
  <si>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</si>
  <si>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</si>
  <si>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</si>
  <si>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</si>
  <si>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</si>
  <si>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</si>
  <si>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</si>
  <si>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</si>
  <si>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</si>
  <si>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</si>
  <si>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</si>
  <si>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</si>
  <si>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</si>
  <si>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</si>
  <si>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</si>
  <si>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</si>
  <si>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</si>
  <si>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</si>
  <si>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</si>
  <si>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</si>
  <si>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</si>
  <si>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</si>
  <si>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</si>
  <si>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</si>
  <si>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</si>
  <si>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</si>
  <si>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</si>
  <si>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</si>
  <si>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</si>
  <si>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</si>
  <si>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</si>
  <si>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</si>
  <si>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</si>
  <si>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</si>
  <si>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</si>
  <si>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</si>
  <si>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</si>
  <si>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</si>
  <si>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</si>
  <si>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</si>
  <si>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</si>
  <si>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</si>
  <si>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</si>
  <si>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</si>
  <si>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</si>
  <si>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</si>
  <si>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</si>
  <si>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</si>
  <si>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</si>
  <si>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</si>
  <si>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</si>
  <si>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</si>
  <si>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</si>
  <si>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</si>
  <si>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</si>
  <si>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</si>
  <si>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</si>
  <si>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</si>
  <si>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</si>
  <si>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</si>
  <si>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</si>
  <si>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</si>
  <si>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</si>
  <si>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</si>
  <si>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</si>
  <si>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</si>
  <si>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</si>
  <si>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</si>
  <si>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</si>
  <si>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</si>
  <si>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</si>
  <si>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</si>
  <si>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</si>
  <si>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</si>
  <si>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</si>
  <si>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</si>
  <si>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</si>
  <si>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</si>
  <si>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</si>
  <si>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</si>
  <si>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</si>
  <si>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</si>
  <si>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</si>
  <si>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</si>
  <si>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</si>
  <si>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</si>
  <si>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</si>
  <si>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</si>
  <si>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</si>
  <si>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</si>
  <si>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</si>
  <si>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</si>
  <si>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</si>
  <si>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</si>
  <si>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</si>
  <si>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</si>
  <si>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</si>
  <si>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</si>
  <si>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</si>
  <si>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</si>
  <si>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</si>
  <si>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</si>
  <si>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</si>
  <si>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</si>
  <si>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</si>
  <si>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</si>
  <si>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</si>
  <si>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</si>
  <si>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</si>
  <si>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</si>
  <si>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</si>
  <si>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</si>
  <si>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</si>
  <si>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</si>
  <si>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</si>
  <si>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</si>
  <si>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</si>
  <si>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</si>
  <si>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</si>
  <si>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</si>
  <si>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</si>
  <si>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</si>
  <si>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</si>
  <si>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</si>
  <si>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</si>
  <si>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</si>
  <si>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</si>
  <si>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</si>
  <si>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</si>
  <si>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</si>
  <si>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</si>
  <si>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</si>
  <si>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</si>
  <si>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</si>
  <si>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</si>
  <si>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</si>
  <si>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</si>
  <si>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</si>
  <si>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</si>
  <si>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</si>
  <si>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</si>
  <si>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</si>
  <si>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</si>
  <si>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</si>
  <si>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</si>
  <si>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</si>
  <si>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</si>
  <si>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</si>
  <si>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</si>
  <si>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</si>
  <si>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</si>
  <si>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</si>
  <si>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</si>
  <si>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</si>
  <si>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</si>
  <si>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</si>
  <si>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</si>
  <si>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</si>
  <si>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</si>
  <si>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</si>
  <si>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</si>
  <si>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</si>
  <si>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</si>
  <si>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</si>
  <si>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</si>
  <si>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</si>
  <si>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</si>
  <si>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</si>
  <si>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</si>
  <si>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</si>
  <si>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</si>
  <si>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</si>
  <si>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</si>
  <si>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</si>
  <si>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</si>
  <si>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</si>
  <si>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</si>
  <si>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</si>
  <si>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</si>
  <si>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</si>
  <si>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</si>
  <si>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</si>
  <si>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</si>
  <si>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</si>
  <si>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</si>
  <si>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</si>
  <si>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</si>
  <si>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</si>
  <si>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</si>
  <si>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</si>
  <si>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</si>
  <si>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</si>
  <si>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</si>
  <si>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</si>
  <si>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</si>
  <si>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</si>
  <si>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</si>
  <si>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</si>
  <si>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</si>
  <si>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</si>
  <si>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</si>
  <si>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</si>
  <si>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</si>
  <si>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</si>
  <si>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</si>
  <si>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</si>
  <si>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</si>
  <si>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</si>
  <si>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</si>
  <si>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</si>
  <si>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</si>
  <si>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</si>
  <si>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</si>
  <si>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</si>
  <si>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</si>
  <si>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</si>
  <si>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</si>
  <si>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</si>
  <si>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</si>
  <si>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</si>
  <si>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</si>
  <si>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</si>
  <si>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</si>
  <si>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</si>
  <si>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</si>
  <si>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</si>
  <si>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</si>
  <si>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</si>
  <si>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</si>
  <si>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</si>
  <si>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</si>
  <si>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</si>
  <si>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</si>
  <si>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</si>
  <si>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</si>
  <si>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</si>
  <si>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</si>
  <si>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</si>
  <si>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</si>
  <si>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</si>
  <si>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</si>
  <si>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</si>
  <si>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</si>
  <si>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</si>
  <si>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</si>
  <si>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</si>
  <si>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</si>
  <si>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</si>
  <si>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</si>
  <si>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</si>
  <si>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</si>
  <si>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</si>
  <si>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</si>
  <si>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</si>
  <si>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</si>
  <si>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</si>
  <si>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</si>
  <si>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</si>
  <si>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</si>
  <si>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</si>
  <si>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</si>
  <si>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</si>
  <si>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</si>
  <si>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</si>
  <si>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</si>
  <si>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</si>
  <si>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</si>
  <si>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</si>
  <si>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</si>
  <si>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</si>
  <si>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</si>
  <si>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</si>
  <si>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</si>
  <si>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</si>
  <si>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</si>
  <si>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</si>
  <si>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</si>
  <si>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</si>
  <si>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</si>
  <si>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</si>
  <si>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</si>
  <si>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</si>
  <si>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</si>
  <si>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</si>
  <si>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</si>
  <si>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</si>
  <si>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</si>
  <si>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</si>
  <si>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</si>
  <si>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</si>
  <si>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</si>
  <si>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</si>
  <si>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</si>
  <si>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</si>
  <si>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</si>
  <si>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</si>
  <si>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</si>
  <si>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</si>
  <si>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</si>
  <si>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</si>
  <si>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</si>
  <si>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</si>
  <si>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</si>
  <si>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</si>
  <si>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</si>
  <si>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</si>
  <si>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</si>
  <si>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</si>
  <si>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</si>
  <si>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</si>
  <si>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</si>
  <si>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</si>
  <si>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</si>
  <si>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</si>
  <si>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</si>
  <si>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</si>
  <si>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</si>
  <si>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</si>
  <si>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</si>
  <si>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</si>
  <si>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</si>
  <si>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</si>
  <si>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</si>
  <si>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</si>
  <si>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</si>
  <si>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</si>
  <si>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</si>
  <si>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</si>
  <si>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</si>
  <si>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</si>
  <si>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</si>
  <si>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</si>
  <si>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</si>
  <si>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</si>
  <si>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</si>
  <si>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</si>
  <si>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</si>
  <si>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</si>
  <si>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</si>
  <si>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</si>
  <si>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</si>
  <si>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</si>
  <si>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</si>
  <si>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</si>
  <si>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</si>
  <si>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</si>
  <si>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</si>
  <si>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</si>
  <si>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</si>
  <si>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</si>
  <si>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</si>
  <si>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</si>
  <si>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</si>
  <si>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</si>
  <si>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</si>
  <si>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</si>
  <si>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</si>
  <si>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</si>
  <si>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</si>
  <si>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</si>
  <si>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</si>
  <si>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</si>
  <si>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</si>
  <si>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</si>
  <si>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</si>
  <si>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</si>
  <si>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</si>
  <si>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</si>
  <si>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</si>
  <si>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</si>
  <si>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</si>
  <si>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</si>
  <si>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</si>
  <si>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</si>
  <si>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</si>
  <si>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</si>
  <si>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</si>
  <si>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</si>
  <si>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</si>
  <si>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</si>
  <si>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</si>
  <si>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</si>
  <si>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</si>
  <si>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</si>
  <si>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</si>
  <si>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</si>
  <si>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</si>
  <si>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</si>
  <si>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</si>
  <si>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</si>
  <si>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</si>
  <si>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</si>
  <si>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</si>
  <si>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</si>
  <si>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</si>
  <si>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</si>
  <si>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</si>
  <si>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</si>
  <si>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</si>
  <si>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</si>
  <si>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</si>
  <si>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</si>
  <si>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</si>
  <si>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</si>
  <si>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</si>
  <si>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</si>
  <si>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</si>
  <si>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</si>
  <si>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</si>
  <si>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</si>
  <si>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</si>
  <si>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</si>
  <si>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</si>
  <si>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</si>
  <si>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</si>
  <si>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</si>
  <si>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</si>
  <si>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</si>
  <si>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</si>
  <si>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</si>
  <si>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</si>
  <si>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</si>
  <si>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</si>
  <si>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</si>
  <si>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</si>
  <si>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</si>
  <si>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</si>
  <si>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</si>
  <si>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</si>
  <si>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</si>
  <si>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</si>
  <si>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</si>
  <si>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</si>
  <si>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</si>
  <si>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</si>
  <si>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</si>
  <si>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</si>
  <si>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</si>
  <si>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</si>
  <si>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</si>
  <si>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</si>
  <si>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</si>
  <si>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</si>
  <si>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</si>
  <si>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</si>
  <si>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</si>
  <si>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</si>
  <si>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</si>
  <si>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</si>
  <si>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</si>
  <si>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</si>
  <si>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</si>
  <si>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</si>
  <si>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</si>
  <si>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</si>
  <si>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</si>
  <si>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</si>
  <si>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</si>
  <si>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</si>
  <si>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</si>
  <si>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</si>
  <si>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</si>
  <si>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</si>
  <si>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</si>
  <si>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</si>
  <si>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</si>
  <si>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</si>
  <si>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</si>
  <si>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</si>
  <si>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</si>
  <si>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</si>
  <si>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</si>
  <si>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</si>
  <si>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</si>
  <si>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</si>
  <si>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</si>
  <si>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</si>
  <si>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</si>
  <si>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</si>
  <si>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</si>
  <si>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</si>
  <si>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</si>
  <si>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</si>
  <si>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</si>
  <si>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</si>
  <si>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</si>
  <si>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</si>
  <si>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</si>
  <si>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</si>
  <si>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</si>
  <si>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</si>
  <si>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</si>
  <si>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</si>
  <si>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</si>
  <si>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</si>
  <si>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</si>
  <si>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</si>
  <si>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</si>
  <si>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</si>
  <si>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</si>
  <si>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</si>
  <si>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</si>
  <si>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</si>
  <si>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</si>
  <si>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</si>
  <si>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</si>
  <si>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</si>
  <si>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</si>
  <si>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</si>
  <si>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</si>
  <si>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</si>
  <si>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</si>
  <si>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</si>
  <si>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</si>
  <si>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</si>
  <si>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</si>
  <si>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</si>
  <si>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</si>
  <si>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</si>
  <si>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</si>
  <si>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</si>
  <si>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</si>
  <si>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</si>
  <si>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</si>
  <si>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</si>
  <si>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</si>
  <si>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</si>
  <si>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</si>
  <si>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</si>
  <si>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</si>
  <si>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</si>
  <si>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</si>
  <si>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</si>
  <si>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</si>
  <si>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</si>
  <si>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</si>
  <si>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</si>
  <si>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</si>
  <si>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</si>
  <si>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</si>
  <si>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</si>
  <si>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</si>
  <si>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</si>
  <si>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</si>
  <si>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</si>
  <si>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</si>
  <si>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</si>
  <si>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</si>
  <si>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</si>
  <si>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</si>
  <si>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</si>
  <si>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</si>
  <si>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</si>
  <si>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</si>
  <si>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</si>
  <si>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</si>
  <si>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</si>
  <si>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</si>
  <si>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</si>
  <si>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</si>
  <si>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</si>
  <si>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</si>
  <si>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</si>
  <si>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</si>
  <si>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</si>
  <si>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</si>
  <si>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</si>
  <si>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</si>
  <si>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</si>
  <si>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</si>
  <si>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</si>
  <si>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</si>
  <si>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</si>
  <si>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</si>
  <si>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</si>
  <si>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</si>
  <si>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</si>
  <si>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</si>
  <si>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</si>
  <si>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</si>
  <si>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</si>
  <si>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</si>
  <si>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</si>
  <si>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</si>
  <si>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</si>
  <si>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</si>
  <si>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</si>
  <si>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</si>
  <si>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</si>
  <si>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</si>
  <si>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</si>
  <si>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</si>
  <si>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</si>
  <si>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</si>
  <si>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</si>
  <si>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</si>
  <si>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</si>
  <si>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</si>
  <si>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</si>
  <si>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</si>
  <si>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</si>
  <si>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</si>
  <si>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</si>
  <si>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</si>
  <si>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</si>
  <si>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</si>
  <si>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</si>
  <si>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</si>
  <si>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</si>
  <si>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</si>
  <si>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</si>
  <si>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</si>
  <si>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</si>
  <si>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</si>
  <si>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</si>
  <si>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</si>
  <si>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</si>
  <si>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</si>
  <si>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</si>
  <si>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</si>
  <si>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</si>
  <si>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</si>
  <si>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</si>
  <si>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</si>
  <si>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</si>
  <si>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</si>
  <si>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</si>
  <si>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</si>
  <si>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</si>
  <si>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</si>
  <si>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</si>
  <si>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</si>
  <si>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</si>
  <si>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</si>
  <si>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</si>
  <si>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</si>
  <si>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</si>
  <si>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</si>
  <si>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</si>
  <si>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</si>
  <si>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</si>
  <si>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</si>
  <si>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</si>
  <si>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</si>
  <si>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</si>
  <si>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</si>
  <si>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</si>
  <si>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</si>
  <si>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</si>
  <si>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</si>
  <si>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</si>
  <si>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</si>
  <si>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</si>
  <si>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</si>
  <si>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</si>
  <si>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</si>
  <si>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</si>
  <si>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</si>
  <si>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</si>
  <si>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</si>
  <si>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</si>
  <si>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</si>
  <si>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</si>
  <si>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</si>
  <si>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</si>
  <si>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</si>
  <si>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</si>
  <si>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</si>
  <si>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</si>
  <si>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</si>
  <si>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</si>
  <si>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</si>
  <si>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</si>
  <si>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</si>
  <si>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</si>
  <si>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</si>
  <si>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</si>
  <si>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</si>
  <si>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</si>
  <si>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</si>
  <si>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</si>
  <si>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</si>
  <si>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</si>
  <si>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</si>
  <si>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</si>
  <si>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</si>
  <si>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</si>
  <si>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</si>
  <si>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</si>
  <si>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</si>
  <si>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</si>
  <si>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</si>
  <si>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</si>
  <si>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</si>
  <si>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</si>
  <si>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</si>
  <si>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</si>
  <si>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</si>
  <si>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</si>
  <si>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</si>
  <si>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</si>
  <si>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</si>
  <si>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</si>
  <si>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</si>
  <si>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</si>
  <si>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</si>
  <si>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</si>
  <si>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</si>
  <si>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</si>
  <si>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</si>
  <si>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</si>
  <si>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</si>
  <si>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</si>
  <si>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</si>
  <si>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</si>
  <si>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</si>
  <si>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</si>
  <si>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</si>
  <si>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</si>
  <si>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</si>
  <si>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</si>
  <si>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</si>
  <si>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</si>
  <si>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</si>
  <si>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</si>
  <si>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</si>
  <si>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</si>
  <si>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</si>
  <si>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</si>
  <si>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</si>
  <si>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</si>
  <si>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</si>
  <si>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</si>
  <si>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</si>
  <si>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</si>
  <si>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</si>
  <si>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</si>
  <si>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</si>
  <si>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</si>
  <si>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</si>
  <si>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</si>
  <si>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</si>
  <si>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</si>
  <si>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</si>
  <si>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</si>
  <si>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</si>
  <si>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</si>
  <si>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</si>
  <si>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</si>
  <si>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</si>
  <si>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</si>
  <si>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</si>
  <si>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</si>
  <si>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</si>
  <si>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</si>
  <si>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</si>
  <si>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</si>
  <si>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</si>
  <si>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</si>
  <si>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</si>
  <si>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</si>
  <si>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</si>
  <si>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</si>
  <si>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</si>
  <si>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</si>
  <si>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</si>
  <si>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</si>
  <si>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</si>
  <si>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</si>
  <si>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</si>
  <si>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</si>
  <si>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</si>
  <si>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</si>
  <si>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</si>
  <si>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</si>
  <si>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</si>
  <si>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</si>
  <si>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</si>
  <si>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</si>
  <si>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</si>
  <si>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</si>
  <si>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</si>
  <si>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</si>
  <si>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</si>
  <si>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</si>
  <si>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</si>
  <si>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</si>
  <si>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</si>
  <si>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</si>
  <si>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</si>
  <si>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</si>
  <si>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</si>
  <si>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</si>
  <si>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</si>
  <si>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</si>
  <si>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</si>
  <si>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</si>
  <si>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</si>
  <si>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</si>
  <si>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</si>
  <si>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</si>
  <si>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</si>
  <si>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</si>
  <si>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</si>
  <si>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</si>
  <si>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</si>
  <si>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</si>
  <si>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</si>
  <si>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</si>
  <si>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</si>
  <si>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</si>
  <si>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</si>
  <si>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</si>
  <si>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</si>
  <si>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</si>
  <si>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</si>
  <si>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</si>
  <si>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</si>
  <si>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</si>
  <si>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</si>
  <si>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</si>
  <si>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</si>
  <si>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</si>
  <si>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</si>
  <si>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</si>
  <si>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</si>
  <si>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</si>
  <si>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</si>
  <si>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</si>
  <si>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</si>
  <si>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</si>
  <si>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</si>
  <si>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</si>
  <si>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</si>
  <si>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</si>
  <si>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</si>
  <si>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</si>
  <si>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</si>
  <si>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</si>
  <si>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</si>
  <si>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</si>
  <si>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</si>
  <si>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</si>
  <si>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</si>
  <si>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</si>
  <si>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</si>
  <si>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</si>
  <si>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</si>
  <si>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</si>
  <si>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</si>
  <si>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</si>
  <si>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</si>
  <si>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</si>
  <si>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</si>
  <si>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</si>
  <si>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</si>
  <si>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</si>
  <si>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</si>
  <si>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</si>
  <si>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</si>
  <si>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</si>
  <si>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</si>
  <si>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</si>
  <si>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</si>
  <si>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</si>
  <si>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</si>
  <si>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</si>
  <si>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</si>
  <si>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</si>
  <si>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</si>
  <si>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</si>
  <si>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</si>
  <si>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</si>
  <si>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</si>
  <si>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</si>
  <si>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</si>
  <si>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</si>
  <si>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</si>
  <si>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</si>
  <si>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</si>
  <si>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</si>
  <si>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</si>
  <si>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</si>
  <si>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</si>
  <si>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</si>
  <si>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</si>
  <si>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</si>
  <si>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</si>
  <si>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</si>
  <si>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</si>
  <si>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</si>
  <si>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</si>
  <si>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</si>
  <si>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</si>
  <si>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</si>
  <si>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</si>
  <si>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</si>
  <si>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</si>
  <si>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</si>
  <si>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</si>
  <si>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</si>
  <si>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</si>
  <si>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</si>
  <si>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</si>
  <si>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</si>
  <si>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</si>
  <si>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</si>
  <si>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</si>
  <si>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</si>
  <si>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</si>
  <si>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</si>
  <si>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</si>
  <si>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</si>
  <si>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</si>
  <si>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</si>
  <si>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</si>
  <si>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</si>
  <si>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</si>
  <si>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</si>
  <si>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</si>
  <si>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</si>
  <si>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</si>
  <si>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</si>
  <si>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</si>
  <si>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</si>
  <si>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</si>
  <si>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</si>
  <si>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</si>
  <si>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</si>
  <si>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</si>
  <si>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</si>
  <si>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</si>
  <si>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</si>
  <si>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</si>
  <si>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</si>
  <si>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</si>
  <si>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</si>
  <si>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</si>
  <si>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</si>
  <si>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</si>
  <si>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</si>
  <si>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</si>
  <si>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</si>
  <si>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</si>
  <si>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</si>
  <si>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</si>
  <si>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</si>
  <si>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</si>
  <si>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</si>
  <si>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</si>
  <si>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</si>
  <si>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</si>
  <si>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</si>
  <si>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</si>
  <si>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</si>
  <si>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</si>
  <si>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</si>
  <si>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</si>
  <si>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</si>
  <si>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</si>
  <si>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</si>
  <si>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</si>
  <si>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</si>
  <si>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</si>
  <si>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</si>
  <si>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</si>
  <si>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</si>
  <si>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</si>
  <si>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</si>
  <si>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</si>
  <si>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</si>
  <si>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</si>
  <si>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</si>
  <si>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</si>
  <si>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</si>
  <si>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</si>
  <si>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</si>
  <si>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</si>
  <si>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</si>
  <si>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</si>
  <si>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</si>
  <si>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</si>
  <si>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</si>
  <si>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</si>
  <si>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</si>
  <si>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</si>
  <si>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</si>
  <si>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</si>
  <si>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</si>
  <si>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</si>
  <si>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</si>
  <si>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</si>
  <si>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</si>
  <si>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</si>
  <si>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</si>
  <si>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</si>
  <si>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</si>
  <si>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</si>
  <si>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</si>
  <si>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</si>
  <si>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</si>
  <si>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</si>
  <si>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</si>
  <si>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</si>
  <si>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</si>
  <si>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</si>
  <si>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</si>
  <si>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</si>
  <si>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</si>
  <si>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</si>
  <si>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</si>
  <si>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</si>
  <si>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</si>
  <si>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</si>
  <si>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</si>
  <si>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</si>
  <si>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</si>
  <si>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</si>
  <si>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</si>
  <si>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</si>
  <si>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</si>
  <si>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</si>
  <si>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</si>
  <si>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</si>
  <si>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</si>
  <si>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</si>
  <si>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</si>
  <si>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</si>
  <si>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</si>
  <si>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</si>
  <si>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</si>
  <si>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</si>
  <si>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</si>
  <si>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</si>
  <si>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</si>
  <si>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</si>
  <si>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</si>
  <si>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</si>
  <si>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</si>
  <si>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</si>
  <si>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</si>
  <si>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</si>
  <si>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</si>
  <si>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</si>
  <si>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</si>
  <si>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</si>
  <si>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</si>
  <si>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</si>
  <si>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</si>
  <si>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</si>
  <si>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</si>
  <si>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</si>
  <si>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</si>
  <si>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</si>
  <si>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</si>
  <si>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</si>
  <si>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</si>
  <si>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</si>
  <si>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</si>
  <si>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</si>
  <si>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</si>
  <si>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</si>
  <si>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</si>
  <si>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</si>
  <si>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</si>
  <si>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</si>
  <si>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</si>
  <si>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</si>
  <si>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</si>
  <si>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</si>
  <si>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</si>
  <si>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</si>
  <si>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</si>
  <si>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</si>
  <si>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</si>
  <si>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</si>
  <si>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</si>
  <si>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</si>
  <si>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</si>
  <si>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</si>
  <si>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</si>
  <si>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</si>
  <si>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</si>
  <si>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</si>
  <si>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</si>
  <si>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</si>
  <si>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</si>
  <si>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</si>
  <si>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</si>
  <si>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</si>
  <si>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</si>
  <si>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</si>
  <si>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</si>
  <si>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</si>
  <si>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</si>
  <si>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</si>
  <si>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</si>
  <si>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</si>
  <si>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</si>
  <si>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</si>
  <si>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</si>
  <si>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</si>
  <si>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</si>
  <si>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</si>
  <si>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</si>
  <si>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</si>
  <si>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</si>
  <si>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</si>
  <si>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</si>
  <si>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</si>
  <si>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</si>
  <si>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</si>
  <si>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</si>
  <si>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</si>
  <si>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</si>
  <si>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</si>
  <si>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</si>
  <si>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</si>
  <si>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</si>
  <si>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</si>
  <si>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</si>
  <si>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</si>
  <si>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</si>
  <si>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</si>
  <si>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</si>
  <si>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</si>
  <si>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</si>
  <si>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</si>
  <si>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</si>
  <si>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</si>
  <si>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</si>
  <si>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</si>
  <si>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</si>
  <si>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</si>
  <si>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</si>
  <si>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</si>
  <si>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</si>
  <si>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</si>
  <si>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</si>
  <si>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</si>
  <si>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</si>
  <si>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</si>
  <si>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</si>
  <si>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</si>
  <si>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</si>
  <si>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</si>
  <si>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</si>
  <si>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</si>
  <si>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</si>
  <si>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</si>
  <si>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</si>
  <si>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</si>
  <si>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</si>
  <si>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</si>
  <si>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</si>
  <si>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</si>
  <si>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</si>
  <si>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</si>
  <si>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</si>
  <si>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</si>
  <si>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</si>
  <si>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</si>
  <si>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</si>
  <si>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</si>
  <si>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</si>
  <si>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</si>
  <si>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</si>
  <si>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</si>
  <si>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</si>
  <si>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</si>
  <si>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</si>
  <si>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</si>
  <si>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</si>
  <si>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</si>
  <si>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</si>
  <si>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</si>
  <si>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</si>
  <si>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</si>
  <si>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</si>
  <si>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</si>
  <si>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</si>
  <si>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</si>
  <si>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</si>
  <si>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</si>
  <si>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</si>
  <si>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</si>
  <si>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</si>
  <si>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</si>
  <si>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</si>
  <si>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</si>
  <si>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</si>
  <si>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</si>
  <si>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</si>
  <si>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</si>
  <si>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</si>
  <si>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</si>
  <si>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</si>
  <si>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</si>
  <si>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</si>
  <si>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</si>
  <si>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</si>
  <si>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</si>
  <si>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</si>
  <si>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</si>
  <si>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</si>
  <si>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</si>
  <si>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</si>
  <si>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</si>
  <si>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</si>
  <si>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</si>
  <si>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</si>
  <si>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</si>
  <si>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</si>
  <si>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</si>
  <si>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</si>
  <si>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</si>
  <si>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</si>
  <si>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</si>
  <si>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</si>
  <si>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</si>
  <si>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</si>
  <si>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</si>
  <si>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</si>
  <si>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</si>
  <si>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</si>
  <si>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</si>
  <si>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</si>
  <si>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</si>
  <si>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</si>
  <si>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</si>
  <si>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</si>
  <si>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</si>
  <si>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</si>
  <si>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</si>
  <si>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</si>
  <si>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</si>
  <si>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</si>
  <si>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</si>
  <si>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</si>
  <si>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</si>
  <si>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</si>
  <si>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</si>
  <si>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</si>
  <si>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</si>
  <si>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</si>
  <si>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</si>
  <si>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</si>
  <si>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</si>
  <si>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</si>
  <si>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</si>
  <si>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</si>
  <si>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</si>
  <si>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</si>
  <si>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</si>
  <si>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</si>
  <si>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</si>
  <si>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</si>
  <si>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</si>
  <si>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</si>
  <si>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</si>
  <si>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</si>
  <si>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</si>
  <si>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</si>
  <si>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</si>
  <si>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</si>
  <si>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</si>
  <si>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</si>
  <si>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</si>
  <si>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</si>
  <si>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</si>
  <si>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</si>
  <si>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</si>
  <si>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</si>
  <si>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</si>
  <si>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</si>
  <si>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</si>
  <si>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</si>
  <si>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</si>
  <si>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</si>
  <si>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</si>
  <si>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</si>
  <si>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</si>
  <si>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</si>
  <si>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</si>
  <si>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</si>
  <si>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</si>
  <si>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</si>
  <si>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</si>
  <si>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</si>
  <si>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</si>
  <si>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</si>
  <si>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</si>
  <si>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</si>
  <si>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</si>
  <si>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</si>
  <si>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</si>
  <si>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</si>
  <si>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</si>
  <si>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</si>
  <si>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</si>
  <si>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</si>
  <si>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</si>
  <si>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</si>
  <si>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</si>
  <si>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</si>
  <si>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</si>
  <si>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</si>
  <si>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</si>
  <si>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</si>
  <si>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</si>
  <si>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</si>
  <si>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</si>
  <si>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</si>
  <si>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</si>
  <si>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</si>
  <si>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</si>
  <si>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</si>
  <si>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</si>
  <si>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</si>
  <si>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</si>
  <si>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</si>
  <si>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</si>
  <si>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</si>
  <si>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</si>
  <si>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</si>
  <si>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</si>
  <si>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</si>
  <si>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</si>
  <si>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</si>
  <si>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</si>
  <si>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</si>
  <si>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</si>
  <si>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</si>
  <si>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</si>
  <si>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</si>
  <si>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</si>
  <si>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</si>
  <si>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</si>
  <si>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</si>
  <si>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</si>
  <si>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</si>
  <si>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</si>
  <si>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</si>
  <si>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</si>
  <si>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</si>
  <si>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</si>
  <si>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</si>
  <si>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</si>
  <si>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</si>
  <si>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</si>
  <si>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</si>
  <si>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</si>
  <si>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</si>
  <si>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</si>
  <si>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</si>
  <si>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</si>
  <si>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</si>
  <si>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</si>
  <si>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</si>
  <si>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</si>
  <si>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</si>
  <si>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</si>
  <si>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</si>
  <si>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</si>
  <si>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</si>
  <si>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</si>
  <si>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</si>
  <si>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</si>
  <si>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</si>
  <si>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</si>
  <si>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</si>
  <si>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</si>
  <si>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</si>
  <si>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</si>
  <si>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</si>
  <si>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</si>
  <si>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</si>
  <si>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</si>
  <si>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</si>
  <si>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</si>
  <si>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</si>
  <si>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</si>
  <si>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</si>
  <si>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</si>
  <si>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</si>
  <si>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</si>
  <si>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</si>
  <si>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</si>
  <si>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</si>
  <si>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</si>
  <si>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</si>
  <si>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</si>
  <si>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</si>
  <si>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</si>
  <si>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</si>
  <si>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</si>
  <si>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</si>
  <si>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</si>
  <si>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</si>
  <si>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</si>
  <si>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</si>
  <si>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</si>
  <si>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</si>
  <si>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</si>
  <si>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</si>
  <si>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</si>
  <si>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</si>
  <si>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</si>
  <si>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</si>
  <si>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</si>
  <si>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</si>
  <si>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</si>
  <si>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</si>
  <si>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</si>
  <si>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</si>
  <si>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</si>
  <si>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</si>
  <si>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</si>
  <si>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</si>
  <si>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</si>
  <si>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</si>
  <si>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</si>
  <si>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</si>
  <si>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</si>
  <si>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</si>
  <si>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</si>
  <si>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</si>
  <si>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</si>
  <si>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</si>
  <si>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</si>
  <si>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</si>
  <si>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</si>
  <si>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</si>
  <si>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</si>
  <si>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</si>
  <si>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</si>
  <si>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</si>
  <si>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</si>
  <si>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</si>
  <si>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</si>
  <si>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</si>
  <si>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</si>
  <si>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</si>
  <si>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</si>
  <si>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</si>
  <si>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</si>
  <si>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</si>
  <si>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</si>
  <si>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</si>
  <si>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</si>
  <si>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</si>
  <si>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</si>
  <si>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</si>
  <si>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</si>
  <si>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</si>
  <si>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</si>
  <si>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</si>
  <si>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</si>
  <si>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</si>
  <si>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</si>
  <si>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</si>
  <si>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</si>
  <si>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</si>
  <si>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</si>
  <si>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</si>
  <si>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</si>
  <si>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</si>
  <si>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</si>
  <si>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</si>
  <si>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</si>
  <si>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</si>
  <si>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</si>
  <si>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</si>
  <si>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</si>
  <si>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</si>
  <si>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</si>
  <si>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</si>
  <si>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</si>
  <si>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</si>
  <si>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</si>
  <si>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</si>
  <si>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</si>
  <si>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</si>
  <si>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</si>
  <si>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</si>
  <si>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</si>
  <si>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</si>
  <si>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</si>
  <si>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</si>
  <si>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</si>
  <si>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</si>
  <si>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</si>
  <si>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</si>
  <si>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</si>
  <si>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</si>
  <si>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</si>
  <si>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</si>
  <si>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</si>
  <si>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</si>
  <si>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</si>
  <si>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</si>
  <si>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</si>
  <si>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</si>
  <si>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</si>
  <si>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</si>
  <si>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</si>
  <si>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</si>
  <si>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</si>
  <si>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</si>
  <si>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</si>
  <si>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</si>
  <si>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</si>
  <si>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</si>
  <si>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</si>
  <si>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</si>
  <si>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</si>
  <si>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</si>
  <si>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</si>
  <si>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</si>
  <si>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</si>
  <si>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</si>
  <si>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</si>
  <si>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</si>
  <si>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</si>
  <si>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</si>
  <si>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</si>
  <si>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</si>
  <si>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</si>
  <si>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</si>
  <si>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</si>
  <si>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</si>
  <si>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</si>
  <si>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</si>
  <si>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</si>
  <si>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</si>
  <si>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</si>
  <si>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</si>
  <si>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</si>
  <si>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</si>
  <si>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</si>
  <si>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</si>
  <si>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</si>
  <si>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</si>
  <si>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</si>
  <si>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</si>
  <si>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</si>
  <si>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</si>
  <si>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</si>
  <si>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</si>
  <si>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</si>
  <si>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</si>
  <si>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</si>
  <si>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</si>
  <si>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</si>
  <si>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</si>
  <si>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</si>
  <si>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</si>
  <si>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</si>
  <si>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</si>
  <si>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</si>
  <si>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</si>
  <si>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</si>
  <si>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</si>
  <si>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</si>
  <si>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</si>
  <si>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</si>
  <si>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</si>
  <si>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</si>
  <si>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</si>
  <si>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</si>
  <si>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</si>
  <si>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</si>
  <si>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</si>
  <si>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</si>
  <si>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</si>
  <si>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</si>
  <si>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</si>
  <si>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</si>
  <si>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</si>
  <si>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</si>
  <si>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</si>
  <si>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</si>
  <si>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</si>
  <si>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</si>
  <si>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</si>
  <si>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</si>
  <si>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</si>
  <si>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</si>
  <si>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</si>
  <si>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</si>
  <si>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</si>
  <si>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</si>
  <si>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</si>
  <si>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</si>
  <si>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</si>
  <si>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</si>
  <si>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</si>
  <si>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</si>
  <si>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</si>
  <si>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</si>
  <si>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</si>
  <si>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</si>
  <si>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</si>
  <si>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</si>
  <si>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</si>
  <si>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</si>
  <si>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</si>
  <si>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</si>
  <si>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</si>
  <si>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</si>
  <si>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</si>
  <si>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</si>
  <si>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</si>
  <si>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</si>
  <si>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</si>
  <si>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</si>
  <si>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</si>
  <si>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</si>
  <si>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</si>
  <si>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</si>
  <si>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</si>
  <si>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</si>
  <si>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</si>
  <si>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</si>
  <si>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</si>
  <si>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</si>
  <si>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</si>
  <si>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</si>
  <si>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</si>
  <si>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</si>
  <si>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</si>
  <si>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</si>
  <si>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</si>
  <si>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</si>
  <si>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</si>
  <si>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</si>
  <si>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</si>
  <si>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</si>
  <si>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</si>
  <si>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</si>
  <si>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</si>
  <si>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</si>
  <si>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</si>
  <si>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</si>
  <si>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</si>
  <si>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</si>
  <si>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</si>
  <si>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</si>
  <si>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</si>
  <si>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</si>
  <si>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</si>
  <si>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</si>
  <si>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</si>
  <si>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</si>
  <si>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</si>
  <si>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</si>
  <si>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</si>
  <si>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</si>
  <si>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</si>
  <si>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</si>
  <si>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</si>
  <si>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</si>
  <si>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</si>
  <si>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</si>
  <si>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</si>
  <si>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</si>
  <si>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</si>
  <si>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</si>
  <si>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</si>
  <si>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</si>
  <si>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</si>
  <si>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</si>
  <si>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</si>
  <si>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</si>
  <si>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</si>
  <si>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</si>
  <si>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</si>
  <si>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</si>
  <si>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</si>
  <si>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</si>
  <si>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</si>
  <si>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</si>
  <si>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</si>
  <si>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</si>
  <si>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</si>
  <si>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</si>
  <si>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</si>
  <si>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</si>
  <si>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</si>
  <si>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</si>
  <si>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</si>
  <si>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</si>
  <si>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</si>
  <si>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</si>
  <si>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</si>
  <si>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</si>
  <si>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</si>
  <si>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</si>
  <si>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</si>
  <si>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</si>
  <si>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</si>
  <si>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</si>
  <si>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</si>
  <si>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</si>
  <si>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</si>
  <si>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</si>
  <si>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</si>
  <si>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</si>
  <si>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</si>
  <si>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</si>
  <si>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</si>
  <si>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</si>
  <si>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</si>
  <si>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</si>
  <si>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</si>
  <si>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</si>
  <si>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</si>
  <si>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</si>
  <si>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</si>
  <si>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</si>
  <si>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</si>
  <si>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</si>
  <si>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</si>
  <si>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</si>
  <si>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</si>
  <si>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</si>
  <si>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</si>
  <si>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</si>
  <si>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</si>
  <si>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</si>
  <si>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</si>
  <si>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</si>
  <si>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</si>
  <si>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</si>
  <si>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</si>
  <si>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</si>
  <si>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</si>
  <si>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</si>
  <si>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</si>
  <si>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</si>
  <si>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</si>
  <si>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</si>
  <si>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</si>
  <si>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</si>
  <si>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</si>
  <si>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</si>
  <si>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</si>
  <si>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</si>
  <si>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</si>
  <si>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</si>
  <si>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</si>
  <si>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</si>
  <si>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</si>
  <si>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</si>
  <si>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</si>
  <si>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</si>
  <si>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</si>
  <si>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</si>
  <si>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</si>
  <si>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</si>
  <si>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</si>
  <si>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</si>
  <si>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</si>
  <si>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</si>
  <si>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</si>
  <si>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</si>
  <si>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</si>
  <si>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</si>
  <si>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</si>
  <si>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</si>
  <si>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</si>
  <si>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</si>
  <si>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</si>
  <si>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</si>
  <si>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</si>
  <si>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</si>
  <si>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</si>
  <si>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</si>
  <si>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</si>
  <si>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</si>
  <si>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</si>
  <si>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</si>
  <si>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</si>
  <si>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</si>
  <si>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</si>
  <si>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</si>
  <si>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</si>
  <si>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</si>
  <si>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</si>
  <si>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</si>
  <si>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</si>
  <si>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</si>
  <si>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</si>
  <si>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</si>
  <si>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</si>
  <si>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</si>
  <si>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</si>
  <si>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</si>
  <si>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</si>
  <si>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</si>
  <si>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</si>
  <si>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</si>
  <si>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</si>
  <si>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</si>
  <si>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</si>
  <si>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</si>
  <si>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</si>
  <si>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</si>
  <si>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</si>
  <si>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</si>
  <si>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</si>
  <si>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</si>
  <si>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</si>
  <si>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</si>
  <si>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</si>
  <si>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</si>
  <si>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</si>
  <si>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</si>
  <si>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</si>
  <si>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</si>
  <si>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</si>
  <si>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</si>
  <si>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</si>
  <si>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</si>
  <si>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</si>
  <si>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</si>
  <si>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</si>
  <si>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</si>
  <si>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</si>
  <si>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</si>
  <si>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</si>
  <si>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</si>
  <si>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</si>
  <si>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</si>
  <si>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</si>
  <si>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</si>
  <si>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</si>
  <si>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</si>
  <si>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</si>
  <si>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</si>
  <si>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</si>
  <si>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</si>
  <si>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</si>
  <si>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</si>
  <si>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</si>
  <si>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</si>
  <si>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</si>
  <si>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</si>
  <si>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</si>
  <si>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</si>
  <si>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</si>
  <si>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</si>
  <si>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</si>
  <si>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</si>
  <si>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</si>
  <si>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</si>
  <si>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</si>
  <si>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</si>
  <si>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</si>
  <si>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</si>
  <si>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</si>
  <si>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</si>
  <si>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</si>
  <si>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</si>
  <si>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</si>
  <si>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</si>
  <si>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</si>
  <si>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</si>
  <si>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</si>
  <si>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</si>
  <si>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</si>
  <si>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</si>
  <si>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</si>
  <si>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</si>
  <si>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</si>
  <si>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</si>
  <si>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</si>
  <si>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</si>
  <si>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</si>
  <si>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</si>
  <si>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</si>
  <si>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</si>
  <si>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</si>
  <si>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</si>
  <si>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</si>
  <si>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</si>
  <si>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</si>
  <si>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</si>
  <si>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</si>
  <si>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</si>
  <si>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</si>
  <si>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</si>
  <si>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</si>
  <si>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</si>
  <si>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</si>
  <si>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</si>
  <si>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</si>
  <si>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</si>
  <si>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</si>
  <si>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</si>
  <si>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</si>
  <si>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</si>
  <si>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</si>
  <si>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</si>
  <si>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</si>
  <si>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</si>
  <si>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</si>
  <si>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</si>
  <si>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</si>
  <si>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</si>
  <si>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</si>
  <si>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</si>
  <si>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</si>
  <si>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</si>
  <si>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</si>
  <si>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</si>
  <si>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</si>
  <si>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</si>
  <si>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</si>
  <si>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</si>
  <si>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</si>
  <si>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</si>
  <si>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</si>
  <si>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</si>
  <si>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</si>
  <si>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</si>
  <si>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</si>
  <si>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</si>
  <si>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</si>
  <si>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</si>
  <si>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</si>
  <si>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</si>
  <si>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</si>
  <si>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</si>
  <si>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</si>
  <si>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</si>
  <si>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</si>
  <si>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</si>
  <si>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</si>
  <si>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</si>
  <si>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</si>
  <si>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</si>
  <si>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</si>
  <si>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</si>
  <si>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</si>
  <si>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</si>
  <si>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</si>
  <si>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</si>
  <si>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</si>
  <si>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</si>
  <si>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</si>
  <si>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</si>
  <si>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</si>
  <si>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</si>
  <si>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</si>
  <si>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</si>
  <si>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</si>
  <si>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</si>
  <si>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</si>
  <si>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</si>
  <si>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</si>
  <si>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</si>
  <si>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</si>
  <si>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</si>
  <si>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</si>
  <si>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</si>
  <si>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</si>
  <si>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</si>
  <si>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</si>
  <si>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</si>
  <si>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</si>
  <si>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</si>
  <si>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</si>
  <si>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</si>
  <si>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</si>
  <si>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</si>
  <si>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</si>
  <si>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</si>
  <si>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</si>
  <si>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</si>
  <si>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</si>
  <si>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</si>
  <si>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</si>
  <si>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</si>
  <si>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</si>
  <si>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</si>
  <si>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</si>
  <si>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</si>
  <si>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</si>
  <si>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</si>
  <si>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</si>
  <si>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</si>
  <si>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</si>
  <si>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</si>
  <si>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</si>
  <si>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</si>
  <si>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</si>
  <si>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</si>
  <si>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</si>
  <si>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</si>
  <si>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</si>
  <si>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</si>
  <si>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</si>
  <si>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</si>
  <si>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</si>
  <si>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</si>
  <si>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</si>
  <si>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</si>
  <si>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</si>
  <si>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</si>
  <si>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</si>
  <si>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</si>
  <si>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</si>
  <si>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</si>
  <si>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</si>
  <si>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</si>
  <si>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</si>
  <si>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</si>
  <si>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</si>
  <si>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</si>
  <si>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</si>
  <si>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</si>
  <si>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</si>
  <si>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</si>
  <si>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</si>
  <si>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</si>
  <si>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</si>
  <si>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</si>
  <si>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</si>
  <si>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</si>
  <si>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</si>
  <si>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</si>
  <si>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</si>
  <si>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</si>
  <si>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</si>
  <si>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</si>
  <si>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</si>
  <si>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</si>
  <si>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</si>
  <si>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</si>
  <si>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</si>
  <si>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</si>
  <si>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</si>
  <si>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</si>
  <si>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</si>
  <si>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</si>
  <si>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</si>
  <si>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</si>
  <si>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</si>
  <si>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</si>
  <si>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</si>
  <si>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</si>
  <si>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</si>
  <si>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</si>
  <si>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</si>
  <si>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</si>
  <si>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</si>
  <si>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</si>
  <si>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</si>
  <si>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</si>
  <si>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</si>
  <si>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</si>
  <si>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</si>
  <si>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</si>
  <si>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</si>
  <si>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</si>
  <si>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</si>
  <si>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</si>
  <si>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</si>
  <si>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</si>
  <si>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</si>
  <si>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</si>
  <si>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</si>
  <si>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</si>
  <si>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</si>
  <si>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</si>
  <si>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</si>
  <si>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</si>
  <si>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</si>
  <si>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</si>
  <si>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</si>
  <si>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</si>
  <si>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</si>
  <si>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</si>
  <si>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</si>
  <si>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</si>
  <si>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</si>
  <si>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</si>
  <si>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</si>
  <si>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</si>
  <si>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</si>
  <si>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</si>
  <si>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</si>
  <si>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</si>
  <si>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</si>
  <si>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</si>
  <si>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</si>
  <si>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</si>
  <si>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</si>
  <si>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</si>
  <si>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</si>
  <si>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</si>
  <si>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</si>
  <si>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</si>
  <si>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</si>
  <si>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</si>
  <si>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</si>
  <si>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</si>
  <si>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</si>
  <si>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</si>
  <si>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</si>
  <si>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</si>
  <si>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</si>
  <si>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</si>
  <si>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</si>
  <si>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</si>
  <si>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</si>
  <si>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</si>
  <si>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</si>
  <si>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</si>
  <si>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</si>
  <si>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</si>
  <si>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</si>
  <si>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</si>
  <si>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</si>
  <si>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</si>
  <si>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</si>
  <si>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</si>
  <si>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</si>
  <si>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</si>
  <si>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</si>
  <si>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</si>
  <si>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</si>
  <si>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</si>
  <si>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</si>
  <si>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</si>
  <si>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</si>
  <si>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</si>
  <si>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</si>
  <si>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</si>
  <si>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</si>
  <si>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</si>
  <si>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</si>
  <si>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</si>
  <si>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</si>
  <si>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</si>
  <si>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</si>
  <si>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</si>
  <si>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</si>
  <si>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</si>
  <si>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</si>
  <si>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</si>
  <si>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</si>
  <si>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</si>
  <si>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</si>
  <si>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</si>
  <si>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</si>
  <si>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</si>
  <si>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</si>
  <si>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</si>
  <si>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</si>
  <si>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</si>
  <si>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</si>
  <si>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</si>
  <si>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</si>
  <si>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</si>
  <si>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</si>
  <si>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</si>
  <si>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</si>
  <si>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</si>
  <si>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</si>
  <si>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</si>
  <si>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</si>
  <si>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</si>
  <si>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</si>
  <si>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</si>
  <si>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</si>
  <si>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</si>
  <si>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</si>
  <si>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</si>
  <si>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</si>
  <si>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</si>
  <si>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</si>
  <si>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</si>
  <si>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</si>
  <si>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</si>
  <si>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</si>
  <si>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</si>
  <si>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</si>
  <si>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</si>
  <si>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</si>
  <si>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</si>
  <si>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</si>
  <si>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</si>
  <si>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</si>
  <si>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</si>
  <si>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</si>
  <si>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</si>
  <si>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</si>
  <si>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</si>
  <si>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</si>
  <si>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</si>
  <si>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</si>
  <si>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</si>
  <si>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</si>
  <si>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</si>
  <si>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</si>
  <si>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</si>
  <si>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</si>
  <si>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</si>
  <si>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</si>
  <si>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</si>
  <si>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</si>
  <si>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</si>
  <si>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</si>
  <si>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</si>
  <si>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</si>
  <si>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</si>
  <si>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</si>
  <si>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</si>
  <si>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</si>
  <si>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</si>
  <si>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</si>
  <si>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</si>
  <si>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</si>
  <si>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</si>
  <si>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</si>
  <si>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</si>
  <si>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</si>
  <si>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</si>
  <si>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</si>
  <si>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</si>
  <si>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</si>
  <si>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</si>
  <si>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</si>
  <si>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</si>
  <si>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</si>
  <si>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</si>
  <si>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</si>
  <si>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</si>
  <si>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</si>
  <si>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</si>
  <si>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</si>
  <si>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</si>
  <si>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</si>
  <si>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</si>
  <si>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</si>
  <si>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</si>
  <si>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</si>
  <si>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</si>
  <si>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</si>
  <si>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</si>
  <si>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</si>
  <si>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</si>
  <si>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</si>
  <si>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</si>
  <si>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</si>
  <si>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</si>
  <si>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</si>
  <si>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</si>
  <si>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</si>
  <si>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</si>
  <si>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</si>
  <si>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</si>
  <si>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</si>
  <si>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</si>
  <si>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</si>
  <si>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</si>
  <si>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</si>
  <si>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</si>
  <si>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</si>
  <si>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</si>
  <si>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</si>
  <si>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</si>
  <si>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</si>
  <si>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</si>
  <si>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</si>
  <si>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</si>
  <si>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</si>
  <si>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</si>
  <si>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</si>
  <si>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</si>
  <si>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</si>
  <si>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</si>
  <si>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</si>
  <si>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</si>
  <si>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</si>
  <si>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</si>
  <si>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</si>
  <si>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</si>
  <si>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</si>
  <si>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</si>
  <si>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</si>
  <si>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</si>
  <si>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</si>
  <si>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</si>
  <si>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</si>
  <si>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</si>
  <si>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</si>
  <si>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</si>
  <si>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</si>
  <si>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</si>
  <si>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</si>
  <si>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</si>
  <si>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</si>
  <si>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</si>
  <si>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</si>
  <si>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</si>
  <si>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</si>
  <si>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</si>
  <si>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</si>
  <si>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</si>
  <si>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</si>
  <si>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</si>
  <si>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</si>
  <si>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</si>
  <si>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</si>
  <si>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</si>
  <si>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</si>
  <si>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</si>
  <si>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</si>
  <si>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</si>
  <si>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</si>
  <si>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</si>
  <si>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</si>
  <si>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</si>
  <si>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</si>
  <si>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</si>
  <si>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</si>
  <si>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</si>
  <si>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</si>
  <si>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</si>
  <si>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</si>
  <si>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</si>
  <si>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</si>
  <si>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</si>
  <si>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</si>
  <si>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</si>
  <si>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</si>
  <si>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</si>
  <si>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</si>
  <si>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</si>
  <si>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</si>
  <si>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</si>
  <si>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</si>
  <si>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</si>
  <si>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</si>
  <si>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</si>
  <si>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</si>
  <si>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</si>
  <si>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</si>
  <si>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</si>
  <si>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</si>
  <si>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</si>
  <si>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</si>
  <si>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</si>
  <si>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</si>
  <si>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</si>
  <si>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</si>
  <si>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</si>
  <si>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</si>
  <si>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</si>
  <si>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</si>
  <si>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</si>
  <si>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</si>
  <si>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</si>
  <si>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</si>
  <si>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</si>
  <si>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</si>
  <si>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</si>
  <si>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</si>
  <si>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</si>
  <si>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</si>
  <si>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</si>
  <si>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</si>
  <si>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</si>
  <si>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</si>
  <si>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</si>
  <si>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</si>
  <si>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</si>
  <si>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</si>
  <si>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</si>
  <si>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</si>
  <si>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</si>
  <si>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</si>
  <si>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</si>
  <si>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</si>
  <si>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</si>
  <si>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</si>
  <si>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</si>
  <si>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</si>
  <si>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</si>
  <si>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</si>
  <si>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</si>
  <si>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</si>
  <si>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</si>
  <si>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</si>
  <si>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</si>
  <si>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</si>
  <si>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</si>
  <si>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</si>
  <si>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</si>
  <si>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</si>
  <si>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</si>
  <si>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</si>
  <si>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</si>
  <si>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</si>
  <si>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</si>
  <si>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</si>
  <si>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</si>
  <si>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</si>
  <si>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</si>
  <si>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</si>
  <si>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</si>
  <si>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</si>
  <si>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</si>
  <si>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</si>
  <si>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</si>
  <si>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</si>
  <si>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</si>
  <si>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</si>
  <si>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</si>
  <si>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</si>
  <si>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</si>
  <si>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</si>
  <si>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</si>
  <si>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</si>
  <si>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</si>
  <si>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</si>
  <si>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</si>
  <si>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</si>
  <si>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</si>
  <si>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</si>
  <si>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</si>
  <si>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</si>
  <si>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</si>
  <si>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</si>
  <si>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</si>
  <si>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</si>
  <si>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</si>
  <si>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</si>
  <si>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</si>
  <si>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</si>
  <si>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</si>
  <si>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</si>
  <si>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</si>
  <si>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</si>
  <si>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</si>
  <si>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</si>
  <si>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</si>
  <si>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</si>
  <si>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</si>
  <si>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</si>
  <si>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</si>
  <si>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</si>
  <si>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</si>
  <si>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</si>
  <si>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</si>
  <si>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</si>
  <si>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</si>
  <si>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</si>
  <si>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</si>
  <si>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</si>
  <si>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</si>
  <si>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</si>
  <si>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</si>
  <si>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</si>
  <si>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</si>
  <si>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</si>
  <si>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</si>
  <si>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</si>
  <si>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</si>
  <si>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</si>
  <si>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</si>
  <si>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</si>
  <si>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</si>
  <si>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</si>
  <si>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</si>
  <si>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</si>
  <si>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</si>
  <si>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</si>
  <si>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</si>
  <si>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</si>
  <si>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</si>
  <si>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</si>
  <si>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</si>
  <si>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</si>
  <si>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</si>
  <si>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</si>
  <si>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</si>
  <si>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</si>
  <si>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</si>
  <si>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</si>
  <si>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</si>
  <si>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</si>
  <si>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</si>
  <si>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</si>
  <si>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</si>
  <si>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</si>
  <si>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</si>
  <si>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</si>
  <si>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</si>
  <si>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</si>
  <si>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</si>
  <si>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</si>
  <si>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</si>
  <si>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</si>
  <si>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</si>
  <si>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</si>
  <si>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</si>
  <si>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</si>
  <si>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</si>
  <si>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</si>
  <si>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</si>
  <si>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</si>
  <si>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</si>
  <si>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</si>
  <si>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</si>
  <si>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</si>
  <si>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</si>
  <si>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</si>
  <si>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</si>
  <si>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</si>
  <si>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</si>
  <si>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</si>
  <si>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</si>
  <si>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</si>
  <si>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</si>
  <si>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</si>
  <si>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</si>
  <si>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</si>
  <si>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</si>
  <si>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</si>
  <si>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</si>
  <si>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</si>
  <si>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</si>
  <si>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</si>
  <si>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</si>
  <si>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</si>
  <si>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</si>
  <si>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</si>
  <si>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</si>
  <si>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</si>
  <si>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</si>
  <si>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</si>
  <si>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</si>
  <si>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</si>
  <si>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</si>
  <si>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</si>
  <si>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</si>
  <si>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</si>
  <si>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</si>
  <si>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</si>
  <si>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</si>
  <si>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</si>
  <si>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</si>
  <si>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</si>
  <si>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</si>
  <si>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</si>
  <si>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</si>
  <si>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</si>
  <si>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</si>
  <si>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</si>
  <si>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</si>
  <si>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</si>
  <si>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</si>
  <si>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</si>
  <si>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</si>
  <si>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</si>
  <si>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</si>
  <si>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</si>
  <si>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</si>
  <si>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</si>
  <si>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</si>
  <si>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</si>
  <si>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</si>
  <si>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</si>
  <si>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</si>
  <si>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</si>
  <si>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</si>
  <si>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</si>
  <si>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</si>
  <si>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</si>
  <si>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</si>
  <si>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</si>
  <si>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</si>
  <si>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</si>
  <si>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</si>
  <si>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</si>
  <si>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</si>
  <si>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</si>
  <si>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</si>
  <si>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</si>
  <si>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</si>
  <si>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</si>
  <si>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</si>
  <si>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</si>
  <si>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</si>
  <si>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</si>
  <si>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</si>
  <si>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</si>
  <si>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</si>
  <si>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</si>
  <si>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</si>
  <si>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</si>
  <si>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</si>
  <si>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</si>
  <si>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</si>
  <si>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</si>
  <si>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</si>
  <si>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</si>
  <si>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</si>
  <si>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</si>
  <si>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</si>
  <si>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</si>
  <si>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</si>
  <si>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</si>
  <si>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</si>
  <si>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</si>
  <si>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</si>
  <si>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</si>
  <si>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</si>
  <si>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</si>
  <si>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</si>
  <si>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</si>
  <si>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</si>
  <si>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</si>
  <si>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</si>
  <si>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</si>
  <si>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</si>
  <si>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</si>
  <si>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</si>
  <si>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</si>
  <si>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</si>
  <si>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</si>
  <si>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</si>
  <si>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</si>
  <si>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</si>
  <si>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</si>
  <si>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</si>
  <si>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</si>
  <si>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</si>
  <si>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</si>
  <si>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</si>
  <si>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</si>
  <si>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</si>
  <si>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</si>
  <si>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</si>
  <si>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</si>
  <si>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</si>
  <si>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</si>
  <si>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</si>
  <si>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</si>
  <si>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</si>
  <si>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</si>
  <si>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</si>
  <si>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</si>
  <si>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</si>
  <si>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</si>
  <si>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</si>
  <si>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</si>
  <si>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</si>
  <si>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</si>
  <si>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</si>
  <si>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</si>
  <si>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</si>
  <si>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</si>
  <si>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</si>
  <si>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</si>
  <si>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</si>
  <si>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</si>
  <si>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</si>
  <si>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</si>
  <si>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</si>
  <si>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</si>
  <si>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</si>
  <si>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</si>
  <si>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</si>
  <si>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</si>
  <si>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</si>
  <si>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</si>
  <si>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</si>
  <si>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</si>
  <si>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</si>
  <si>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</si>
  <si>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</si>
  <si>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</si>
  <si>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</si>
  <si>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</si>
  <si>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</si>
  <si>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</si>
  <si>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</si>
  <si>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</si>
  <si>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</si>
  <si>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</si>
  <si>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</si>
  <si>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</si>
  <si>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</si>
  <si>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</si>
  <si>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</si>
  <si>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</si>
  <si>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</si>
  <si>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</si>
  <si>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</si>
  <si>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</si>
  <si>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</si>
  <si>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</si>
  <si>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</si>
  <si>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</si>
  <si>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</si>
  <si>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</si>
  <si>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</si>
  <si>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</si>
  <si>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</si>
  <si>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</si>
  <si>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</si>
  <si>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</si>
  <si>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</si>
  <si>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</si>
  <si>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</si>
  <si>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</si>
  <si>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</si>
  <si>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</si>
  <si>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</si>
  <si>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</si>
  <si>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</si>
  <si>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</si>
  <si>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</si>
  <si>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</si>
  <si>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</si>
  <si>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</si>
  <si>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</si>
  <si>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</si>
  <si>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</si>
  <si>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</si>
  <si>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</si>
  <si>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</si>
  <si>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</si>
  <si>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</si>
  <si>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</si>
  <si>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</si>
  <si>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</si>
  <si>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</si>
  <si>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</si>
  <si>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</si>
  <si>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</si>
  <si>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</si>
  <si>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</si>
  <si>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</si>
  <si>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</si>
  <si>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</si>
  <si>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</si>
  <si>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</si>
  <si>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</si>
  <si>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</si>
  <si>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</si>
  <si>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</si>
  <si>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</si>
  <si>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</si>
  <si>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</si>
  <si>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</si>
  <si>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</si>
  <si>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</si>
  <si>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</si>
  <si>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</si>
  <si>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</si>
  <si>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</si>
  <si>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</si>
  <si>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</si>
  <si>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</si>
  <si>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</si>
  <si>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</si>
  <si>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</si>
  <si>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</si>
  <si>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</si>
  <si>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</si>
  <si>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</si>
  <si>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</si>
  <si>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</si>
  <si>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</si>
  <si>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</si>
  <si>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</si>
  <si>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</si>
  <si>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</si>
  <si>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</si>
  <si>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</si>
  <si>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</si>
  <si>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</si>
  <si>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</si>
  <si>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</si>
  <si>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</si>
  <si>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</si>
  <si>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</si>
  <si>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</si>
  <si>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</si>
  <si>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</si>
  <si>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</si>
  <si>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</si>
  <si>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</si>
  <si>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</si>
  <si>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</si>
  <si>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</si>
  <si>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</si>
  <si>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</si>
  <si>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</si>
  <si>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</si>
  <si>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</si>
  <si>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</si>
  <si>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</si>
  <si>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</si>
  <si>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</si>
  <si>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</si>
  <si>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</si>
  <si>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</si>
  <si>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</si>
  <si>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</si>
  <si>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</si>
  <si>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</si>
  <si>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</si>
  <si>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</si>
  <si>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</si>
  <si>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</si>
  <si>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</si>
  <si>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</si>
  <si>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</si>
  <si>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</si>
  <si>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</si>
  <si>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</si>
  <si>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</si>
  <si>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</si>
  <si>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</si>
  <si>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</si>
  <si>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</si>
  <si>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</si>
  <si>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</si>
  <si>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</si>
  <si>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</si>
  <si>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</si>
  <si>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</si>
  <si>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</si>
  <si>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</si>
  <si>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</si>
  <si>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</si>
  <si>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</si>
  <si>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</si>
  <si>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</si>
  <si>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</si>
  <si>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</si>
  <si>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</si>
  <si>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</si>
  <si>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</si>
  <si>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</si>
  <si>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</si>
  <si>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</si>
  <si>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</si>
  <si>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</si>
  <si>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</si>
  <si>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</si>
  <si>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</si>
  <si>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</si>
  <si>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</si>
  <si>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</si>
  <si>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</si>
  <si>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</si>
  <si>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</si>
  <si>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</si>
  <si>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</si>
  <si>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</si>
  <si>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</si>
  <si>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</si>
  <si>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</si>
  <si>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</si>
  <si>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</si>
  <si>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</si>
  <si>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</si>
  <si>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</si>
  <si>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</si>
  <si>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</si>
  <si>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</si>
  <si>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</si>
  <si>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</si>
  <si>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</si>
  <si>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</si>
  <si>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</si>
  <si>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</si>
  <si>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</si>
  <si>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</si>
  <si>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</si>
  <si>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</si>
  <si>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</si>
  <si>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</si>
  <si>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</si>
  <si>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</si>
  <si>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</si>
  <si>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</si>
  <si>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</si>
  <si>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</si>
  <si>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</si>
  <si>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</si>
  <si>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</si>
  <si>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</si>
  <si>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</si>
  <si>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</si>
  <si>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</si>
  <si>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</si>
  <si>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</si>
  <si>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</si>
  <si>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</si>
  <si>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</si>
  <si>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</si>
  <si>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</si>
  <si>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</si>
  <si>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</si>
  <si>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</si>
  <si>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</si>
  <si>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</si>
  <si>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</si>
  <si>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</si>
  <si>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</si>
  <si>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</si>
  <si>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</si>
  <si>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</si>
  <si>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</si>
  <si>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</si>
  <si>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</si>
  <si>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</si>
  <si>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</si>
  <si>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</si>
  <si>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</si>
  <si>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</si>
  <si>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</si>
  <si>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</si>
  <si>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</si>
  <si>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</si>
  <si>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</si>
  <si>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</si>
  <si>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</si>
  <si>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</si>
  <si>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</si>
  <si>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</si>
  <si>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</si>
  <si>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</si>
  <si>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</si>
  <si>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</si>
  <si>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</si>
  <si>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</si>
  <si>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</si>
  <si>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</si>
  <si>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</si>
  <si>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</si>
  <si>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</si>
  <si>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</si>
  <si>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</si>
  <si>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</si>
  <si>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</si>
  <si>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</si>
  <si>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</si>
  <si>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</si>
  <si>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</si>
  <si>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</si>
  <si>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</si>
  <si>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</si>
  <si>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</si>
  <si>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</si>
  <si>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</si>
  <si>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</si>
  <si>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</si>
  <si>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</si>
  <si>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</si>
  <si>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</si>
  <si>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</si>
  <si>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</si>
  <si>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</si>
  <si>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</si>
  <si>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</si>
  <si>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</si>
  <si>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</si>
  <si>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</si>
  <si>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</si>
  <si>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</si>
  <si>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</si>
  <si>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</si>
  <si>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</si>
  <si>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</si>
  <si>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</si>
  <si>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</si>
  <si>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</si>
  <si>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</si>
  <si>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</si>
  <si>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</si>
  <si>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</si>
  <si>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</si>
  <si>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</si>
  <si>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</si>
  <si>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</si>
  <si>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</si>
  <si>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</si>
  <si>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</si>
  <si>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</si>
  <si>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</si>
  <si>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</si>
  <si>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</si>
  <si>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</si>
  <si>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</si>
  <si>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</si>
  <si>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</si>
  <si>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</si>
  <si>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</si>
  <si>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</si>
  <si>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</si>
  <si>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</si>
  <si>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</si>
  <si>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</si>
  <si>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</si>
  <si>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</si>
  <si>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</si>
  <si>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</si>
  <si>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</si>
  <si>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</si>
  <si>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</si>
  <si>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</si>
  <si>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</si>
  <si>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</si>
  <si>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</si>
  <si>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</si>
  <si>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</si>
  <si>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</si>
  <si>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</si>
  <si>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</si>
  <si>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</si>
  <si>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</si>
  <si>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</si>
  <si>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</si>
  <si>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</si>
  <si>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</si>
  <si>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</si>
  <si>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</si>
  <si>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</si>
  <si>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</si>
  <si>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</si>
  <si>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</si>
  <si>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</si>
  <si>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</si>
  <si>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</si>
  <si>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</si>
  <si>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</si>
  <si>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</si>
  <si>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</si>
  <si>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</si>
  <si>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</si>
  <si>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</si>
  <si>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</si>
  <si>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</si>
  <si>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</si>
  <si>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</si>
  <si>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</si>
  <si>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</si>
  <si>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</si>
  <si>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</si>
  <si>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</si>
  <si>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</si>
  <si>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</si>
  <si>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</si>
  <si>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</si>
  <si>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</si>
  <si>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</si>
  <si>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</si>
  <si>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</si>
  <si>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</si>
  <si>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</si>
  <si>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</si>
  <si>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</si>
  <si>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</si>
  <si>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</si>
  <si>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</si>
  <si>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</si>
  <si>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</si>
  <si>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</si>
  <si>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</si>
  <si>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</si>
  <si>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</si>
  <si>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</si>
  <si>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</si>
  <si>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</si>
  <si>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</si>
  <si>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</si>
  <si>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</si>
  <si>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</si>
  <si>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</si>
  <si>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</si>
  <si>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</si>
  <si>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</si>
  <si>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</si>
  <si>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</si>
  <si>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</si>
  <si>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</si>
  <si>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</si>
  <si>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</si>
  <si>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</si>
  <si>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</si>
  <si>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</si>
  <si>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</si>
  <si>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</si>
  <si>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</si>
  <si>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</si>
  <si>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</si>
  <si>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</si>
  <si>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</si>
  <si>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</si>
  <si>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</si>
  <si>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</si>
  <si>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</si>
  <si>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</si>
  <si>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</si>
  <si>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</si>
  <si>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</si>
  <si>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</si>
  <si>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</si>
  <si>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</si>
  <si>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</si>
  <si>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</si>
  <si>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</si>
  <si>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</si>
  <si>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</si>
  <si>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</si>
  <si>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</si>
  <si>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</si>
  <si>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</si>
  <si>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</si>
  <si>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</si>
  <si>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</si>
  <si>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</si>
  <si>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</si>
  <si>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</si>
  <si>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</si>
  <si>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</si>
  <si>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r>
      <t xml:space="preserve">GFL KR Battle Sim - JSON Creator </t>
    </r>
    <r>
      <rPr>
        <b/>
        <sz val="12"/>
        <rFont val="Calibri"/>
        <family val="2"/>
        <scheme val="minor"/>
      </rPr>
      <t>(last updated July 25, 2024)</t>
    </r>
  </si>
  <si>
    <t>equip-10000411</t>
  </si>
  <si>
    <t>equip-20000411</t>
  </si>
  <si>
    <t>119</t>
  </si>
  <si>
    <t>equip-30000411</t>
  </si>
  <si>
    <t>equip-10000413</t>
  </si>
  <si>
    <t>equip-20000413</t>
  </si>
  <si>
    <t>16,22</t>
  </si>
  <si>
    <t>294</t>
  </si>
  <si>
    <t>equip-30000413</t>
  </si>
  <si>
    <t>1002201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</si>
</sst>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8980</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8559</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8724</v>
      </c>
      <c r="E80" s="241"/>
      <c r="F80" s="240" t="s">
        <v>8723</v>
      </c>
      <c r="G80" s="241"/>
      <c r="H80" s="240" t="s">
        <v>8251</v>
      </c>
      <c r="I80" s="241"/>
      <c r="J80" s="240" t="s">
        <v>8252</v>
      </c>
      <c r="K80" s="241"/>
      <c r="L80" s="240" t="s">
        <v>8862</v>
      </c>
      <c r="M80" s="241"/>
      <c r="N80" s="240" t="s">
        <v>8863</v>
      </c>
      <c r="O80" s="241"/>
      <c r="P80" s="240" t="s">
        <v>8864</v>
      </c>
      <c r="Q80" s="241"/>
      <c r="R80" s="240" t="s">
        <v>8865</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8832</v>
      </c>
      <c r="E82" s="272">
        <v>10</v>
      </c>
      <c r="F82" s="271" t="s">
        <v>8298</v>
      </c>
      <c r="G82" s="272">
        <v>10</v>
      </c>
      <c r="H82" s="271" t="s">
        <v>8849</v>
      </c>
      <c r="I82" s="272">
        <v>10</v>
      </c>
      <c r="J82" s="271" t="s">
        <v>8302</v>
      </c>
      <c r="K82" s="272">
        <v>10</v>
      </c>
      <c r="L82" s="271" t="s">
        <v>8292</v>
      </c>
      <c r="M82" s="272">
        <v>10</v>
      </c>
      <c r="N82" s="271" t="s">
        <v>637</v>
      </c>
      <c r="O82" s="272">
        <v>10</v>
      </c>
      <c r="P82" s="271" t="s">
        <v>8857</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8723</v>
      </c>
      <c r="C87" s="241"/>
      <c r="D87" s="240" t="s">
        <v>8724</v>
      </c>
      <c r="E87" s="241"/>
      <c r="F87" s="240" t="s">
        <v>8251</v>
      </c>
      <c r="G87" s="241"/>
      <c r="H87" s="240" t="s">
        <v>8724</v>
      </c>
      <c r="I87" s="241"/>
      <c r="J87" s="240" t="s">
        <v>8252</v>
      </c>
      <c r="K87" s="241"/>
      <c r="L87" s="240" t="s">
        <v>8862</v>
      </c>
      <c r="M87" s="241"/>
      <c r="N87" s="240" t="s">
        <v>8863</v>
      </c>
      <c r="O87" s="241"/>
      <c r="P87" s="240" t="s">
        <v>8864</v>
      </c>
      <c r="Q87" s="241"/>
      <c r="R87" s="240" t="s">
        <v>8865</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8849</v>
      </c>
      <c r="E89" s="138">
        <v>10</v>
      </c>
      <c r="F89" s="266" t="s">
        <v>8852</v>
      </c>
      <c r="G89" s="138">
        <v>10</v>
      </c>
      <c r="H89" s="266" t="s">
        <v>8832</v>
      </c>
      <c r="I89" s="138">
        <v>10</v>
      </c>
      <c r="J89" s="266" t="s">
        <v>8302</v>
      </c>
      <c r="K89" s="138">
        <v>10</v>
      </c>
      <c r="L89" s="266" t="s">
        <v>8292</v>
      </c>
      <c r="M89" s="138">
        <v>10</v>
      </c>
      <c r="N89" s="266" t="s">
        <v>637</v>
      </c>
      <c r="O89" s="138">
        <v>10</v>
      </c>
      <c r="P89" s="266" t="s">
        <v>8857</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60"/>
      <c r="B109" s="151">
        <v>11</v>
      </c>
      <c r="C109" s="150" t="s">
        <v>8000</v>
      </c>
      <c r="D109" s="217"/>
      <c r="E109" s="217"/>
      <c r="F109" s="218"/>
      <c r="G109" s="217"/>
      <c r="H109" s="217"/>
      <c r="I109" s="218"/>
      <c r="J109" s="275"/>
      <c r="K109" s="217"/>
      <c r="L109" s="217"/>
      <c r="M109" s="217"/>
      <c r="N109" s="217"/>
      <c r="O109" s="217"/>
      <c r="P109" s="217"/>
      <c r="Q109" s="217"/>
      <c r="R109" s="217"/>
      <c r="S109" s="218"/>
    </row>
    <row r="110" spans="1:19" outlineLevel="1" x14ac:dyDescent="0.3"/>
    <row r="111" spans="1:19" outlineLevel="1" x14ac:dyDescent="0.3">
      <c r="A111" s="143" t="s">
        <v>1773</v>
      </c>
    </row>
    <row r="112" spans="1:19" outlineLevel="1" x14ac:dyDescent="0.3">
      <c r="A112" s="144"/>
      <c r="B112" s="171"/>
      <c r="C112" s="205"/>
      <c r="D112" s="145" t="s">
        <v>1765</v>
      </c>
      <c r="E112" s="145"/>
      <c r="F112" s="145"/>
      <c r="G112" s="146"/>
      <c r="H112" s="145" t="s">
        <v>768</v>
      </c>
      <c r="I112" s="145"/>
      <c r="J112" s="145"/>
      <c r="K112" s="146"/>
      <c r="L112" s="145" t="s">
        <v>1031</v>
      </c>
      <c r="M112" s="146"/>
      <c r="N112" s="167" t="s">
        <v>1766</v>
      </c>
    </row>
    <row r="113" spans="1:16" outlineLevel="1" x14ac:dyDescent="0.3">
      <c r="A113" s="148" t="s">
        <v>852</v>
      </c>
      <c r="B113" s="151" t="s">
        <v>1030</v>
      </c>
      <c r="C113" s="150" t="s">
        <v>8</v>
      </c>
      <c r="D113" s="149" t="s">
        <v>18</v>
      </c>
      <c r="E113" s="149" t="s">
        <v>6873</v>
      </c>
      <c r="F113" s="149" t="s">
        <v>6874</v>
      </c>
      <c r="G113" s="150" t="s">
        <v>60</v>
      </c>
      <c r="H113" s="149">
        <v>1</v>
      </c>
      <c r="I113" s="149">
        <v>2</v>
      </c>
      <c r="J113" s="149">
        <v>3</v>
      </c>
      <c r="K113" s="150">
        <v>4</v>
      </c>
      <c r="L113" s="149">
        <v>1</v>
      </c>
      <c r="M113" s="150">
        <v>2</v>
      </c>
      <c r="N113" s="182" t="s">
        <v>1771</v>
      </c>
    </row>
    <row r="114" spans="1:16" outlineLevel="1" x14ac:dyDescent="0.3">
      <c r="A114" s="209"/>
      <c r="B114" s="210">
        <v>1</v>
      </c>
      <c r="C114" s="211" t="s">
        <v>1695</v>
      </c>
      <c r="D114" s="153">
        <v>100</v>
      </c>
      <c r="E114" s="153">
        <v>5</v>
      </c>
      <c r="F114" s="153">
        <v>4</v>
      </c>
      <c r="G114" s="154">
        <v>100</v>
      </c>
      <c r="H114" s="152">
        <v>10</v>
      </c>
      <c r="I114" s="153">
        <v>10</v>
      </c>
      <c r="J114" s="153">
        <v>5</v>
      </c>
      <c r="K114" s="154">
        <v>5</v>
      </c>
      <c r="L114" s="153"/>
      <c r="M114" s="154"/>
      <c r="N114" s="212">
        <v>100</v>
      </c>
      <c r="P114" s="183"/>
    </row>
    <row r="115" spans="1:16" outlineLevel="1" x14ac:dyDescent="0.3">
      <c r="A115" s="180"/>
      <c r="B115" s="155">
        <v>2</v>
      </c>
      <c r="C115" s="204" t="s">
        <v>978</v>
      </c>
      <c r="D115" s="157">
        <v>100</v>
      </c>
      <c r="E115" s="157">
        <v>5</v>
      </c>
      <c r="F115" s="157">
        <v>4</v>
      </c>
      <c r="G115" s="159">
        <v>100</v>
      </c>
      <c r="H115" s="156">
        <v>10</v>
      </c>
      <c r="I115" s="157">
        <v>10</v>
      </c>
      <c r="J115" s="157">
        <v>5</v>
      </c>
      <c r="K115" s="159">
        <v>5</v>
      </c>
      <c r="L115" s="157"/>
      <c r="M115" s="159"/>
      <c r="N115" s="213">
        <v>102</v>
      </c>
    </row>
    <row r="116" spans="1:16" outlineLevel="1" x14ac:dyDescent="0.3">
      <c r="A116" s="180"/>
      <c r="B116" s="155">
        <v>3</v>
      </c>
      <c r="C116" s="204" t="s">
        <v>981</v>
      </c>
      <c r="D116" s="157">
        <v>100</v>
      </c>
      <c r="E116" s="157">
        <v>5</v>
      </c>
      <c r="F116" s="157">
        <v>4</v>
      </c>
      <c r="G116" s="159">
        <v>100</v>
      </c>
      <c r="H116" s="156">
        <v>10</v>
      </c>
      <c r="I116" s="157">
        <v>10</v>
      </c>
      <c r="J116" s="157">
        <v>5</v>
      </c>
      <c r="K116" s="159">
        <v>5</v>
      </c>
      <c r="L116" s="157"/>
      <c r="M116" s="159"/>
      <c r="N116" s="213">
        <v>104</v>
      </c>
    </row>
    <row r="117" spans="1:16" outlineLevel="1" x14ac:dyDescent="0.3">
      <c r="A117" s="180"/>
      <c r="B117" s="155">
        <v>4</v>
      </c>
      <c r="C117" s="204" t="s">
        <v>987</v>
      </c>
      <c r="D117" s="157">
        <v>100</v>
      </c>
      <c r="E117" s="157">
        <v>5</v>
      </c>
      <c r="F117" s="157">
        <v>4</v>
      </c>
      <c r="G117" s="159">
        <v>100</v>
      </c>
      <c r="H117" s="156">
        <v>10</v>
      </c>
      <c r="I117" s="157">
        <v>10</v>
      </c>
      <c r="J117" s="157">
        <v>5</v>
      </c>
      <c r="K117" s="159">
        <v>5</v>
      </c>
      <c r="L117" s="157"/>
      <c r="M117" s="159"/>
      <c r="N117" s="213">
        <v>105</v>
      </c>
    </row>
    <row r="118" spans="1:16" outlineLevel="1" x14ac:dyDescent="0.3">
      <c r="A118" s="180"/>
      <c r="B118" s="155">
        <v>5</v>
      </c>
      <c r="C118" s="204" t="s">
        <v>986</v>
      </c>
      <c r="D118" s="157">
        <v>100</v>
      </c>
      <c r="E118" s="157">
        <v>5</v>
      </c>
      <c r="F118" s="157">
        <v>4</v>
      </c>
      <c r="G118" s="159">
        <v>100</v>
      </c>
      <c r="H118" s="156">
        <v>10</v>
      </c>
      <c r="I118" s="157">
        <v>10</v>
      </c>
      <c r="J118" s="157">
        <v>5</v>
      </c>
      <c r="K118" s="159">
        <v>5</v>
      </c>
      <c r="L118" s="157"/>
      <c r="M118" s="159"/>
      <c r="N118" s="213">
        <v>106</v>
      </c>
    </row>
    <row r="119" spans="1:16" outlineLevel="1" x14ac:dyDescent="0.3">
      <c r="A119" s="177"/>
      <c r="B119" s="149">
        <v>6</v>
      </c>
      <c r="C119" s="150" t="s">
        <v>6922</v>
      </c>
      <c r="D119" s="161">
        <v>100</v>
      </c>
      <c r="E119" s="161">
        <v>5</v>
      </c>
      <c r="F119" s="161">
        <v>4</v>
      </c>
      <c r="G119" s="138">
        <v>100</v>
      </c>
      <c r="H119" s="160">
        <v>10</v>
      </c>
      <c r="I119" s="161">
        <v>10</v>
      </c>
      <c r="J119" s="161">
        <v>5</v>
      </c>
      <c r="K119" s="138">
        <v>5</v>
      </c>
      <c r="L119" s="161"/>
      <c r="M119" s="138"/>
      <c r="N119" s="214">
        <v>101</v>
      </c>
    </row>
    <row r="120" spans="1:16" s="170" customFormat="1" outlineLevel="1" x14ac:dyDescent="0.3"/>
    <row r="121" spans="1:16" s="170" customFormat="1" x14ac:dyDescent="0.3"/>
    <row r="122" spans="1:16" ht="18" x14ac:dyDescent="0.35">
      <c r="A122" s="141" t="s">
        <v>8355</v>
      </c>
    </row>
    <row r="123" spans="1:16" outlineLevel="1" x14ac:dyDescent="0.3">
      <c r="A123" s="143" t="s">
        <v>8548</v>
      </c>
      <c r="B123" s="143"/>
      <c r="C123" s="143"/>
      <c r="E123" s="183"/>
    </row>
    <row r="124" spans="1:16" outlineLevel="1" x14ac:dyDescent="0.3">
      <c r="A124" s="173" t="s">
        <v>8546</v>
      </c>
      <c r="B124" s="165" t="s">
        <v>782</v>
      </c>
      <c r="C124" s="166" t="s">
        <v>768</v>
      </c>
      <c r="D124" s="165" t="s">
        <v>6590</v>
      </c>
      <c r="E124" s="166" t="s">
        <v>768</v>
      </c>
      <c r="F124" s="165" t="s">
        <v>7094</v>
      </c>
      <c r="G124" s="166" t="s">
        <v>1766</v>
      </c>
      <c r="H124" s="165" t="s">
        <v>8547</v>
      </c>
      <c r="I124" s="166" t="s">
        <v>1766</v>
      </c>
    </row>
    <row r="125" spans="1:16" outlineLevel="1" x14ac:dyDescent="0.3">
      <c r="A125" s="198">
        <v>1</v>
      </c>
      <c r="B125" s="174"/>
      <c r="C125" s="159"/>
      <c r="D125" s="174"/>
      <c r="E125" s="159"/>
      <c r="F125" s="174"/>
      <c r="G125" s="159"/>
      <c r="H125" s="174"/>
      <c r="I125" s="159"/>
    </row>
    <row r="126" spans="1:16" outlineLevel="1" x14ac:dyDescent="0.3">
      <c r="A126" s="198">
        <v>2</v>
      </c>
      <c r="B126" s="175"/>
      <c r="C126" s="159"/>
      <c r="D126" s="175"/>
      <c r="E126" s="159"/>
      <c r="F126" s="175"/>
      <c r="G126" s="159"/>
      <c r="H126" s="175"/>
      <c r="I126" s="159"/>
    </row>
    <row r="127" spans="1:16" outlineLevel="1" x14ac:dyDescent="0.3">
      <c r="A127" s="151">
        <v>3</v>
      </c>
      <c r="B127" s="176"/>
      <c r="C127" s="138"/>
      <c r="D127" s="176"/>
      <c r="E127" s="138"/>
      <c r="F127" s="176"/>
      <c r="G127" s="138"/>
      <c r="H127" s="176"/>
      <c r="I127" s="138"/>
    </row>
    <row r="128" spans="1:16" outlineLevel="1" x14ac:dyDescent="0.3">
      <c r="A128" s="170"/>
      <c r="B128" s="170"/>
      <c r="C128"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disablePrompts="1"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8752</v>
      </c>
      <c r="I1" t="s">
        <v>8</v>
      </c>
      <c r="J1" t="s">
        <v>8829</v>
      </c>
      <c r="K1" t="s">
        <v>700</v>
      </c>
    </row>
    <row r="2" spans="1:11" x14ac:dyDescent="0.3">
      <c r="A2" t="s">
        <v>1777</v>
      </c>
      <c r="B2" t="s">
        <v>8748</v>
      </c>
      <c r="C2" t="s">
        <v>955</v>
      </c>
      <c r="D2" t="s">
        <v>8749</v>
      </c>
      <c r="E2" t="s">
        <v>8750</v>
      </c>
      <c r="F2" t="s">
        <v>8751</v>
      </c>
      <c r="H2" t="s">
        <v>8753</v>
      </c>
      <c r="I2" t="s">
        <v>8312</v>
      </c>
      <c r="J2">
        <v>220183</v>
      </c>
      <c r="K2" t="s">
        <v>8754</v>
      </c>
    </row>
    <row r="3" spans="1:11" x14ac:dyDescent="0.3">
      <c r="A3" t="s">
        <v>8186</v>
      </c>
      <c r="B3">
        <v>24</v>
      </c>
      <c r="C3">
        <v>28</v>
      </c>
      <c r="D3">
        <v>33</v>
      </c>
      <c r="E3">
        <v>38</v>
      </c>
      <c r="F3">
        <v>48</v>
      </c>
      <c r="H3" t="s">
        <v>8753</v>
      </c>
      <c r="I3" t="s">
        <v>8311</v>
      </c>
      <c r="J3">
        <v>770037</v>
      </c>
      <c r="K3" t="s">
        <v>8755</v>
      </c>
    </row>
    <row r="4" spans="1:11" x14ac:dyDescent="0.3">
      <c r="A4" t="s">
        <v>8187</v>
      </c>
      <c r="B4">
        <v>24</v>
      </c>
      <c r="C4">
        <v>28</v>
      </c>
      <c r="D4">
        <v>33</v>
      </c>
      <c r="E4">
        <v>38</v>
      </c>
      <c r="F4">
        <v>48</v>
      </c>
      <c r="H4" t="s">
        <v>8753</v>
      </c>
      <c r="I4" t="s">
        <v>8756</v>
      </c>
      <c r="J4">
        <v>770104</v>
      </c>
      <c r="K4" t="s">
        <v>8757</v>
      </c>
    </row>
    <row r="5" spans="1:11" x14ac:dyDescent="0.3">
      <c r="A5" t="s">
        <v>8188</v>
      </c>
      <c r="B5">
        <v>8</v>
      </c>
      <c r="C5">
        <v>9</v>
      </c>
      <c r="D5">
        <v>11</v>
      </c>
      <c r="E5">
        <v>12</v>
      </c>
      <c r="F5">
        <v>16</v>
      </c>
      <c r="H5" t="s">
        <v>8753</v>
      </c>
      <c r="I5" t="s">
        <v>8758</v>
      </c>
      <c r="J5">
        <v>770040</v>
      </c>
      <c r="K5" t="s">
        <v>8759</v>
      </c>
    </row>
    <row r="6" spans="1:11" x14ac:dyDescent="0.3">
      <c r="A6" t="s">
        <v>7737</v>
      </c>
      <c r="B6">
        <v>16</v>
      </c>
      <c r="C6">
        <v>19</v>
      </c>
      <c r="D6">
        <v>22</v>
      </c>
      <c r="E6">
        <v>25</v>
      </c>
      <c r="F6">
        <v>32</v>
      </c>
      <c r="H6" t="s">
        <v>8753</v>
      </c>
      <c r="I6" t="s">
        <v>8760</v>
      </c>
      <c r="J6">
        <v>770114</v>
      </c>
      <c r="K6" t="s">
        <v>8761</v>
      </c>
    </row>
    <row r="7" spans="1:11" x14ac:dyDescent="0.3">
      <c r="A7" t="s">
        <v>877</v>
      </c>
      <c r="B7">
        <v>5</v>
      </c>
      <c r="C7">
        <v>6</v>
      </c>
      <c r="D7">
        <v>7</v>
      </c>
      <c r="E7">
        <v>8</v>
      </c>
      <c r="F7">
        <v>10</v>
      </c>
      <c r="H7" t="s">
        <v>8753</v>
      </c>
      <c r="I7" t="s">
        <v>8762</v>
      </c>
      <c r="J7">
        <v>770039</v>
      </c>
      <c r="K7" t="s">
        <v>8763</v>
      </c>
    </row>
    <row r="8" spans="1:11" x14ac:dyDescent="0.3">
      <c r="A8" t="s">
        <v>38</v>
      </c>
      <c r="B8">
        <v>5</v>
      </c>
      <c r="C8">
        <v>6</v>
      </c>
      <c r="D8">
        <v>7</v>
      </c>
      <c r="E8">
        <v>8</v>
      </c>
      <c r="F8">
        <v>10</v>
      </c>
      <c r="H8" t="s">
        <v>8753</v>
      </c>
      <c r="I8" t="s">
        <v>8764</v>
      </c>
      <c r="J8">
        <v>770041</v>
      </c>
      <c r="K8" t="s">
        <v>8765</v>
      </c>
    </row>
    <row r="9" spans="1:11" x14ac:dyDescent="0.3">
      <c r="A9" t="s">
        <v>277</v>
      </c>
      <c r="B9">
        <v>2</v>
      </c>
      <c r="C9">
        <v>3</v>
      </c>
      <c r="D9">
        <v>4</v>
      </c>
      <c r="E9">
        <v>5</v>
      </c>
      <c r="F9">
        <v>6</v>
      </c>
      <c r="H9" t="s">
        <v>8766</v>
      </c>
      <c r="I9" t="s">
        <v>8767</v>
      </c>
      <c r="J9">
        <v>770093</v>
      </c>
      <c r="K9" t="s">
        <v>8768</v>
      </c>
    </row>
    <row r="10" spans="1:11" x14ac:dyDescent="0.3">
      <c r="A10" t="s">
        <v>39</v>
      </c>
      <c r="B10">
        <v>2</v>
      </c>
      <c r="C10">
        <v>3</v>
      </c>
      <c r="D10">
        <v>4</v>
      </c>
      <c r="E10">
        <v>5</v>
      </c>
      <c r="F10">
        <v>6</v>
      </c>
      <c r="H10" t="s">
        <v>8766</v>
      </c>
      <c r="I10" t="s">
        <v>8769</v>
      </c>
      <c r="J10">
        <v>770092</v>
      </c>
      <c r="K10" t="s">
        <v>8770</v>
      </c>
    </row>
    <row r="11" spans="1:11" x14ac:dyDescent="0.3">
      <c r="A11" t="s">
        <v>8267</v>
      </c>
      <c r="B11">
        <v>10</v>
      </c>
      <c r="C11">
        <v>12</v>
      </c>
      <c r="D11">
        <v>14</v>
      </c>
      <c r="E11">
        <v>16</v>
      </c>
      <c r="F11">
        <v>20</v>
      </c>
      <c r="H11" t="s">
        <v>8766</v>
      </c>
      <c r="I11" t="s">
        <v>8771</v>
      </c>
      <c r="J11">
        <v>770028</v>
      </c>
      <c r="K11" t="s">
        <v>8772</v>
      </c>
    </row>
    <row r="12" spans="1:11" x14ac:dyDescent="0.3">
      <c r="A12" t="s">
        <v>8268</v>
      </c>
      <c r="B12">
        <v>10</v>
      </c>
      <c r="C12">
        <v>12</v>
      </c>
      <c r="D12">
        <v>14</v>
      </c>
      <c r="E12">
        <v>16</v>
      </c>
      <c r="F12">
        <v>20</v>
      </c>
      <c r="H12" t="s">
        <v>8766</v>
      </c>
      <c r="I12" t="s">
        <v>8773</v>
      </c>
      <c r="J12">
        <v>770100</v>
      </c>
      <c r="K12" t="s">
        <v>8774</v>
      </c>
    </row>
    <row r="13" spans="1:11" x14ac:dyDescent="0.3">
      <c r="A13" t="s">
        <v>8190</v>
      </c>
      <c r="B13">
        <v>13</v>
      </c>
      <c r="C13">
        <v>15</v>
      </c>
      <c r="D13">
        <v>18</v>
      </c>
      <c r="E13">
        <v>20</v>
      </c>
      <c r="F13">
        <v>26</v>
      </c>
      <c r="H13" t="s">
        <v>8766</v>
      </c>
      <c r="I13" t="s">
        <v>8316</v>
      </c>
      <c r="J13">
        <v>770026</v>
      </c>
      <c r="K13" t="s">
        <v>8775</v>
      </c>
    </row>
    <row r="14" spans="1:11" x14ac:dyDescent="0.3">
      <c r="A14" t="s">
        <v>8191</v>
      </c>
      <c r="B14">
        <v>38</v>
      </c>
      <c r="C14">
        <v>45</v>
      </c>
      <c r="D14">
        <v>53</v>
      </c>
      <c r="E14">
        <v>60</v>
      </c>
      <c r="F14">
        <v>76</v>
      </c>
      <c r="H14" t="s">
        <v>8766</v>
      </c>
      <c r="I14" t="s">
        <v>8776</v>
      </c>
      <c r="J14">
        <v>220182</v>
      </c>
      <c r="K14" t="s">
        <v>8777</v>
      </c>
    </row>
    <row r="15" spans="1:11" x14ac:dyDescent="0.3">
      <c r="A15" t="s">
        <v>8189</v>
      </c>
      <c r="B15">
        <v>19</v>
      </c>
      <c r="C15">
        <v>22</v>
      </c>
      <c r="D15">
        <v>26</v>
      </c>
      <c r="E15">
        <v>30</v>
      </c>
      <c r="F15">
        <v>38</v>
      </c>
      <c r="H15" t="s">
        <v>8766</v>
      </c>
      <c r="I15" t="s">
        <v>8315</v>
      </c>
      <c r="J15">
        <v>770030</v>
      </c>
      <c r="K15" t="s">
        <v>8778</v>
      </c>
    </row>
    <row r="16" spans="1:11" x14ac:dyDescent="0.3">
      <c r="A16" t="s">
        <v>1797</v>
      </c>
      <c r="B16" t="s">
        <v>8321</v>
      </c>
      <c r="C16" t="s">
        <v>8321</v>
      </c>
      <c r="D16" t="s">
        <v>8321</v>
      </c>
      <c r="E16" t="s">
        <v>8321</v>
      </c>
      <c r="F16" t="s">
        <v>8321</v>
      </c>
      <c r="H16" t="s">
        <v>8766</v>
      </c>
      <c r="I16" t="s">
        <v>8779</v>
      </c>
      <c r="J16">
        <v>770032</v>
      </c>
      <c r="K16" t="s">
        <v>8780</v>
      </c>
    </row>
    <row r="17" spans="8:11" x14ac:dyDescent="0.3">
      <c r="H17" t="s">
        <v>8766</v>
      </c>
      <c r="I17" t="s">
        <v>8781</v>
      </c>
      <c r="J17">
        <v>770034</v>
      </c>
      <c r="K17" t="s">
        <v>8782</v>
      </c>
    </row>
    <row r="18" spans="8:11" x14ac:dyDescent="0.3">
      <c r="H18" t="s">
        <v>639</v>
      </c>
      <c r="I18" t="s">
        <v>8783</v>
      </c>
      <c r="J18">
        <v>770024</v>
      </c>
      <c r="K18" t="s">
        <v>8784</v>
      </c>
    </row>
    <row r="19" spans="8:11" x14ac:dyDescent="0.3">
      <c r="H19" t="s">
        <v>639</v>
      </c>
      <c r="I19" t="s">
        <v>7379</v>
      </c>
      <c r="J19">
        <v>770109</v>
      </c>
      <c r="K19" t="s">
        <v>8785</v>
      </c>
    </row>
    <row r="20" spans="8:11" x14ac:dyDescent="0.3">
      <c r="H20" t="s">
        <v>639</v>
      </c>
      <c r="I20" t="s">
        <v>8786</v>
      </c>
      <c r="J20">
        <v>770091</v>
      </c>
      <c r="K20" t="s">
        <v>8787</v>
      </c>
    </row>
    <row r="21" spans="8:11" x14ac:dyDescent="0.3">
      <c r="H21" t="s">
        <v>639</v>
      </c>
      <c r="I21" t="s">
        <v>8318</v>
      </c>
      <c r="J21">
        <v>770090</v>
      </c>
      <c r="K21" t="s">
        <v>8788</v>
      </c>
    </row>
    <row r="22" spans="8:11" x14ac:dyDescent="0.3">
      <c r="H22" t="s">
        <v>639</v>
      </c>
      <c r="I22" t="s">
        <v>8789</v>
      </c>
      <c r="J22">
        <v>770107</v>
      </c>
      <c r="K22" t="s">
        <v>8790</v>
      </c>
    </row>
    <row r="23" spans="8:11" x14ac:dyDescent="0.3">
      <c r="H23" t="s">
        <v>639</v>
      </c>
      <c r="I23" t="s">
        <v>8791</v>
      </c>
      <c r="J23">
        <v>770096</v>
      </c>
      <c r="K23" t="s">
        <v>8792</v>
      </c>
    </row>
    <row r="24" spans="8:11" x14ac:dyDescent="0.3">
      <c r="H24" t="s">
        <v>639</v>
      </c>
      <c r="I24" t="s">
        <v>8793</v>
      </c>
      <c r="J24">
        <v>770014</v>
      </c>
      <c r="K24" t="s">
        <v>8794</v>
      </c>
    </row>
    <row r="25" spans="8:11" x14ac:dyDescent="0.3">
      <c r="H25" t="s">
        <v>639</v>
      </c>
      <c r="I25" t="s">
        <v>8317</v>
      </c>
      <c r="J25">
        <v>770016</v>
      </c>
      <c r="K25" t="s">
        <v>8795</v>
      </c>
    </row>
    <row r="26" spans="8:11" x14ac:dyDescent="0.3">
      <c r="H26" t="s">
        <v>639</v>
      </c>
      <c r="I26" t="s">
        <v>8796</v>
      </c>
      <c r="J26">
        <v>770019</v>
      </c>
      <c r="K26" t="s">
        <v>8797</v>
      </c>
    </row>
    <row r="27" spans="8:11" x14ac:dyDescent="0.3">
      <c r="H27" t="s">
        <v>8296</v>
      </c>
      <c r="I27" t="s">
        <v>8798</v>
      </c>
      <c r="J27">
        <v>220173</v>
      </c>
      <c r="K27" t="s">
        <v>8799</v>
      </c>
    </row>
    <row r="28" spans="8:11" x14ac:dyDescent="0.3">
      <c r="H28" t="s">
        <v>8296</v>
      </c>
      <c r="I28" t="s">
        <v>8800</v>
      </c>
      <c r="J28">
        <v>220181</v>
      </c>
      <c r="K28" t="s">
        <v>8801</v>
      </c>
    </row>
    <row r="29" spans="8:11" x14ac:dyDescent="0.3">
      <c r="H29" t="s">
        <v>8296</v>
      </c>
      <c r="I29" t="s">
        <v>8802</v>
      </c>
      <c r="J29">
        <v>220175</v>
      </c>
      <c r="K29" t="s">
        <v>8803</v>
      </c>
    </row>
    <row r="30" spans="8:11" x14ac:dyDescent="0.3">
      <c r="H30" t="s">
        <v>8296</v>
      </c>
      <c r="I30" t="s">
        <v>8319</v>
      </c>
      <c r="J30">
        <v>220167</v>
      </c>
      <c r="K30" t="s">
        <v>8804</v>
      </c>
    </row>
    <row r="31" spans="8:11" x14ac:dyDescent="0.3">
      <c r="H31" t="s">
        <v>8296</v>
      </c>
      <c r="I31" t="s">
        <v>8805</v>
      </c>
      <c r="J31">
        <v>220185</v>
      </c>
      <c r="K31" t="s">
        <v>8806</v>
      </c>
    </row>
    <row r="32" spans="8:11" x14ac:dyDescent="0.3">
      <c r="H32" t="s">
        <v>8296</v>
      </c>
      <c r="I32" t="s">
        <v>8807</v>
      </c>
      <c r="J32">
        <v>220180</v>
      </c>
      <c r="K32" t="s">
        <v>8808</v>
      </c>
    </row>
    <row r="33" spans="8:11" x14ac:dyDescent="0.3">
      <c r="H33" t="s">
        <v>8297</v>
      </c>
      <c r="I33" t="s">
        <v>8809</v>
      </c>
      <c r="J33">
        <v>770038</v>
      </c>
      <c r="K33" t="s">
        <v>8810</v>
      </c>
    </row>
    <row r="34" spans="8:11" x14ac:dyDescent="0.3">
      <c r="H34" t="s">
        <v>8297</v>
      </c>
      <c r="I34" t="s">
        <v>8811</v>
      </c>
      <c r="J34">
        <v>770036</v>
      </c>
      <c r="K34" t="s">
        <v>8812</v>
      </c>
    </row>
    <row r="35" spans="8:11" x14ac:dyDescent="0.3">
      <c r="H35" t="s">
        <v>8297</v>
      </c>
      <c r="I35" t="s">
        <v>8320</v>
      </c>
      <c r="J35">
        <v>770113</v>
      </c>
      <c r="K35" t="s">
        <v>8813</v>
      </c>
    </row>
    <row r="36" spans="8:11" x14ac:dyDescent="0.3">
      <c r="H36" t="s">
        <v>8297</v>
      </c>
      <c r="I36" t="s">
        <v>7335</v>
      </c>
      <c r="J36">
        <v>770106</v>
      </c>
      <c r="K36" t="s">
        <v>8814</v>
      </c>
    </row>
    <row r="37" spans="8:11" x14ac:dyDescent="0.3">
      <c r="H37" t="s">
        <v>8297</v>
      </c>
      <c r="I37" t="s">
        <v>8815</v>
      </c>
      <c r="J37">
        <v>220187</v>
      </c>
      <c r="K37" t="s">
        <v>8816</v>
      </c>
    </row>
    <row r="38" spans="8:11" x14ac:dyDescent="0.3">
      <c r="H38" t="s">
        <v>8297</v>
      </c>
      <c r="I38" t="s">
        <v>8817</v>
      </c>
      <c r="J38">
        <v>770125</v>
      </c>
      <c r="K38" t="s">
        <v>8818</v>
      </c>
    </row>
    <row r="39" spans="8:11" x14ac:dyDescent="0.3">
      <c r="H39" t="s">
        <v>8748</v>
      </c>
      <c r="I39" t="s">
        <v>8819</v>
      </c>
      <c r="J39">
        <v>770084</v>
      </c>
      <c r="K39" t="s">
        <v>8820</v>
      </c>
    </row>
    <row r="40" spans="8:11" x14ac:dyDescent="0.3">
      <c r="H40" t="s">
        <v>8748</v>
      </c>
      <c r="I40" t="s">
        <v>8821</v>
      </c>
      <c r="J40">
        <v>770081</v>
      </c>
      <c r="K40" t="s">
        <v>8822</v>
      </c>
    </row>
    <row r="41" spans="8:11" x14ac:dyDescent="0.3">
      <c r="H41" t="s">
        <v>8748</v>
      </c>
      <c r="I41" t="s">
        <v>8313</v>
      </c>
      <c r="J41">
        <v>770045</v>
      </c>
      <c r="K41" t="s">
        <v>8823</v>
      </c>
    </row>
    <row r="42" spans="8:11" x14ac:dyDescent="0.3">
      <c r="H42" t="s">
        <v>8748</v>
      </c>
      <c r="I42" t="s">
        <v>8824</v>
      </c>
      <c r="J42">
        <v>770082</v>
      </c>
      <c r="K42" t="s">
        <v>8825</v>
      </c>
    </row>
    <row r="43" spans="8:11" x14ac:dyDescent="0.3">
      <c r="H43" t="s">
        <v>8748</v>
      </c>
      <c r="I43" t="s">
        <v>8314</v>
      </c>
      <c r="J43">
        <v>770046</v>
      </c>
      <c r="K43" t="s">
        <v>8826</v>
      </c>
    </row>
    <row r="44" spans="8:11" x14ac:dyDescent="0.3">
      <c r="H44" t="s">
        <v>8748</v>
      </c>
      <c r="I44" t="s">
        <v>8827</v>
      </c>
      <c r="J44">
        <v>770047</v>
      </c>
      <c r="K44" t="s">
        <v>8828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8">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49" t="str">
        <f>IF(Main!A109&lt;&gt;"X","",10000+Main!B109)</f>
        <v/>
      </c>
      <c r="B12" s="249">
        <v>1234567</v>
      </c>
      <c r="C12" s="249">
        <v>1019</v>
      </c>
      <c r="D12" s="249">
        <f>VLOOKUP(E12,'Exp Tables'!$I$3:$K$102,3,FALSE)</f>
        <v>15000000</v>
      </c>
      <c r="E12" s="249">
        <v>100</v>
      </c>
      <c r="F12" s="249">
        <v>5</v>
      </c>
      <c r="G12" s="249">
        <v>10</v>
      </c>
      <c r="H12" s="249">
        <v>100</v>
      </c>
      <c r="I12" s="249">
        <v>0</v>
      </c>
      <c r="J12" s="249">
        <v>10</v>
      </c>
      <c r="K12" s="249">
        <v>10</v>
      </c>
      <c r="L12" s="250">
        <v>0</v>
      </c>
      <c r="M12" s="250">
        <v>0</v>
      </c>
      <c r="N12" s="250">
        <v>0</v>
      </c>
      <c r="O12" s="250">
        <v>0</v>
      </c>
      <c r="P12" s="250">
        <v>0</v>
      </c>
      <c r="Q12" s="250">
        <v>0</v>
      </c>
      <c r="R12" s="250">
        <v>0</v>
      </c>
      <c r="S12" s="250">
        <v>0</v>
      </c>
      <c r="T12" s="250">
        <v>0</v>
      </c>
      <c r="U12" s="250">
        <v>0</v>
      </c>
      <c r="V12" s="250">
        <v>0</v>
      </c>
      <c r="W12" s="250">
        <v>0</v>
      </c>
      <c r="X12" s="250">
        <v>0</v>
      </c>
      <c r="Y12" s="250">
        <v>0</v>
      </c>
    </row>
    <row r="13" spans="1:34" x14ac:dyDescent="0.3">
      <c r="A13" s="253" t="str">
        <f>IF(OR(Main!F75="",Main!G75="",Main!B75=""),"",10000+90)</f>
        <v/>
      </c>
      <c r="B13" s="253">
        <v>1234567</v>
      </c>
      <c r="C13" s="253">
        <v>1001</v>
      </c>
      <c r="D13" s="253">
        <f>VLOOKUP(E13,'Exp Tables'!$I$3:$K$102,3,FALSE)</f>
        <v>15000000</v>
      </c>
      <c r="E13" s="253">
        <f>Main!F75</f>
        <v>100</v>
      </c>
      <c r="F13" s="253">
        <f>Main!G75</f>
        <v>5</v>
      </c>
      <c r="G13" s="253">
        <v>0</v>
      </c>
      <c r="H13" s="253">
        <v>100</v>
      </c>
      <c r="I13" s="253">
        <v>0</v>
      </c>
      <c r="J13" s="253">
        <v>10</v>
      </c>
      <c r="K13" s="253">
        <v>10</v>
      </c>
      <c r="L13" s="254">
        <v>0</v>
      </c>
      <c r="M13" s="254">
        <v>0</v>
      </c>
      <c r="N13" s="254">
        <v>0</v>
      </c>
      <c r="O13" s="254">
        <v>0</v>
      </c>
      <c r="P13" s="254">
        <v>0</v>
      </c>
      <c r="Q13" s="254">
        <v>0</v>
      </c>
      <c r="R13" s="254">
        <v>0</v>
      </c>
      <c r="S13" s="254">
        <v>0</v>
      </c>
      <c r="T13" s="253">
        <v>1</v>
      </c>
      <c r="U13" s="253">
        <v>1</v>
      </c>
      <c r="V13" s="253">
        <v>1</v>
      </c>
      <c r="W13" s="253">
        <v>0</v>
      </c>
      <c r="X13" s="253">
        <v>0</v>
      </c>
      <c r="Y13" s="253">
        <v>0</v>
      </c>
      <c r="Z13" s="1"/>
      <c r="AA13" s="1"/>
      <c r="AB13" s="1"/>
      <c r="AC13" s="1"/>
      <c r="AD13" s="1"/>
      <c r="AE13" s="1"/>
      <c r="AF13" s="1"/>
      <c r="AG13" s="1"/>
      <c r="AH13" s="1"/>
    </row>
    <row r="14" spans="1:34" x14ac:dyDescent="0.3">
      <c r="A14" s="243" t="str">
        <f>IF(OR(Main!H75="",Main!I75="",Main!B76=""),"",10000+91)</f>
        <v/>
      </c>
      <c r="B14" s="243">
        <v>1234567</v>
      </c>
      <c r="C14" s="243">
        <v>1002</v>
      </c>
      <c r="D14" s="243">
        <f>VLOOKUP(E14,'Exp Tables'!$I$3:$K$102,3,FALSE)</f>
        <v>15000000</v>
      </c>
      <c r="E14" s="243">
        <f>Main!H75</f>
        <v>100</v>
      </c>
      <c r="F14" s="243">
        <f>Main!I75</f>
        <v>5</v>
      </c>
      <c r="G14" s="243">
        <v>0</v>
      </c>
      <c r="H14" s="243">
        <v>100</v>
      </c>
      <c r="I14" s="243">
        <v>0</v>
      </c>
      <c r="J14" s="243">
        <v>10</v>
      </c>
      <c r="K14" s="243">
        <v>10</v>
      </c>
      <c r="L14" s="255">
        <v>0</v>
      </c>
      <c r="M14" s="255">
        <v>0</v>
      </c>
      <c r="N14" s="255">
        <v>0</v>
      </c>
      <c r="O14" s="255">
        <v>0</v>
      </c>
      <c r="P14" s="255">
        <v>0</v>
      </c>
      <c r="Q14" s="255">
        <v>0</v>
      </c>
      <c r="R14" s="255">
        <v>0</v>
      </c>
      <c r="S14" s="255">
        <v>0</v>
      </c>
      <c r="T14" s="243">
        <v>1</v>
      </c>
      <c r="U14" s="243">
        <v>1</v>
      </c>
      <c r="V14" s="243">
        <v>1</v>
      </c>
      <c r="W14" s="243">
        <v>0</v>
      </c>
      <c r="X14" s="243">
        <v>0</v>
      </c>
      <c r="Y14" s="243">
        <v>0</v>
      </c>
      <c r="Z14" s="1"/>
      <c r="AA14" s="1"/>
      <c r="AB14" s="1"/>
      <c r="AC14" s="1"/>
      <c r="AD14" s="1"/>
      <c r="AE14" s="1"/>
      <c r="AF14" s="1"/>
      <c r="AG14" s="1"/>
      <c r="AH14" s="1"/>
    </row>
    <row r="15" spans="1:34" x14ac:dyDescent="0.3">
      <c r="A15" s="251" t="str">
        <f>IF(OR(Main!J75&lt;&gt;"HOC",Main!K75="",Main!M75="",Main!B75=""),"",10000+92)</f>
        <v/>
      </c>
      <c r="B15" s="251">
        <v>1234567</v>
      </c>
      <c r="C15" s="251">
        <v>1003</v>
      </c>
      <c r="D15" s="251">
        <f>VLOOKUP(E15,'Exp Tables'!$I$3:$K$102,3,FALSE)</f>
        <v>15000000</v>
      </c>
      <c r="E15" s="251">
        <f>Main!K75</f>
        <v>100</v>
      </c>
      <c r="F15" s="251">
        <f>Main!M75</f>
        <v>5</v>
      </c>
      <c r="G15" s="251">
        <v>0</v>
      </c>
      <c r="H15" s="251">
        <v>100</v>
      </c>
      <c r="I15" s="251">
        <v>0</v>
      </c>
      <c r="J15" s="251">
        <v>10</v>
      </c>
      <c r="K15" s="251">
        <v>10</v>
      </c>
      <c r="L15" s="256">
        <v>0</v>
      </c>
      <c r="M15" s="256">
        <v>0</v>
      </c>
      <c r="N15" s="256">
        <v>0</v>
      </c>
      <c r="O15" s="256">
        <v>0</v>
      </c>
      <c r="P15" s="256">
        <v>0</v>
      </c>
      <c r="Q15" s="256">
        <v>0</v>
      </c>
      <c r="R15" s="256">
        <v>0</v>
      </c>
      <c r="S15" s="256">
        <v>0</v>
      </c>
      <c r="T15" s="251">
        <v>1</v>
      </c>
      <c r="U15" s="251">
        <v>1</v>
      </c>
      <c r="V15" s="251">
        <v>1</v>
      </c>
      <c r="W15" s="251">
        <v>0</v>
      </c>
      <c r="X15" s="251">
        <v>0</v>
      </c>
      <c r="Y15" s="251">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4.4" x14ac:dyDescent="0.3"/>
  <sheetData>
    <row r="1" spans="1:4" x14ac:dyDescent="0.3">
      <c r="A1" s="85" t="s">
        <v>26</v>
      </c>
      <c r="B1" s="85" t="s">
        <v>1101</v>
      </c>
      <c r="C1" s="85" t="s">
        <v>8371</v>
      </c>
      <c r="D1" s="85" t="s">
        <v>8372</v>
      </c>
    </row>
    <row r="2" spans="1:4" x14ac:dyDescent="0.3">
      <c r="A2" s="181" t="str">
        <f>IF(INDEX(Main!$A$99:$A$108,MATCH(LEFT(B2,LEN(B2)-3)*1,Main!$B$99:$B$108,0))="X",1234567,"")</f>
        <v/>
      </c>
      <c r="B2" s="181">
        <v>1001</v>
      </c>
      <c r="C2" s="181">
        <f>MAX(INDEX('Exp Tables'!$AI$3:$AN$22,MATCH(D2,'Exp Tables'!$AB$3:$AB$22,0),MATCH(INDEX('HOC Chip Data'!O:O,MATCH(B2,'HOC Chip Data'!A:A,0)),'Exp Tables'!$AI$2:$AN$2,0))-
INDEX('HOC Chip Data'!O:O,MATCH(B2,'HOC Chip Data'!A:A,0))*25,0)</f>
        <v>4700</v>
      </c>
      <c r="D2" s="181">
        <f>INDEX(Main!$J$99:$S$108,MATCH(LEFT(B2,LEN(B2)-3)*1,Main!$B$99:$B$108,0),MATCH("Chip "&amp;RIGHT(B2,3)*1,Main!$J$98:$S$98,0))</f>
        <v>20</v>
      </c>
    </row>
    <row r="3" spans="1:4" x14ac:dyDescent="0.3">
      <c r="A3" s="1" t="str">
        <f>IF(INDEX(Main!$A$99:$A$108,MATCH(LEFT(B3,LEN(B3)-3)*1,Main!$B$99:$B$108,0))="X",1234567,"")</f>
        <v/>
      </c>
      <c r="B3" s="1">
        <f t="shared" ref="B3:B11" si="0">B2+1</f>
        <v>1002</v>
      </c>
      <c r="C3" s="1">
        <f>MAX(INDEX('Exp Tables'!$AI$3:$AN$22,MATCH(D3,'Exp Tables'!$AB$3:$AB$22,0),MATCH(INDEX('HOC Chip Data'!O:O,MATCH(B3,'HOC Chip Data'!A:A,0)),'Exp Tables'!$AI$2:$AN$2,0))-
INDEX('HOC Chip Data'!O:O,MATCH(B3,'HOC Chip Data'!A:A,0))*25,0)</f>
        <v>7050</v>
      </c>
      <c r="D3" s="1">
        <f>INDEX(Main!$J$99:$S$108,MATCH(LEFT(B3,LEN(B3)-3)*1,Main!$B$99:$B$108,0),MATCH("Chip "&amp;RIGHT(B3,3)*1,Main!$J$98:$S$98,0))</f>
        <v>20</v>
      </c>
    </row>
    <row r="4" spans="1:4" x14ac:dyDescent="0.3">
      <c r="A4" s="1" t="str">
        <f>IF(INDEX(Main!$A$99:$A$108,MATCH(LEFT(B4,LEN(B4)-3)*1,Main!$B$99:$B$108,0))="X",1234567,"")</f>
        <v/>
      </c>
      <c r="B4" s="1">
        <f t="shared" si="0"/>
        <v>1003</v>
      </c>
      <c r="C4" s="1">
        <f>MAX(INDEX('Exp Tables'!$AI$3:$AN$22,MATCH(D4,'Exp Tables'!$AB$3:$AB$22,0),MATCH(INDEX('HOC Chip Data'!O:O,MATCH(B4,'HOC Chip Data'!A:A,0)),'Exp Tables'!$AI$2:$AN$2,0))-
INDEX('HOC Chip Data'!O:O,MATCH(B4,'HOC Chip Data'!A:A,0))*25,0)</f>
        <v>4700</v>
      </c>
      <c r="D4" s="1">
        <f>INDEX(Main!$J$99:$S$108,MATCH(LEFT(B4,LEN(B4)-3)*1,Main!$B$99:$B$108,0),MATCH("Chip "&amp;RIGHT(B4,3)*1,Main!$J$98:$S$98,0))</f>
        <v>20</v>
      </c>
    </row>
    <row r="5" spans="1:4" x14ac:dyDescent="0.3">
      <c r="A5" s="1" t="str">
        <f>IF(INDEX(Main!$A$99:$A$108,MATCH(LEFT(B5,LEN(B5)-3)*1,Main!$B$99:$B$108,0))="X",1234567,"")</f>
        <v/>
      </c>
      <c r="B5" s="1">
        <f t="shared" si="0"/>
        <v>1004</v>
      </c>
      <c r="C5" s="1">
        <f>MAX(INDEX('Exp Tables'!$AI$3:$AN$22,MATCH(D5,'Exp Tables'!$AB$3:$AB$22,0),MATCH(INDEX('HOC Chip Data'!O:O,MATCH(B5,'HOC Chip Data'!A:A,0)),'Exp Tables'!$AI$2:$AN$2,0))-
INDEX('HOC Chip Data'!O:O,MATCH(B5,'HOC Chip Data'!A:A,0))*25,0)</f>
        <v>2350</v>
      </c>
      <c r="D5" s="1">
        <f>INDEX(Main!$J$99:$S$108,MATCH(LEFT(B5,LEN(B5)-3)*1,Main!$B$99:$B$108,0),MATCH("Chip "&amp;RIGHT(B5,3)*1,Main!$J$98:$S$98,0))</f>
        <v>20</v>
      </c>
    </row>
    <row r="6" spans="1:4" x14ac:dyDescent="0.3">
      <c r="A6" s="1" t="str">
        <f>IF(INDEX(Main!$A$99:$A$108,MATCH(LEFT(B6,LEN(B6)-3)*1,Main!$B$99:$B$108,0))="X",1234567,"")</f>
        <v/>
      </c>
      <c r="B6" s="1">
        <f t="shared" si="0"/>
        <v>1005</v>
      </c>
      <c r="C6" s="1">
        <f>MAX(INDEX('Exp Tables'!$AI$3:$AN$22,MATCH(D6,'Exp Tables'!$AB$3:$AB$22,0),MATCH(INDEX('HOC Chip Data'!O:O,MATCH(B6,'HOC Chip Data'!A:A,0)),'Exp Tables'!$AI$2:$AN$2,0))-
INDEX('HOC Chip Data'!O:O,MATCH(B6,'HOC Chip Data'!A:A,0))*25,0)</f>
        <v>2350</v>
      </c>
      <c r="D6" s="1">
        <f>INDEX(Main!$J$99:$S$108,MATCH(LEFT(B6,LEN(B6)-3)*1,Main!$B$99:$B$108,0),MATCH("Chip "&amp;RIGHT(B6,3)*1,Main!$J$98:$S$98,0))</f>
        <v>20</v>
      </c>
    </row>
    <row r="7" spans="1:4" x14ac:dyDescent="0.3">
      <c r="A7" s="1" t="str">
        <f>IF(INDEX(Main!$A$99:$A$108,MATCH(LEFT(B7,LEN(B7)-3)*1,Main!$B$99:$B$108,0))="X",1234567,"")</f>
        <v/>
      </c>
      <c r="B7" s="1">
        <f t="shared" si="0"/>
        <v>1006</v>
      </c>
      <c r="C7" s="1">
        <f>MAX(INDEX('Exp Tables'!$AI$3:$AN$22,MATCH(D7,'Exp Tables'!$AB$3:$AB$22,0),MATCH(INDEX('HOC Chip Data'!O:O,MATCH(B7,'HOC Chip Data'!A:A,0)),'Exp Tables'!$AI$2:$AN$2,0))-
INDEX('HOC Chip Data'!O:O,MATCH(B7,'HOC Chip Data'!A:A,0))*25,0)</f>
        <v>4700</v>
      </c>
      <c r="D7" s="1">
        <f>INDEX(Main!$J$99:$S$108,MATCH(LEFT(B7,LEN(B7)-3)*1,Main!$B$99:$B$108,0),MATCH("Chip "&amp;RIGHT(B7,3)*1,Main!$J$98:$S$98,0))</f>
        <v>20</v>
      </c>
    </row>
    <row r="8" spans="1:4" x14ac:dyDescent="0.3">
      <c r="A8" s="1" t="str">
        <f>IF(INDEX(Main!$A$99:$A$108,MATCH(LEFT(B8,LEN(B8)-3)*1,Main!$B$99:$B$108,0))="X",1234567,"")</f>
        <v/>
      </c>
      <c r="B8" s="1">
        <f t="shared" si="0"/>
        <v>1007</v>
      </c>
      <c r="C8" s="1">
        <f>MAX(INDEX('Exp Tables'!$AI$3:$AN$22,MATCH(D8,'Exp Tables'!$AB$3:$AB$22,0),MATCH(INDEX('HOC Chip Data'!O:O,MATCH(B8,'HOC Chip Data'!A:A,0)),'Exp Tables'!$AI$2:$AN$2,0))-
INDEX('HOC Chip Data'!O:O,MATCH(B8,'HOC Chip Data'!A:A,0))*25,0)</f>
        <v>4700</v>
      </c>
      <c r="D8" s="1">
        <f>INDEX(Main!$J$99:$S$108,MATCH(LEFT(B8,LEN(B8)-3)*1,Main!$B$99:$B$108,0),MATCH("Chip "&amp;RIGHT(B8,3)*1,Main!$J$98:$S$98,0))</f>
        <v>20</v>
      </c>
    </row>
    <row r="9" spans="1:4" x14ac:dyDescent="0.3">
      <c r="A9" s="1" t="str">
        <f>IF(INDEX(Main!$A$99:$A$108,MATCH(LEFT(B9,LEN(B9)-3)*1,Main!$B$99:$B$108,0))="X",1234567,"")</f>
        <v/>
      </c>
      <c r="B9" s="1">
        <f t="shared" si="0"/>
        <v>1008</v>
      </c>
      <c r="C9" s="1">
        <f>MAX(INDEX('Exp Tables'!$AI$3:$AN$22,MATCH(D9,'Exp Tables'!$AB$3:$AB$22,0),MATCH(INDEX('HOC Chip Data'!O:O,MATCH(B9,'HOC Chip Data'!A:A,0)),'Exp Tables'!$AI$2:$AN$2,0))-
INDEX('HOC Chip Data'!O:O,MATCH(B9,'HOC Chip Data'!A:A,0))*25,0)</f>
        <v>4700</v>
      </c>
      <c r="D9" s="1">
        <f>INDEX(Main!$J$99:$S$108,MATCH(LEFT(B9,LEN(B9)-3)*1,Main!$B$99:$B$108,0),MATCH("Chip "&amp;RIGHT(B9,3)*1,Main!$J$98:$S$98,0))</f>
        <v>20</v>
      </c>
    </row>
    <row r="10" spans="1:4" x14ac:dyDescent="0.3">
      <c r="A10" s="1" t="str">
        <f>IF(INDEX(Main!$A$99:$A$108,MATCH(LEFT(B10,LEN(B10)-3)*1,Main!$B$99:$B$108,0))="X",1234567,"")</f>
        <v/>
      </c>
      <c r="B10" s="1">
        <f t="shared" si="0"/>
        <v>1009</v>
      </c>
      <c r="C10" s="1">
        <f>MAX(INDEX('Exp Tables'!$AI$3:$AN$22,MATCH(D10,'Exp Tables'!$AB$3:$AB$22,0),MATCH(INDEX('HOC Chip Data'!O:O,MATCH(B10,'HOC Chip Data'!A:A,0)),'Exp Tables'!$AI$2:$AN$2,0))-
INDEX('HOC Chip Data'!O:O,MATCH(B10,'HOC Chip Data'!A:A,0))*25,0)</f>
        <v>4700</v>
      </c>
      <c r="D10" s="1">
        <f>INDEX(Main!$J$99:$S$108,MATCH(LEFT(B10,LEN(B10)-3)*1,Main!$B$99:$B$108,0),MATCH("Chip "&amp;RIGHT(B10,3)*1,Main!$J$98:$S$98,0))</f>
        <v>20</v>
      </c>
    </row>
    <row r="11" spans="1:4" x14ac:dyDescent="0.3">
      <c r="A11" s="45" t="str">
        <f>IF(INDEX(Main!$A$99:$A$108,MATCH(LEFT(B11,LEN(B11)-3)*1,Main!$B$99:$B$108,0))="X",1234567,"")</f>
        <v/>
      </c>
      <c r="B11" s="45">
        <f t="shared" si="0"/>
        <v>1010</v>
      </c>
      <c r="C11" s="45">
        <f>MAX(INDEX('Exp Tables'!$AI$3:$AN$22,MATCH(D11,'Exp Tables'!$AB$3:$AB$22,0),MATCH(INDEX('HOC Chip Data'!O:O,MATCH(B11,'HOC Chip Data'!A:A,0)),'Exp Tables'!$AI$2:$AN$2,0))-
INDEX('HOC Chip Data'!O:O,MATCH(B11,'HOC Chip Data'!A:A,0))*25,0)</f>
        <v>2350</v>
      </c>
      <c r="D11" s="45">
        <f>INDEX(Main!$J$99:$S$108,MATCH(LEFT(B11,LEN(B11)-3)*1,Main!$B$99:$B$108,0),MATCH("Chip "&amp;RIGHT(B11,3)*1,Main!$J$98:$S$98,0))</f>
        <v>20</v>
      </c>
    </row>
    <row r="12" spans="1:4" x14ac:dyDescent="0.3">
      <c r="A12" s="181" t="str">
        <f>IF(INDEX(Main!$A$99:$A$108,MATCH(LEFT(B12,LEN(B12)-3)*1,Main!$B$99:$B$108,0))="X",1234567,"")</f>
        <v/>
      </c>
      <c r="B12" s="181">
        <f>B2+1000</f>
        <v>2001</v>
      </c>
      <c r="C12" s="181">
        <f>MAX(INDEX('Exp Tables'!$AI$3:$AN$22,MATCH(D12,'Exp Tables'!$AB$3:$AB$22,0),MATCH(INDEX('HOC Chip Data'!O:O,MATCH(B12,'HOC Chip Data'!A:A,0)),'Exp Tables'!$AI$2:$AN$2,0))-
INDEX('HOC Chip Data'!O:O,MATCH(B12,'HOC Chip Data'!A:A,0))*25,0)</f>
        <v>4700</v>
      </c>
      <c r="D12" s="181">
        <f>INDEX(Main!$J$99:$S$108,MATCH(LEFT(B12,LEN(B12)-3)*1,Main!$B$99:$B$108,0),MATCH("Chip "&amp;RIGHT(B12,3)*1,Main!$J$98:$S$98,0))</f>
        <v>20</v>
      </c>
    </row>
    <row r="13" spans="1:4" x14ac:dyDescent="0.3">
      <c r="A13" s="1" t="str">
        <f>IF(INDEX(Main!$A$99:$A$108,MATCH(LEFT(B13,LEN(B13)-3)*1,Main!$B$99:$B$108,0))="X",1234567,"")</f>
        <v/>
      </c>
      <c r="B13" s="1">
        <f t="shared" ref="B13:B76" si="1">B3+1000</f>
        <v>2002</v>
      </c>
      <c r="C13" s="1">
        <f>MAX(INDEX('Exp Tables'!$AI$3:$AN$22,MATCH(D13,'Exp Tables'!$AB$3:$AB$22,0),MATCH(INDEX('HOC Chip Data'!O:O,MATCH(B13,'HOC Chip Data'!A:A,0)),'Exp Tables'!$AI$2:$AN$2,0))-
INDEX('HOC Chip Data'!O:O,MATCH(B13,'HOC Chip Data'!A:A,0))*25,0)</f>
        <v>4700</v>
      </c>
      <c r="D13" s="1">
        <f>INDEX(Main!$J$99:$S$108,MATCH(LEFT(B13,LEN(B13)-3)*1,Main!$B$99:$B$108,0),MATCH("Chip "&amp;RIGHT(B13,3)*1,Main!$J$98:$S$98,0))</f>
        <v>20</v>
      </c>
    </row>
    <row r="14" spans="1:4" x14ac:dyDescent="0.3">
      <c r="A14" s="1" t="str">
        <f>IF(INDEX(Main!$A$99:$A$108,MATCH(LEFT(B14,LEN(B14)-3)*1,Main!$B$99:$B$108,0))="X",1234567,"")</f>
        <v/>
      </c>
      <c r="B14" s="1">
        <f t="shared" si="1"/>
        <v>2003</v>
      </c>
      <c r="C14" s="1">
        <f>MAX(INDEX('Exp Tables'!$AI$3:$AN$22,MATCH(D14,'Exp Tables'!$AB$3:$AB$22,0),MATCH(INDEX('HOC Chip Data'!O:O,MATCH(B14,'HOC Chip Data'!A:A,0)),'Exp Tables'!$AI$2:$AN$2,0))-
INDEX('HOC Chip Data'!O:O,MATCH(B14,'HOC Chip Data'!A:A,0))*25,0)</f>
        <v>5875</v>
      </c>
      <c r="D14" s="1">
        <f>INDEX(Main!$J$99:$S$108,MATCH(LEFT(B14,LEN(B14)-3)*1,Main!$B$99:$B$108,0),MATCH("Chip "&amp;RIGHT(B14,3)*1,Main!$J$98:$S$98,0))</f>
        <v>20</v>
      </c>
    </row>
    <row r="15" spans="1:4" x14ac:dyDescent="0.3">
      <c r="A15" s="1" t="str">
        <f>IF(INDEX(Main!$A$99:$A$108,MATCH(LEFT(B15,LEN(B15)-3)*1,Main!$B$99:$B$108,0))="X",1234567,"")</f>
        <v/>
      </c>
      <c r="B15" s="1">
        <f t="shared" si="1"/>
        <v>2004</v>
      </c>
      <c r="C15" s="1">
        <f>MAX(INDEX('Exp Tables'!$AI$3:$AN$22,MATCH(D15,'Exp Tables'!$AB$3:$AB$22,0),MATCH(INDEX('HOC Chip Data'!O:O,MATCH(B15,'HOC Chip Data'!A:A,0)),'Exp Tables'!$AI$2:$AN$2,0))-
INDEX('HOC Chip Data'!O:O,MATCH(B15,'HOC Chip Data'!A:A,0))*25,0)</f>
        <v>3525</v>
      </c>
      <c r="D15" s="1">
        <f>INDEX(Main!$J$99:$S$108,MATCH(LEFT(B15,LEN(B15)-3)*1,Main!$B$99:$B$108,0),MATCH("Chip "&amp;RIGHT(B15,3)*1,Main!$J$98:$S$98,0))</f>
        <v>20</v>
      </c>
    </row>
    <row r="16" spans="1:4" x14ac:dyDescent="0.3">
      <c r="A16" s="1" t="str">
        <f>IF(INDEX(Main!$A$99:$A$108,MATCH(LEFT(B16,LEN(B16)-3)*1,Main!$B$99:$B$108,0))="X",1234567,"")</f>
        <v/>
      </c>
      <c r="B16" s="1">
        <f t="shared" si="1"/>
        <v>2005</v>
      </c>
      <c r="C16" s="1">
        <f>MAX(INDEX('Exp Tables'!$AI$3:$AN$22,MATCH(D16,'Exp Tables'!$AB$3:$AB$22,0),MATCH(INDEX('HOC Chip Data'!O:O,MATCH(B16,'HOC Chip Data'!A:A,0)),'Exp Tables'!$AI$2:$AN$2,0))-
INDEX('HOC Chip Data'!O:O,MATCH(B16,'HOC Chip Data'!A:A,0))*25,0)</f>
        <v>7050</v>
      </c>
      <c r="D16" s="1">
        <f>INDEX(Main!$J$99:$S$108,MATCH(LEFT(B16,LEN(B16)-3)*1,Main!$B$99:$B$108,0),MATCH("Chip "&amp;RIGHT(B16,3)*1,Main!$J$98:$S$98,0))</f>
        <v>20</v>
      </c>
    </row>
    <row r="17" spans="1:4" x14ac:dyDescent="0.3">
      <c r="A17" s="1" t="str">
        <f>IF(INDEX(Main!$A$99:$A$108,MATCH(LEFT(B17,LEN(B17)-3)*1,Main!$B$99:$B$108,0))="X",1234567,"")</f>
        <v/>
      </c>
      <c r="B17" s="1">
        <f t="shared" si="1"/>
        <v>2006</v>
      </c>
      <c r="C17" s="1">
        <f>MAX(INDEX('Exp Tables'!$AI$3:$AN$22,MATCH(D17,'Exp Tables'!$AB$3:$AB$22,0),MATCH(INDEX('HOC Chip Data'!O:O,MATCH(B17,'HOC Chip Data'!A:A,0)),'Exp Tables'!$AI$2:$AN$2,0))-
INDEX('HOC Chip Data'!O:O,MATCH(B17,'HOC Chip Data'!A:A,0))*25,0)</f>
        <v>7050</v>
      </c>
      <c r="D17" s="1">
        <f>INDEX(Main!$J$99:$S$108,MATCH(LEFT(B17,LEN(B17)-3)*1,Main!$B$99:$B$108,0),MATCH("Chip "&amp;RIGHT(B17,3)*1,Main!$J$98:$S$98,0))</f>
        <v>20</v>
      </c>
    </row>
    <row r="18" spans="1:4" x14ac:dyDescent="0.3">
      <c r="A18" s="1" t="str">
        <f>IF(INDEX(Main!$A$99:$A$108,MATCH(LEFT(B18,LEN(B18)-3)*1,Main!$B$99:$B$108,0))="X",1234567,"")</f>
        <v/>
      </c>
      <c r="B18" s="1">
        <f t="shared" si="1"/>
        <v>2007</v>
      </c>
      <c r="C18" s="1">
        <f>MAX(INDEX('Exp Tables'!$AI$3:$AN$22,MATCH(D18,'Exp Tables'!$AB$3:$AB$22,0),MATCH(INDEX('HOC Chip Data'!O:O,MATCH(B18,'HOC Chip Data'!A:A,0)),'Exp Tables'!$AI$2:$AN$2,0))-
INDEX('HOC Chip Data'!O:O,MATCH(B18,'HOC Chip Data'!A:A,0))*25,0)</f>
        <v>2350</v>
      </c>
      <c r="D18" s="1">
        <f>INDEX(Main!$J$99:$S$108,MATCH(LEFT(B18,LEN(B18)-3)*1,Main!$B$99:$B$108,0),MATCH("Chip "&amp;RIGHT(B18,3)*1,Main!$J$98:$S$98,0))</f>
        <v>20</v>
      </c>
    </row>
    <row r="19" spans="1:4" x14ac:dyDescent="0.3">
      <c r="A19" s="1" t="str">
        <f>IF(INDEX(Main!$A$99:$A$108,MATCH(LEFT(B19,LEN(B19)-3)*1,Main!$B$99:$B$108,0))="X",1234567,"")</f>
        <v/>
      </c>
      <c r="B19" s="1">
        <f t="shared" si="1"/>
        <v>2008</v>
      </c>
      <c r="C19" s="1">
        <f>MAX(INDEX('Exp Tables'!$AI$3:$AN$22,MATCH(D19,'Exp Tables'!$AB$3:$AB$22,0),MATCH(INDEX('HOC Chip Data'!O:O,MATCH(B19,'HOC Chip Data'!A:A,0)),'Exp Tables'!$AI$2:$AN$2,0))-
INDEX('HOC Chip Data'!O:O,MATCH(B19,'HOC Chip Data'!A:A,0))*25,0)</f>
        <v>2350</v>
      </c>
      <c r="D19" s="1">
        <f>INDEX(Main!$J$99:$S$108,MATCH(LEFT(B19,LEN(B19)-3)*1,Main!$B$99:$B$108,0),MATCH("Chip "&amp;RIGHT(B19,3)*1,Main!$J$98:$S$98,0))</f>
        <v>20</v>
      </c>
    </row>
    <row r="20" spans="1:4" x14ac:dyDescent="0.3">
      <c r="A20" s="1" t="str">
        <f>IF(INDEX(Main!$A$99:$A$108,MATCH(LEFT(B20,LEN(B20)-3)*1,Main!$B$99:$B$108,0))="X",1234567,"")</f>
        <v/>
      </c>
      <c r="B20" s="1">
        <f t="shared" si="1"/>
        <v>2009</v>
      </c>
      <c r="C20" s="1">
        <f>MAX(INDEX('Exp Tables'!$AI$3:$AN$22,MATCH(D20,'Exp Tables'!$AB$3:$AB$22,0),MATCH(INDEX('HOC Chip Data'!O:O,MATCH(B20,'HOC Chip Data'!A:A,0)),'Exp Tables'!$AI$2:$AN$2,0))-
INDEX('HOC Chip Data'!O:O,MATCH(B20,'HOC Chip Data'!A:A,0))*25,0)</f>
        <v>4700</v>
      </c>
      <c r="D20" s="1">
        <f>INDEX(Main!$J$99:$S$108,MATCH(LEFT(B20,LEN(B20)-3)*1,Main!$B$99:$B$108,0),MATCH("Chip "&amp;RIGHT(B20,3)*1,Main!$J$98:$S$98,0))</f>
        <v>20</v>
      </c>
    </row>
    <row r="21" spans="1:4" x14ac:dyDescent="0.3">
      <c r="A21" s="45" t="str">
        <f>IF(INDEX(Main!$A$99:$A$108,MATCH(LEFT(B21,LEN(B21)-3)*1,Main!$B$99:$B$108,0))="X",1234567,"")</f>
        <v/>
      </c>
      <c r="B21" s="45">
        <f t="shared" si="1"/>
        <v>2010</v>
      </c>
      <c r="C21" s="45">
        <f>MAX(INDEX('Exp Tables'!$AI$3:$AN$22,MATCH(D21,'Exp Tables'!$AB$3:$AB$22,0),MATCH(INDEX('HOC Chip Data'!O:O,MATCH(B21,'HOC Chip Data'!A:A,0)),'Exp Tables'!$AI$2:$AN$2,0))-
INDEX('HOC Chip Data'!O:O,MATCH(B21,'HOC Chip Data'!A:A,0))*25,0)</f>
        <v>2350</v>
      </c>
      <c r="D21" s="45">
        <f>INDEX(Main!$J$99:$S$108,MATCH(LEFT(B21,LEN(B21)-3)*1,Main!$B$99:$B$108,0),MATCH("Chip "&amp;RIGHT(B21,3)*1,Main!$J$98:$S$98,0))</f>
        <v>20</v>
      </c>
    </row>
    <row r="22" spans="1:4" x14ac:dyDescent="0.3">
      <c r="A22" s="181" t="str">
        <f>IF(INDEX(Main!$A$99:$A$108,MATCH(LEFT(B22,LEN(B22)-3)*1,Main!$B$99:$B$108,0))="X",1234567,"")</f>
        <v/>
      </c>
      <c r="B22" s="181">
        <f>B12+1000</f>
        <v>3001</v>
      </c>
      <c r="C22" s="181">
        <f>MAX(INDEX('Exp Tables'!$AI$3:$AN$22,MATCH(D22,'Exp Tables'!$AB$3:$AB$22,0),MATCH(INDEX('HOC Chip Data'!O:O,MATCH(B22,'HOC Chip Data'!A:A,0)),'Exp Tables'!$AI$2:$AN$2,0))-
INDEX('HOC Chip Data'!O:O,MATCH(B22,'HOC Chip Data'!A:A,0))*25,0)</f>
        <v>4700</v>
      </c>
      <c r="D22" s="181">
        <f>INDEX(Main!$J$99:$S$108,MATCH(LEFT(B22,LEN(B22)-3)*1,Main!$B$99:$B$108,0),MATCH("Chip "&amp;RIGHT(B22,3)*1,Main!$J$98:$S$98,0))</f>
        <v>20</v>
      </c>
    </row>
    <row r="23" spans="1:4" x14ac:dyDescent="0.3">
      <c r="A23" s="1" t="str">
        <f>IF(INDEX(Main!$A$99:$A$108,MATCH(LEFT(B23,LEN(B23)-3)*1,Main!$B$99:$B$108,0))="X",1234567,"")</f>
        <v/>
      </c>
      <c r="B23" s="1">
        <f t="shared" si="1"/>
        <v>3002</v>
      </c>
      <c r="C23" s="1">
        <f>MAX(INDEX('Exp Tables'!$AI$3:$AN$22,MATCH(D23,'Exp Tables'!$AB$3:$AB$22,0),MATCH(INDEX('HOC Chip Data'!O:O,MATCH(B23,'HOC Chip Data'!A:A,0)),'Exp Tables'!$AI$2:$AN$2,0))-
INDEX('HOC Chip Data'!O:O,MATCH(B23,'HOC Chip Data'!A:A,0))*25,0)</f>
        <v>3525</v>
      </c>
      <c r="D23" s="1">
        <f>INDEX(Main!$J$99:$S$108,MATCH(LEFT(B23,LEN(B23)-3)*1,Main!$B$99:$B$108,0),MATCH("Chip "&amp;RIGHT(B23,3)*1,Main!$J$98:$S$98,0))</f>
        <v>20</v>
      </c>
    </row>
    <row r="24" spans="1:4" x14ac:dyDescent="0.3">
      <c r="A24" s="1" t="str">
        <f>IF(INDEX(Main!$A$99:$A$108,MATCH(LEFT(B24,LEN(B24)-3)*1,Main!$B$99:$B$108,0))="X",1234567,"")</f>
        <v/>
      </c>
      <c r="B24" s="1">
        <f t="shared" si="1"/>
        <v>3003</v>
      </c>
      <c r="C24" s="1">
        <f>MAX(INDEX('Exp Tables'!$AI$3:$AN$22,MATCH(D24,'Exp Tables'!$AB$3:$AB$22,0),MATCH(INDEX('HOC Chip Data'!O:O,MATCH(B24,'HOC Chip Data'!A:A,0)),'Exp Tables'!$AI$2:$AN$2,0))-
INDEX('HOC Chip Data'!O:O,MATCH(B24,'HOC Chip Data'!A:A,0))*25,0)</f>
        <v>3525</v>
      </c>
      <c r="D24" s="1">
        <f>INDEX(Main!$J$99:$S$108,MATCH(LEFT(B24,LEN(B24)-3)*1,Main!$B$99:$B$108,0),MATCH("Chip "&amp;RIGHT(B24,3)*1,Main!$J$98:$S$98,0))</f>
        <v>20</v>
      </c>
    </row>
    <row r="25" spans="1:4" x14ac:dyDescent="0.3">
      <c r="A25" s="1" t="str">
        <f>IF(INDEX(Main!$A$99:$A$108,MATCH(LEFT(B25,LEN(B25)-3)*1,Main!$B$99:$B$108,0))="X",1234567,"")</f>
        <v/>
      </c>
      <c r="B25" s="1">
        <f t="shared" si="1"/>
        <v>3004</v>
      </c>
      <c r="C25" s="1">
        <f>MAX(INDEX('Exp Tables'!$AI$3:$AN$22,MATCH(D25,'Exp Tables'!$AB$3:$AB$22,0),MATCH(INDEX('HOC Chip Data'!O:O,MATCH(B25,'HOC Chip Data'!A:A,0)),'Exp Tables'!$AI$2:$AN$2,0))-
INDEX('HOC Chip Data'!O:O,MATCH(B25,'HOC Chip Data'!A:A,0))*25,0)</f>
        <v>4700</v>
      </c>
      <c r="D25" s="1">
        <f>INDEX(Main!$J$99:$S$108,MATCH(LEFT(B25,LEN(B25)-3)*1,Main!$B$99:$B$108,0),MATCH("Chip "&amp;RIGHT(B25,3)*1,Main!$J$98:$S$98,0))</f>
        <v>20</v>
      </c>
    </row>
    <row r="26" spans="1:4" x14ac:dyDescent="0.3">
      <c r="A26" s="1" t="str">
        <f>IF(INDEX(Main!$A$99:$A$108,MATCH(LEFT(B26,LEN(B26)-3)*1,Main!$B$99:$B$108,0))="X",1234567,"")</f>
        <v/>
      </c>
      <c r="B26" s="1">
        <f t="shared" si="1"/>
        <v>3005</v>
      </c>
      <c r="C26" s="1">
        <f>MAX(INDEX('Exp Tables'!$AI$3:$AN$22,MATCH(D26,'Exp Tables'!$AB$3:$AB$22,0),MATCH(INDEX('HOC Chip Data'!O:O,MATCH(B26,'HOC Chip Data'!A:A,0)),'Exp Tables'!$AI$2:$AN$2,0))-
INDEX('HOC Chip Data'!O:O,MATCH(B26,'HOC Chip Data'!A:A,0))*25,0)</f>
        <v>4700</v>
      </c>
      <c r="D26" s="1">
        <f>INDEX(Main!$J$99:$S$108,MATCH(LEFT(B26,LEN(B26)-3)*1,Main!$B$99:$B$108,0),MATCH("Chip "&amp;RIGHT(B26,3)*1,Main!$J$98:$S$98,0))</f>
        <v>20</v>
      </c>
    </row>
    <row r="27" spans="1:4" x14ac:dyDescent="0.3">
      <c r="A27" s="1" t="str">
        <f>IF(INDEX(Main!$A$99:$A$108,MATCH(LEFT(B27,LEN(B27)-3)*1,Main!$B$99:$B$108,0))="X",1234567,"")</f>
        <v/>
      </c>
      <c r="B27" s="1">
        <f t="shared" si="1"/>
        <v>3006</v>
      </c>
      <c r="C27" s="1">
        <f>MAX(INDEX('Exp Tables'!$AI$3:$AN$22,MATCH(D27,'Exp Tables'!$AB$3:$AB$22,0),MATCH(INDEX('HOC Chip Data'!O:O,MATCH(B27,'HOC Chip Data'!A:A,0)),'Exp Tables'!$AI$2:$AN$2,0))-
INDEX('HOC Chip Data'!O:O,MATCH(B27,'HOC Chip Data'!A:A,0))*25,0)</f>
        <v>2350</v>
      </c>
      <c r="D27" s="1">
        <f>INDEX(Main!$J$99:$S$108,MATCH(LEFT(B27,LEN(B27)-3)*1,Main!$B$99:$B$108,0),MATCH("Chip "&amp;RIGHT(B27,3)*1,Main!$J$98:$S$98,0))</f>
        <v>20</v>
      </c>
    </row>
    <row r="28" spans="1:4" x14ac:dyDescent="0.3">
      <c r="A28" s="1" t="str">
        <f>IF(INDEX(Main!$A$99:$A$108,MATCH(LEFT(B28,LEN(B28)-3)*1,Main!$B$99:$B$108,0))="X",1234567,"")</f>
        <v/>
      </c>
      <c r="B28" s="1">
        <f t="shared" si="1"/>
        <v>3007</v>
      </c>
      <c r="C28" s="1">
        <f>MAX(INDEX('Exp Tables'!$AI$3:$AN$22,MATCH(D28,'Exp Tables'!$AB$3:$AB$22,0),MATCH(INDEX('HOC Chip Data'!O:O,MATCH(B28,'HOC Chip Data'!A:A,0)),'Exp Tables'!$AI$2:$AN$2,0))-
INDEX('HOC Chip Data'!O:O,MATCH(B28,'HOC Chip Data'!A:A,0))*25,0)</f>
        <v>4700</v>
      </c>
      <c r="D28" s="1">
        <f>INDEX(Main!$J$99:$S$108,MATCH(LEFT(B28,LEN(B28)-3)*1,Main!$B$99:$B$108,0),MATCH("Chip "&amp;RIGHT(B28,3)*1,Main!$J$98:$S$98,0))</f>
        <v>20</v>
      </c>
    </row>
    <row r="29" spans="1:4" x14ac:dyDescent="0.3">
      <c r="A29" s="1" t="str">
        <f>IF(INDEX(Main!$A$99:$A$108,MATCH(LEFT(B29,LEN(B29)-3)*1,Main!$B$99:$B$108,0))="X",1234567,"")</f>
        <v/>
      </c>
      <c r="B29" s="1">
        <f t="shared" si="1"/>
        <v>3008</v>
      </c>
      <c r="C29" s="1">
        <f>MAX(INDEX('Exp Tables'!$AI$3:$AN$22,MATCH(D29,'Exp Tables'!$AB$3:$AB$22,0),MATCH(INDEX('HOC Chip Data'!O:O,MATCH(B29,'HOC Chip Data'!A:A,0)),'Exp Tables'!$AI$2:$AN$2,0))-
INDEX('HOC Chip Data'!O:O,MATCH(B29,'HOC Chip Data'!A:A,0))*25,0)</f>
        <v>4700</v>
      </c>
      <c r="D29" s="1">
        <f>INDEX(Main!$J$99:$S$108,MATCH(LEFT(B29,LEN(B29)-3)*1,Main!$B$99:$B$108,0),MATCH("Chip "&amp;RIGHT(B29,3)*1,Main!$J$98:$S$98,0))</f>
        <v>20</v>
      </c>
    </row>
    <row r="30" spans="1:4" x14ac:dyDescent="0.3">
      <c r="A30" s="1" t="str">
        <f>IF(INDEX(Main!$A$99:$A$108,MATCH(LEFT(B30,LEN(B30)-3)*1,Main!$B$99:$B$108,0))="X",1234567,"")</f>
        <v/>
      </c>
      <c r="B30" s="1">
        <f t="shared" si="1"/>
        <v>3009</v>
      </c>
      <c r="C30" s="1">
        <f>MAX(INDEX('Exp Tables'!$AI$3:$AN$22,MATCH(D30,'Exp Tables'!$AB$3:$AB$22,0),MATCH(INDEX('HOC Chip Data'!O:O,MATCH(B30,'HOC Chip Data'!A:A,0)),'Exp Tables'!$AI$2:$AN$2,0))-
INDEX('HOC Chip Data'!O:O,MATCH(B30,'HOC Chip Data'!A:A,0))*25,0)</f>
        <v>2350</v>
      </c>
      <c r="D30" s="1">
        <f>INDEX(Main!$J$99:$S$108,MATCH(LEFT(B30,LEN(B30)-3)*1,Main!$B$99:$B$108,0),MATCH("Chip "&amp;RIGHT(B30,3)*1,Main!$J$98:$S$98,0))</f>
        <v>20</v>
      </c>
    </row>
    <row r="31" spans="1:4" x14ac:dyDescent="0.3">
      <c r="A31" s="45" t="str">
        <f>IF(INDEX(Main!$A$99:$A$108,MATCH(LEFT(B31,LEN(B31)-3)*1,Main!$B$99:$B$108,0))="X",1234567,"")</f>
        <v/>
      </c>
      <c r="B31" s="45">
        <f t="shared" si="1"/>
        <v>3010</v>
      </c>
      <c r="C31" s="45">
        <f>MAX(INDEX('Exp Tables'!$AI$3:$AN$22,MATCH(D31,'Exp Tables'!$AB$3:$AB$22,0),MATCH(INDEX('HOC Chip Data'!O:O,MATCH(B31,'HOC Chip Data'!A:A,0)),'Exp Tables'!$AI$2:$AN$2,0))-
INDEX('HOC Chip Data'!O:O,MATCH(B31,'HOC Chip Data'!A:A,0))*25,0)</f>
        <v>2350</v>
      </c>
      <c r="D31" s="45">
        <f>INDEX(Main!$J$99:$S$108,MATCH(LEFT(B31,LEN(B31)-3)*1,Main!$B$99:$B$108,0),MATCH("Chip "&amp;RIGHT(B31,3)*1,Main!$J$98:$S$98,0))</f>
        <v>20</v>
      </c>
    </row>
    <row r="32" spans="1:4" x14ac:dyDescent="0.3">
      <c r="A32" s="181" t="str">
        <f>IF(INDEX(Main!$A$99:$A$108,MATCH(LEFT(B32,LEN(B32)-3)*1,Main!$B$99:$B$108,0))="X",1234567,"")</f>
        <v/>
      </c>
      <c r="B32" s="181">
        <f>B22+1000</f>
        <v>4001</v>
      </c>
      <c r="C32" s="181">
        <f>MAX(INDEX('Exp Tables'!$AI$3:$AN$22,MATCH(D32,'Exp Tables'!$AB$3:$AB$22,0),MATCH(INDEX('HOC Chip Data'!O:O,MATCH(B32,'HOC Chip Data'!A:A,0)),'Exp Tables'!$AI$2:$AN$2,0))-
INDEX('HOC Chip Data'!O:O,MATCH(B32,'HOC Chip Data'!A:A,0))*25,0)</f>
        <v>3525</v>
      </c>
      <c r="D32" s="181">
        <f>INDEX(Main!$J$99:$S$108,MATCH(LEFT(B32,LEN(B32)-3)*1,Main!$B$99:$B$108,0),MATCH("Chip "&amp;RIGHT(B32,3)*1,Main!$J$98:$S$98,0))</f>
        <v>20</v>
      </c>
    </row>
    <row r="33" spans="1:4" x14ac:dyDescent="0.3">
      <c r="A33" s="1" t="str">
        <f>IF(INDEX(Main!$A$99:$A$108,MATCH(LEFT(B33,LEN(B33)-3)*1,Main!$B$99:$B$108,0))="X",1234567,"")</f>
        <v/>
      </c>
      <c r="B33" s="1">
        <f t="shared" si="1"/>
        <v>4002</v>
      </c>
      <c r="C33" s="1">
        <f>MAX(INDEX('Exp Tables'!$AI$3:$AN$22,MATCH(D33,'Exp Tables'!$AB$3:$AB$22,0),MATCH(INDEX('HOC Chip Data'!O:O,MATCH(B33,'HOC Chip Data'!A:A,0)),'Exp Tables'!$AI$2:$AN$2,0))-
INDEX('HOC Chip Data'!O:O,MATCH(B33,'HOC Chip Data'!A:A,0))*25,0)</f>
        <v>4700</v>
      </c>
      <c r="D33" s="1">
        <f>INDEX(Main!$J$99:$S$108,MATCH(LEFT(B33,LEN(B33)-3)*1,Main!$B$99:$B$108,0),MATCH("Chip "&amp;RIGHT(B33,3)*1,Main!$J$98:$S$98,0))</f>
        <v>20</v>
      </c>
    </row>
    <row r="34" spans="1:4" x14ac:dyDescent="0.3">
      <c r="A34" s="1" t="str">
        <f>IF(INDEX(Main!$A$99:$A$108,MATCH(LEFT(B34,LEN(B34)-3)*1,Main!$B$99:$B$108,0))="X",1234567,"")</f>
        <v/>
      </c>
      <c r="B34" s="1">
        <f t="shared" si="1"/>
        <v>4003</v>
      </c>
      <c r="C34" s="1">
        <f>MAX(INDEX('Exp Tables'!$AI$3:$AN$22,MATCH(D34,'Exp Tables'!$AB$3:$AB$22,0),MATCH(INDEX('HOC Chip Data'!O:O,MATCH(B34,'HOC Chip Data'!A:A,0)),'Exp Tables'!$AI$2:$AN$2,0))-
INDEX('HOC Chip Data'!O:O,MATCH(B34,'HOC Chip Data'!A:A,0))*25,0)</f>
        <v>4700</v>
      </c>
      <c r="D34" s="1">
        <f>INDEX(Main!$J$99:$S$108,MATCH(LEFT(B34,LEN(B34)-3)*1,Main!$B$99:$B$108,0),MATCH("Chip "&amp;RIGHT(B34,3)*1,Main!$J$98:$S$98,0))</f>
        <v>20</v>
      </c>
    </row>
    <row r="35" spans="1:4" x14ac:dyDescent="0.3">
      <c r="A35" s="1" t="str">
        <f>IF(INDEX(Main!$A$99:$A$108,MATCH(LEFT(B35,LEN(B35)-3)*1,Main!$B$99:$B$108,0))="X",1234567,"")</f>
        <v/>
      </c>
      <c r="B35" s="1">
        <f t="shared" si="1"/>
        <v>4004</v>
      </c>
      <c r="C35" s="1">
        <f>MAX(INDEX('Exp Tables'!$AI$3:$AN$22,MATCH(D35,'Exp Tables'!$AB$3:$AB$22,0),MATCH(INDEX('HOC Chip Data'!O:O,MATCH(B35,'HOC Chip Data'!A:A,0)),'Exp Tables'!$AI$2:$AN$2,0))-
INDEX('HOC Chip Data'!O:O,MATCH(B35,'HOC Chip Data'!A:A,0))*25,0)</f>
        <v>4700</v>
      </c>
      <c r="D35" s="1">
        <f>INDEX(Main!$J$99:$S$108,MATCH(LEFT(B35,LEN(B35)-3)*1,Main!$B$99:$B$108,0),MATCH("Chip "&amp;RIGHT(B35,3)*1,Main!$J$98:$S$98,0))</f>
        <v>20</v>
      </c>
    </row>
    <row r="36" spans="1:4" x14ac:dyDescent="0.3">
      <c r="A36" s="1" t="str">
        <f>IF(INDEX(Main!$A$99:$A$108,MATCH(LEFT(B36,LEN(B36)-3)*1,Main!$B$99:$B$108,0))="X",1234567,"")</f>
        <v/>
      </c>
      <c r="B36" s="1">
        <f t="shared" si="1"/>
        <v>4005</v>
      </c>
      <c r="C36" s="1">
        <f>MAX(INDEX('Exp Tables'!$AI$3:$AN$22,MATCH(D36,'Exp Tables'!$AB$3:$AB$22,0),MATCH(INDEX('HOC Chip Data'!O:O,MATCH(B36,'HOC Chip Data'!A:A,0)),'Exp Tables'!$AI$2:$AN$2,0))-
INDEX('HOC Chip Data'!O:O,MATCH(B36,'HOC Chip Data'!A:A,0))*25,0)</f>
        <v>4700</v>
      </c>
      <c r="D36" s="1">
        <f>INDEX(Main!$J$99:$S$108,MATCH(LEFT(B36,LEN(B36)-3)*1,Main!$B$99:$B$108,0),MATCH("Chip "&amp;RIGHT(B36,3)*1,Main!$J$98:$S$98,0))</f>
        <v>20</v>
      </c>
    </row>
    <row r="37" spans="1:4" x14ac:dyDescent="0.3">
      <c r="A37" s="1" t="str">
        <f>IF(INDEX(Main!$A$99:$A$108,MATCH(LEFT(B37,LEN(B37)-3)*1,Main!$B$99:$B$108,0))="X",1234567,"")</f>
        <v/>
      </c>
      <c r="B37" s="1">
        <f t="shared" si="1"/>
        <v>4006</v>
      </c>
      <c r="C37" s="1">
        <f>MAX(INDEX('Exp Tables'!$AI$3:$AN$22,MATCH(D37,'Exp Tables'!$AB$3:$AB$22,0),MATCH(INDEX('HOC Chip Data'!O:O,MATCH(B37,'HOC Chip Data'!A:A,0)),'Exp Tables'!$AI$2:$AN$2,0))-
INDEX('HOC Chip Data'!O:O,MATCH(B37,'HOC Chip Data'!A:A,0))*25,0)</f>
        <v>4700</v>
      </c>
      <c r="D37" s="1">
        <f>INDEX(Main!$J$99:$S$108,MATCH(LEFT(B37,LEN(B37)-3)*1,Main!$B$99:$B$108,0),MATCH("Chip "&amp;RIGHT(B37,3)*1,Main!$J$98:$S$98,0))</f>
        <v>20</v>
      </c>
    </row>
    <row r="38" spans="1:4" x14ac:dyDescent="0.3">
      <c r="A38" s="1" t="str">
        <f>IF(INDEX(Main!$A$99:$A$108,MATCH(LEFT(B38,LEN(B38)-3)*1,Main!$B$99:$B$108,0))="X",1234567,"")</f>
        <v/>
      </c>
      <c r="B38" s="1">
        <f t="shared" si="1"/>
        <v>4007</v>
      </c>
      <c r="C38" s="1">
        <f>MAX(INDEX('Exp Tables'!$AI$3:$AN$22,MATCH(D38,'Exp Tables'!$AB$3:$AB$22,0),MATCH(INDEX('HOC Chip Data'!O:O,MATCH(B38,'HOC Chip Data'!A:A,0)),'Exp Tables'!$AI$2:$AN$2,0))-
INDEX('HOC Chip Data'!O:O,MATCH(B38,'HOC Chip Data'!A:A,0))*25,0)</f>
        <v>7050</v>
      </c>
      <c r="D38" s="1">
        <f>INDEX(Main!$J$99:$S$108,MATCH(LEFT(B38,LEN(B38)-3)*1,Main!$B$99:$B$108,0),MATCH("Chip "&amp;RIGHT(B38,3)*1,Main!$J$98:$S$98,0))</f>
        <v>20</v>
      </c>
    </row>
    <row r="39" spans="1:4" x14ac:dyDescent="0.3">
      <c r="A39" s="1" t="str">
        <f>IF(INDEX(Main!$A$99:$A$108,MATCH(LEFT(B39,LEN(B39)-3)*1,Main!$B$99:$B$108,0))="X",1234567,"")</f>
        <v/>
      </c>
      <c r="B39" s="1">
        <f t="shared" si="1"/>
        <v>4008</v>
      </c>
      <c r="C39" s="1">
        <f>MAX(INDEX('Exp Tables'!$AI$3:$AN$22,MATCH(D39,'Exp Tables'!$AB$3:$AB$22,0),MATCH(INDEX('HOC Chip Data'!O:O,MATCH(B39,'HOC Chip Data'!A:A,0)),'Exp Tables'!$AI$2:$AN$2,0))-
INDEX('HOC Chip Data'!O:O,MATCH(B39,'HOC Chip Data'!A:A,0))*25,0)</f>
        <v>4700</v>
      </c>
      <c r="D39" s="1">
        <f>INDEX(Main!$J$99:$S$108,MATCH(LEFT(B39,LEN(B39)-3)*1,Main!$B$99:$B$108,0),MATCH("Chip "&amp;RIGHT(B39,3)*1,Main!$J$98:$S$98,0))</f>
        <v>20</v>
      </c>
    </row>
    <row r="40" spans="1:4" x14ac:dyDescent="0.3">
      <c r="A40" s="1" t="str">
        <f>IF(INDEX(Main!$A$99:$A$108,MATCH(LEFT(B40,LEN(B40)-3)*1,Main!$B$99:$B$108,0))="X",1234567,"")</f>
        <v/>
      </c>
      <c r="B40" s="1">
        <f t="shared" si="1"/>
        <v>4009</v>
      </c>
      <c r="C40" s="1">
        <f>MAX(INDEX('Exp Tables'!$AI$3:$AN$22,MATCH(D40,'Exp Tables'!$AB$3:$AB$22,0),MATCH(INDEX('HOC Chip Data'!O:O,MATCH(B40,'HOC Chip Data'!A:A,0)),'Exp Tables'!$AI$2:$AN$2,0))-
INDEX('HOC Chip Data'!O:O,MATCH(B40,'HOC Chip Data'!A:A,0))*25,0)</f>
        <v>2350</v>
      </c>
      <c r="D40" s="1">
        <f>INDEX(Main!$J$99:$S$108,MATCH(LEFT(B40,LEN(B40)-3)*1,Main!$B$99:$B$108,0),MATCH("Chip "&amp;RIGHT(B40,3)*1,Main!$J$98:$S$98,0))</f>
        <v>20</v>
      </c>
    </row>
    <row r="41" spans="1:4" x14ac:dyDescent="0.3">
      <c r="A41" s="45" t="str">
        <f>IF(INDEX(Main!$A$99:$A$108,MATCH(LEFT(B41,LEN(B41)-3)*1,Main!$B$99:$B$108,0))="X",1234567,"")</f>
        <v/>
      </c>
      <c r="B41" s="45">
        <f t="shared" si="1"/>
        <v>4010</v>
      </c>
      <c r="C41" s="45">
        <f>MAX(INDEX('Exp Tables'!$AI$3:$AN$22,MATCH(D41,'Exp Tables'!$AB$3:$AB$22,0),MATCH(INDEX('HOC Chip Data'!O:O,MATCH(B41,'HOC Chip Data'!A:A,0)),'Exp Tables'!$AI$2:$AN$2,0))-
INDEX('HOC Chip Data'!O:O,MATCH(B41,'HOC Chip Data'!A:A,0))*25,0)</f>
        <v>3525</v>
      </c>
      <c r="D41" s="45">
        <f>INDEX(Main!$J$99:$S$108,MATCH(LEFT(B41,LEN(B41)-3)*1,Main!$B$99:$B$108,0),MATCH("Chip "&amp;RIGHT(B41,3)*1,Main!$J$98:$S$98,0))</f>
        <v>20</v>
      </c>
    </row>
    <row r="42" spans="1:4" x14ac:dyDescent="0.3">
      <c r="A42" s="181" t="str">
        <f>IF(INDEX(Main!$A$99:$A$108,MATCH(LEFT(B42,LEN(B42)-3)*1,Main!$B$99:$B$108,0))="X",1234567,"")</f>
        <v/>
      </c>
      <c r="B42" s="181">
        <f>B32+1000</f>
        <v>5001</v>
      </c>
      <c r="C42" s="181">
        <f>MAX(INDEX('Exp Tables'!$AI$3:$AN$22,MATCH(D42,'Exp Tables'!$AB$3:$AB$22,0),MATCH(INDEX('HOC Chip Data'!O:O,MATCH(B42,'HOC Chip Data'!A:A,0)),'Exp Tables'!$AI$2:$AN$2,0))-
INDEX('HOC Chip Data'!O:O,MATCH(B42,'HOC Chip Data'!A:A,0))*25,0)</f>
        <v>4700</v>
      </c>
      <c r="D42" s="181">
        <f>INDEX(Main!$J$99:$S$108,MATCH(LEFT(B42,LEN(B42)-3)*1,Main!$B$99:$B$108,0),MATCH("Chip "&amp;RIGHT(B42,3)*1,Main!$J$98:$S$98,0))</f>
        <v>20</v>
      </c>
    </row>
    <row r="43" spans="1:4" x14ac:dyDescent="0.3">
      <c r="A43" s="1" t="str">
        <f>IF(INDEX(Main!$A$99:$A$108,MATCH(LEFT(B43,LEN(B43)-3)*1,Main!$B$99:$B$108,0))="X",1234567,"")</f>
        <v/>
      </c>
      <c r="B43" s="1">
        <f t="shared" si="1"/>
        <v>5002</v>
      </c>
      <c r="C43" s="1">
        <f>MAX(INDEX('Exp Tables'!$AI$3:$AN$22,MATCH(D43,'Exp Tables'!$AB$3:$AB$22,0),MATCH(INDEX('HOC Chip Data'!O:O,MATCH(B43,'HOC Chip Data'!A:A,0)),'Exp Tables'!$AI$2:$AN$2,0))-
INDEX('HOC Chip Data'!O:O,MATCH(B43,'HOC Chip Data'!A:A,0))*25,0)</f>
        <v>3525</v>
      </c>
      <c r="D43" s="1">
        <f>INDEX(Main!$J$99:$S$108,MATCH(LEFT(B43,LEN(B43)-3)*1,Main!$B$99:$B$108,0),MATCH("Chip "&amp;RIGHT(B43,3)*1,Main!$J$98:$S$98,0))</f>
        <v>20</v>
      </c>
    </row>
    <row r="44" spans="1:4" x14ac:dyDescent="0.3">
      <c r="A44" s="1" t="str">
        <f>IF(INDEX(Main!$A$99:$A$108,MATCH(LEFT(B44,LEN(B44)-3)*1,Main!$B$99:$B$108,0))="X",1234567,"")</f>
        <v/>
      </c>
      <c r="B44" s="1">
        <f t="shared" si="1"/>
        <v>5003</v>
      </c>
      <c r="C44" s="1">
        <f>MAX(INDEX('Exp Tables'!$AI$3:$AN$22,MATCH(D44,'Exp Tables'!$AB$3:$AB$22,0),MATCH(INDEX('HOC Chip Data'!O:O,MATCH(B44,'HOC Chip Data'!A:A,0)),'Exp Tables'!$AI$2:$AN$2,0))-
INDEX('HOC Chip Data'!O:O,MATCH(B44,'HOC Chip Data'!A:A,0))*25,0)</f>
        <v>4700</v>
      </c>
      <c r="D44" s="1">
        <f>INDEX(Main!$J$99:$S$108,MATCH(LEFT(B44,LEN(B44)-3)*1,Main!$B$99:$B$108,0),MATCH("Chip "&amp;RIGHT(B44,3)*1,Main!$J$98:$S$98,0))</f>
        <v>20</v>
      </c>
    </row>
    <row r="45" spans="1:4" x14ac:dyDescent="0.3">
      <c r="A45" s="1" t="str">
        <f>IF(INDEX(Main!$A$99:$A$108,MATCH(LEFT(B45,LEN(B45)-3)*1,Main!$B$99:$B$108,0))="X",1234567,"")</f>
        <v/>
      </c>
      <c r="B45" s="1">
        <f t="shared" si="1"/>
        <v>5004</v>
      </c>
      <c r="C45" s="1">
        <f>MAX(INDEX('Exp Tables'!$AI$3:$AN$22,MATCH(D45,'Exp Tables'!$AB$3:$AB$22,0),MATCH(INDEX('HOC Chip Data'!O:O,MATCH(B45,'HOC Chip Data'!A:A,0)),'Exp Tables'!$AI$2:$AN$2,0))-
INDEX('HOC Chip Data'!O:O,MATCH(B45,'HOC Chip Data'!A:A,0))*25,0)</f>
        <v>4700</v>
      </c>
      <c r="D45" s="1">
        <f>INDEX(Main!$J$99:$S$108,MATCH(LEFT(B45,LEN(B45)-3)*1,Main!$B$99:$B$108,0),MATCH("Chip "&amp;RIGHT(B45,3)*1,Main!$J$98:$S$98,0))</f>
        <v>20</v>
      </c>
    </row>
    <row r="46" spans="1:4" x14ac:dyDescent="0.3">
      <c r="A46" s="1" t="str">
        <f>IF(INDEX(Main!$A$99:$A$108,MATCH(LEFT(B46,LEN(B46)-3)*1,Main!$B$99:$B$108,0))="X",1234567,"")</f>
        <v/>
      </c>
      <c r="B46" s="1">
        <f t="shared" si="1"/>
        <v>5005</v>
      </c>
      <c r="C46" s="1">
        <f>MAX(INDEX('Exp Tables'!$AI$3:$AN$22,MATCH(D46,'Exp Tables'!$AB$3:$AB$22,0),MATCH(INDEX('HOC Chip Data'!O:O,MATCH(B46,'HOC Chip Data'!A:A,0)),'Exp Tables'!$AI$2:$AN$2,0))-
INDEX('HOC Chip Data'!O:O,MATCH(B46,'HOC Chip Data'!A:A,0))*25,0)</f>
        <v>4700</v>
      </c>
      <c r="D46" s="1">
        <f>INDEX(Main!$J$99:$S$108,MATCH(LEFT(B46,LEN(B46)-3)*1,Main!$B$99:$B$108,0),MATCH("Chip "&amp;RIGHT(B46,3)*1,Main!$J$98:$S$98,0))</f>
        <v>20</v>
      </c>
    </row>
    <row r="47" spans="1:4" x14ac:dyDescent="0.3">
      <c r="A47" s="1" t="str">
        <f>IF(INDEX(Main!$A$99:$A$108,MATCH(LEFT(B47,LEN(B47)-3)*1,Main!$B$99:$B$108,0))="X",1234567,"")</f>
        <v/>
      </c>
      <c r="B47" s="1">
        <f t="shared" si="1"/>
        <v>5006</v>
      </c>
      <c r="C47" s="1">
        <f>MAX(INDEX('Exp Tables'!$AI$3:$AN$22,MATCH(D47,'Exp Tables'!$AB$3:$AB$22,0),MATCH(INDEX('HOC Chip Data'!O:O,MATCH(B47,'HOC Chip Data'!A:A,0)),'Exp Tables'!$AI$2:$AN$2,0))-
INDEX('HOC Chip Data'!O:O,MATCH(B47,'HOC Chip Data'!A:A,0))*25,0)</f>
        <v>2350</v>
      </c>
      <c r="D47" s="1">
        <f>INDEX(Main!$J$99:$S$108,MATCH(LEFT(B47,LEN(B47)-3)*1,Main!$B$99:$B$108,0),MATCH("Chip "&amp;RIGHT(B47,3)*1,Main!$J$98:$S$98,0))</f>
        <v>20</v>
      </c>
    </row>
    <row r="48" spans="1:4" x14ac:dyDescent="0.3">
      <c r="A48" s="1" t="str">
        <f>IF(INDEX(Main!$A$99:$A$108,MATCH(LEFT(B48,LEN(B48)-3)*1,Main!$B$99:$B$108,0))="X",1234567,"")</f>
        <v/>
      </c>
      <c r="B48" s="1">
        <f t="shared" si="1"/>
        <v>5007</v>
      </c>
      <c r="C48" s="1">
        <f>MAX(INDEX('Exp Tables'!$AI$3:$AN$22,MATCH(D48,'Exp Tables'!$AB$3:$AB$22,0),MATCH(INDEX('HOC Chip Data'!O:O,MATCH(B48,'HOC Chip Data'!A:A,0)),'Exp Tables'!$AI$2:$AN$2,0))-
INDEX('HOC Chip Data'!O:O,MATCH(B48,'HOC Chip Data'!A:A,0))*25,0)</f>
        <v>3525</v>
      </c>
      <c r="D48" s="1">
        <f>INDEX(Main!$J$99:$S$108,MATCH(LEFT(B48,LEN(B48)-3)*1,Main!$B$99:$B$108,0),MATCH("Chip "&amp;RIGHT(B48,3)*1,Main!$J$98:$S$98,0))</f>
        <v>20</v>
      </c>
    </row>
    <row r="49" spans="1:4" x14ac:dyDescent="0.3">
      <c r="A49" s="1" t="str">
        <f>IF(INDEX(Main!$A$99:$A$108,MATCH(LEFT(B49,LEN(B49)-3)*1,Main!$B$99:$B$108,0))="X",1234567,"")</f>
        <v/>
      </c>
      <c r="B49" s="1">
        <f t="shared" si="1"/>
        <v>5008</v>
      </c>
      <c r="C49" s="1">
        <f>MAX(INDEX('Exp Tables'!$AI$3:$AN$22,MATCH(D49,'Exp Tables'!$AB$3:$AB$22,0),MATCH(INDEX('HOC Chip Data'!O:O,MATCH(B49,'HOC Chip Data'!A:A,0)),'Exp Tables'!$AI$2:$AN$2,0))-
INDEX('HOC Chip Data'!O:O,MATCH(B49,'HOC Chip Data'!A:A,0))*25,0)</f>
        <v>3525</v>
      </c>
      <c r="D49" s="1">
        <f>INDEX(Main!$J$99:$S$108,MATCH(LEFT(B49,LEN(B49)-3)*1,Main!$B$99:$B$108,0),MATCH("Chip "&amp;RIGHT(B49,3)*1,Main!$J$98:$S$98,0))</f>
        <v>20</v>
      </c>
    </row>
    <row r="50" spans="1:4" x14ac:dyDescent="0.3">
      <c r="A50" s="1" t="str">
        <f>IF(INDEX(Main!$A$99:$A$108,MATCH(LEFT(B50,LEN(B50)-3)*1,Main!$B$99:$B$108,0))="X",1234567,"")</f>
        <v/>
      </c>
      <c r="B50" s="1">
        <f t="shared" si="1"/>
        <v>5009</v>
      </c>
      <c r="C50" s="1">
        <f>MAX(INDEX('Exp Tables'!$AI$3:$AN$22,MATCH(D50,'Exp Tables'!$AB$3:$AB$22,0),MATCH(INDEX('HOC Chip Data'!O:O,MATCH(B50,'HOC Chip Data'!A:A,0)),'Exp Tables'!$AI$2:$AN$2,0))-
INDEX('HOC Chip Data'!O:O,MATCH(B50,'HOC Chip Data'!A:A,0))*25,0)</f>
        <v>7050</v>
      </c>
      <c r="D50" s="1">
        <f>INDEX(Main!$J$99:$S$108,MATCH(LEFT(B50,LEN(B50)-3)*1,Main!$B$99:$B$108,0),MATCH("Chip "&amp;RIGHT(B50,3)*1,Main!$J$98:$S$98,0))</f>
        <v>20</v>
      </c>
    </row>
    <row r="51" spans="1:4" x14ac:dyDescent="0.3">
      <c r="A51" s="45" t="str">
        <f>IF(INDEX(Main!$A$99:$A$108,MATCH(LEFT(B51,LEN(B51)-3)*1,Main!$B$99:$B$108,0))="X",1234567,"")</f>
        <v/>
      </c>
      <c r="B51" s="45">
        <f t="shared" si="1"/>
        <v>5010</v>
      </c>
      <c r="C51" s="45">
        <f>MAX(INDEX('Exp Tables'!$AI$3:$AN$22,MATCH(D51,'Exp Tables'!$AB$3:$AB$22,0),MATCH(INDEX('HOC Chip Data'!O:O,MATCH(B51,'HOC Chip Data'!A:A,0)),'Exp Tables'!$AI$2:$AN$2,0))-
INDEX('HOC Chip Data'!O:O,MATCH(B51,'HOC Chip Data'!A:A,0))*25,0)</f>
        <v>3525</v>
      </c>
      <c r="D51" s="45">
        <f>INDEX(Main!$J$99:$S$108,MATCH(LEFT(B51,LEN(B51)-3)*1,Main!$B$99:$B$108,0),MATCH("Chip "&amp;RIGHT(B51,3)*1,Main!$J$98:$S$98,0))</f>
        <v>20</v>
      </c>
    </row>
    <row r="52" spans="1:4" x14ac:dyDescent="0.3">
      <c r="A52" s="181" t="str">
        <f>IF(INDEX(Main!$A$99:$A$108,MATCH(LEFT(B52,LEN(B52)-3)*1,Main!$B$99:$B$108,0))="X",1234567,"")</f>
        <v/>
      </c>
      <c r="B52" s="181">
        <f>B42+1000</f>
        <v>6001</v>
      </c>
      <c r="C52" s="181">
        <f>MAX(INDEX('Exp Tables'!$AI$3:$AN$22,MATCH(D52,'Exp Tables'!$AB$3:$AB$22,0),MATCH(INDEX('HOC Chip Data'!O:O,MATCH(B52,'HOC Chip Data'!A:A,0)),'Exp Tables'!$AI$2:$AN$2,0))-
INDEX('HOC Chip Data'!O:O,MATCH(B52,'HOC Chip Data'!A:A,0))*25,0)</f>
        <v>4700</v>
      </c>
      <c r="D52" s="181">
        <f>INDEX(Main!$J$99:$S$108,MATCH(LEFT(B52,LEN(B52)-3)*1,Main!$B$99:$B$108,0),MATCH("Chip "&amp;RIGHT(B52,3)*1,Main!$J$98:$S$98,0))</f>
        <v>20</v>
      </c>
    </row>
    <row r="53" spans="1:4" x14ac:dyDescent="0.3">
      <c r="A53" s="1" t="str">
        <f>IF(INDEX(Main!$A$99:$A$108,MATCH(LEFT(B53,LEN(B53)-3)*1,Main!$B$99:$B$108,0))="X",1234567,"")</f>
        <v/>
      </c>
      <c r="B53" s="1">
        <f t="shared" si="1"/>
        <v>6002</v>
      </c>
      <c r="C53" s="1">
        <f>MAX(INDEX('Exp Tables'!$AI$3:$AN$22,MATCH(D53,'Exp Tables'!$AB$3:$AB$22,0),MATCH(INDEX('HOC Chip Data'!O:O,MATCH(B53,'HOC Chip Data'!A:A,0)),'Exp Tables'!$AI$2:$AN$2,0))-
INDEX('HOC Chip Data'!O:O,MATCH(B53,'HOC Chip Data'!A:A,0))*25,0)</f>
        <v>2350</v>
      </c>
      <c r="D53" s="1">
        <f>INDEX(Main!$J$99:$S$108,MATCH(LEFT(B53,LEN(B53)-3)*1,Main!$B$99:$B$108,0),MATCH("Chip "&amp;RIGHT(B53,3)*1,Main!$J$98:$S$98,0))</f>
        <v>20</v>
      </c>
    </row>
    <row r="54" spans="1:4" x14ac:dyDescent="0.3">
      <c r="A54" s="1" t="str">
        <f>IF(INDEX(Main!$A$99:$A$108,MATCH(LEFT(B54,LEN(B54)-3)*1,Main!$B$99:$B$108,0))="X",1234567,"")</f>
        <v/>
      </c>
      <c r="B54" s="1">
        <f t="shared" si="1"/>
        <v>6003</v>
      </c>
      <c r="C54" s="1">
        <f>MAX(INDEX('Exp Tables'!$AI$3:$AN$22,MATCH(D54,'Exp Tables'!$AB$3:$AB$22,0),MATCH(INDEX('HOC Chip Data'!O:O,MATCH(B54,'HOC Chip Data'!A:A,0)),'Exp Tables'!$AI$2:$AN$2,0))-
INDEX('HOC Chip Data'!O:O,MATCH(B54,'HOC Chip Data'!A:A,0))*25,0)</f>
        <v>5875</v>
      </c>
      <c r="D54" s="1">
        <f>INDEX(Main!$J$99:$S$108,MATCH(LEFT(B54,LEN(B54)-3)*1,Main!$B$99:$B$108,0),MATCH("Chip "&amp;RIGHT(B54,3)*1,Main!$J$98:$S$98,0))</f>
        <v>20</v>
      </c>
    </row>
    <row r="55" spans="1:4" x14ac:dyDescent="0.3">
      <c r="A55" s="1" t="str">
        <f>IF(INDEX(Main!$A$99:$A$108,MATCH(LEFT(B55,LEN(B55)-3)*1,Main!$B$99:$B$108,0))="X",1234567,"")</f>
        <v/>
      </c>
      <c r="B55" s="1">
        <f t="shared" si="1"/>
        <v>6004</v>
      </c>
      <c r="C55" s="1">
        <f>MAX(INDEX('Exp Tables'!$AI$3:$AN$22,MATCH(D55,'Exp Tables'!$AB$3:$AB$22,0),MATCH(INDEX('HOC Chip Data'!O:O,MATCH(B55,'HOC Chip Data'!A:A,0)),'Exp Tables'!$AI$2:$AN$2,0))-
INDEX('HOC Chip Data'!O:O,MATCH(B55,'HOC Chip Data'!A:A,0))*25,0)</f>
        <v>4700</v>
      </c>
      <c r="D55" s="1">
        <f>INDEX(Main!$J$99:$S$108,MATCH(LEFT(B55,LEN(B55)-3)*1,Main!$B$99:$B$108,0),MATCH("Chip "&amp;RIGHT(B55,3)*1,Main!$J$98:$S$98,0))</f>
        <v>20</v>
      </c>
    </row>
    <row r="56" spans="1:4" x14ac:dyDescent="0.3">
      <c r="A56" s="1" t="str">
        <f>IF(INDEX(Main!$A$99:$A$108,MATCH(LEFT(B56,LEN(B56)-3)*1,Main!$B$99:$B$108,0))="X",1234567,"")</f>
        <v/>
      </c>
      <c r="B56" s="1">
        <f t="shared" si="1"/>
        <v>6005</v>
      </c>
      <c r="C56" s="1">
        <f>MAX(INDEX('Exp Tables'!$AI$3:$AN$22,MATCH(D56,'Exp Tables'!$AB$3:$AB$22,0),MATCH(INDEX('HOC Chip Data'!O:O,MATCH(B56,'HOC Chip Data'!A:A,0)),'Exp Tables'!$AI$2:$AN$2,0))-
INDEX('HOC Chip Data'!O:O,MATCH(B56,'HOC Chip Data'!A:A,0))*25,0)</f>
        <v>4700</v>
      </c>
      <c r="D56" s="1">
        <f>INDEX(Main!$J$99:$S$108,MATCH(LEFT(B56,LEN(B56)-3)*1,Main!$B$99:$B$108,0),MATCH("Chip "&amp;RIGHT(B56,3)*1,Main!$J$98:$S$98,0))</f>
        <v>20</v>
      </c>
    </row>
    <row r="57" spans="1:4" x14ac:dyDescent="0.3">
      <c r="A57" s="1" t="str">
        <f>IF(INDEX(Main!$A$99:$A$108,MATCH(LEFT(B57,LEN(B57)-3)*1,Main!$B$99:$B$108,0))="X",1234567,"")</f>
        <v/>
      </c>
      <c r="B57" s="1">
        <f t="shared" si="1"/>
        <v>6006</v>
      </c>
      <c r="C57" s="1">
        <f>MAX(INDEX('Exp Tables'!$AI$3:$AN$22,MATCH(D57,'Exp Tables'!$AB$3:$AB$22,0),MATCH(INDEX('HOC Chip Data'!O:O,MATCH(B57,'HOC Chip Data'!A:A,0)),'Exp Tables'!$AI$2:$AN$2,0))-
INDEX('HOC Chip Data'!O:O,MATCH(B57,'HOC Chip Data'!A:A,0))*25,0)</f>
        <v>4700</v>
      </c>
      <c r="D57" s="1">
        <f>INDEX(Main!$J$99:$S$108,MATCH(LEFT(B57,LEN(B57)-3)*1,Main!$B$99:$B$108,0),MATCH("Chip "&amp;RIGHT(B57,3)*1,Main!$J$98:$S$98,0))</f>
        <v>20</v>
      </c>
    </row>
    <row r="58" spans="1:4" x14ac:dyDescent="0.3">
      <c r="A58" s="1" t="str">
        <f>IF(INDEX(Main!$A$99:$A$108,MATCH(LEFT(B58,LEN(B58)-3)*1,Main!$B$99:$B$108,0))="X",1234567,"")</f>
        <v/>
      </c>
      <c r="B58" s="1">
        <f t="shared" si="1"/>
        <v>6007</v>
      </c>
      <c r="C58" s="1">
        <f>MAX(INDEX('Exp Tables'!$AI$3:$AN$22,MATCH(D58,'Exp Tables'!$AB$3:$AB$22,0),MATCH(INDEX('HOC Chip Data'!O:O,MATCH(B58,'HOC Chip Data'!A:A,0)),'Exp Tables'!$AI$2:$AN$2,0))-
INDEX('HOC Chip Data'!O:O,MATCH(B58,'HOC Chip Data'!A:A,0))*25,0)</f>
        <v>4700</v>
      </c>
      <c r="D58" s="1">
        <f>INDEX(Main!$J$99:$S$108,MATCH(LEFT(B58,LEN(B58)-3)*1,Main!$B$99:$B$108,0),MATCH("Chip "&amp;RIGHT(B58,3)*1,Main!$J$98:$S$98,0))</f>
        <v>20</v>
      </c>
    </row>
    <row r="59" spans="1:4" x14ac:dyDescent="0.3">
      <c r="A59" s="1" t="str">
        <f>IF(INDEX(Main!$A$99:$A$108,MATCH(LEFT(B59,LEN(B59)-3)*1,Main!$B$99:$B$108,0))="X",1234567,"")</f>
        <v/>
      </c>
      <c r="B59" s="1">
        <f t="shared" si="1"/>
        <v>6008</v>
      </c>
      <c r="C59" s="1">
        <f>MAX(INDEX('Exp Tables'!$AI$3:$AN$22,MATCH(D59,'Exp Tables'!$AB$3:$AB$22,0),MATCH(INDEX('HOC Chip Data'!O:O,MATCH(B59,'HOC Chip Data'!A:A,0)),'Exp Tables'!$AI$2:$AN$2,0))-
INDEX('HOC Chip Data'!O:O,MATCH(B59,'HOC Chip Data'!A:A,0))*25,0)</f>
        <v>3525</v>
      </c>
      <c r="D59" s="1">
        <f>INDEX(Main!$J$99:$S$108,MATCH(LEFT(B59,LEN(B59)-3)*1,Main!$B$99:$B$108,0),MATCH("Chip "&amp;RIGHT(B59,3)*1,Main!$J$98:$S$98,0))</f>
        <v>20</v>
      </c>
    </row>
    <row r="60" spans="1:4" x14ac:dyDescent="0.3">
      <c r="A60" s="1" t="str">
        <f>IF(INDEX(Main!$A$99:$A$108,MATCH(LEFT(B60,LEN(B60)-3)*1,Main!$B$99:$B$108,0))="X",1234567,"")</f>
        <v/>
      </c>
      <c r="B60" s="1">
        <f t="shared" si="1"/>
        <v>6009</v>
      </c>
      <c r="C60" s="1">
        <f>MAX(INDEX('Exp Tables'!$AI$3:$AN$22,MATCH(D60,'Exp Tables'!$AB$3:$AB$22,0),MATCH(INDEX('HOC Chip Data'!O:O,MATCH(B60,'HOC Chip Data'!A:A,0)),'Exp Tables'!$AI$2:$AN$2,0))-
INDEX('HOC Chip Data'!O:O,MATCH(B60,'HOC Chip Data'!A:A,0))*25,0)</f>
        <v>4700</v>
      </c>
      <c r="D60" s="1">
        <f>INDEX(Main!$J$99:$S$108,MATCH(LEFT(B60,LEN(B60)-3)*1,Main!$B$99:$B$108,0),MATCH("Chip "&amp;RIGHT(B60,3)*1,Main!$J$98:$S$98,0))</f>
        <v>20</v>
      </c>
    </row>
    <row r="61" spans="1:4" x14ac:dyDescent="0.3">
      <c r="A61" s="45" t="str">
        <f>IF(INDEX(Main!$A$99:$A$108,MATCH(LEFT(B61,LEN(B61)-3)*1,Main!$B$99:$B$108,0))="X",1234567,"")</f>
        <v/>
      </c>
      <c r="B61" s="45">
        <f t="shared" si="1"/>
        <v>6010</v>
      </c>
      <c r="C61" s="45">
        <f>MAX(INDEX('Exp Tables'!$AI$3:$AN$22,MATCH(D61,'Exp Tables'!$AB$3:$AB$22,0),MATCH(INDEX('HOC Chip Data'!O:O,MATCH(B61,'HOC Chip Data'!A:A,0)),'Exp Tables'!$AI$2:$AN$2,0))-
INDEX('HOC Chip Data'!O:O,MATCH(B61,'HOC Chip Data'!A:A,0))*25,0)</f>
        <v>4700</v>
      </c>
      <c r="D61" s="45">
        <f>INDEX(Main!$J$99:$S$108,MATCH(LEFT(B61,LEN(B61)-3)*1,Main!$B$99:$B$108,0),MATCH("Chip "&amp;RIGHT(B61,3)*1,Main!$J$98:$S$98,0))</f>
        <v>20</v>
      </c>
    </row>
    <row r="62" spans="1:4" x14ac:dyDescent="0.3">
      <c r="A62" s="181" t="str">
        <f>IF(INDEX(Main!$A$99:$A$108,MATCH(LEFT(B62,LEN(B62)-3)*1,Main!$B$99:$B$108,0))="X",1234567,"")</f>
        <v/>
      </c>
      <c r="B62" s="181">
        <f>B52+1000</f>
        <v>7001</v>
      </c>
      <c r="C62" s="181">
        <f>MAX(INDEX('Exp Tables'!$AI$3:$AN$22,MATCH(D62,'Exp Tables'!$AB$3:$AB$22,0),MATCH(INDEX('HOC Chip Data'!O:O,MATCH(B62,'HOC Chip Data'!A:A,0)),'Exp Tables'!$AI$2:$AN$2,0))-
INDEX('HOC Chip Data'!O:O,MATCH(B62,'HOC Chip Data'!A:A,0))*25,0)</f>
        <v>2350</v>
      </c>
      <c r="D62" s="181">
        <f>INDEX(Main!$J$99:$S$108,MATCH(LEFT(B62,LEN(B62)-3)*1,Main!$B$99:$B$108,0),MATCH("Chip "&amp;RIGHT(B62,3)*1,Main!$J$98:$S$98,0))</f>
        <v>20</v>
      </c>
    </row>
    <row r="63" spans="1:4" x14ac:dyDescent="0.3">
      <c r="A63" s="1" t="str">
        <f>IF(INDEX(Main!$A$99:$A$108,MATCH(LEFT(B63,LEN(B63)-3)*1,Main!$B$99:$B$108,0))="X",1234567,"")</f>
        <v/>
      </c>
      <c r="B63" s="1">
        <f t="shared" si="1"/>
        <v>7002</v>
      </c>
      <c r="C63" s="1">
        <f>MAX(INDEX('Exp Tables'!$AI$3:$AN$22,MATCH(D63,'Exp Tables'!$AB$3:$AB$22,0),MATCH(INDEX('HOC Chip Data'!O:O,MATCH(B63,'HOC Chip Data'!A:A,0)),'Exp Tables'!$AI$2:$AN$2,0))-
INDEX('HOC Chip Data'!O:O,MATCH(B63,'HOC Chip Data'!A:A,0))*25,0)</f>
        <v>3525</v>
      </c>
      <c r="D63" s="1">
        <f>INDEX(Main!$J$99:$S$108,MATCH(LEFT(B63,LEN(B63)-3)*1,Main!$B$99:$B$108,0),MATCH("Chip "&amp;RIGHT(B63,3)*1,Main!$J$98:$S$98,0))</f>
        <v>20</v>
      </c>
    </row>
    <row r="64" spans="1:4" x14ac:dyDescent="0.3">
      <c r="A64" s="1" t="str">
        <f>IF(INDEX(Main!$A$99:$A$108,MATCH(LEFT(B64,LEN(B64)-3)*1,Main!$B$99:$B$108,0))="X",1234567,"")</f>
        <v/>
      </c>
      <c r="B64" s="1">
        <f t="shared" si="1"/>
        <v>7003</v>
      </c>
      <c r="C64" s="1">
        <f>MAX(INDEX('Exp Tables'!$AI$3:$AN$22,MATCH(D64,'Exp Tables'!$AB$3:$AB$22,0),MATCH(INDEX('HOC Chip Data'!O:O,MATCH(B64,'HOC Chip Data'!A:A,0)),'Exp Tables'!$AI$2:$AN$2,0))-
INDEX('HOC Chip Data'!O:O,MATCH(B64,'HOC Chip Data'!A:A,0))*25,0)</f>
        <v>7050</v>
      </c>
      <c r="D64" s="1">
        <f>INDEX(Main!$J$99:$S$108,MATCH(LEFT(B64,LEN(B64)-3)*1,Main!$B$99:$B$108,0),MATCH("Chip "&amp;RIGHT(B64,3)*1,Main!$J$98:$S$98,0))</f>
        <v>20</v>
      </c>
    </row>
    <row r="65" spans="1:4" x14ac:dyDescent="0.3">
      <c r="A65" s="1" t="str">
        <f>IF(INDEX(Main!$A$99:$A$108,MATCH(LEFT(B65,LEN(B65)-3)*1,Main!$B$99:$B$108,0))="X",1234567,"")</f>
        <v/>
      </c>
      <c r="B65" s="1">
        <f t="shared" si="1"/>
        <v>7004</v>
      </c>
      <c r="C65" s="1">
        <f>MAX(INDEX('Exp Tables'!$AI$3:$AN$22,MATCH(D65,'Exp Tables'!$AB$3:$AB$22,0),MATCH(INDEX('HOC Chip Data'!O:O,MATCH(B65,'HOC Chip Data'!A:A,0)),'Exp Tables'!$AI$2:$AN$2,0))-
INDEX('HOC Chip Data'!O:O,MATCH(B65,'HOC Chip Data'!A:A,0))*25,0)</f>
        <v>4700</v>
      </c>
      <c r="D65" s="1">
        <f>INDEX(Main!$J$99:$S$108,MATCH(LEFT(B65,LEN(B65)-3)*1,Main!$B$99:$B$108,0),MATCH("Chip "&amp;RIGHT(B65,3)*1,Main!$J$98:$S$98,0))</f>
        <v>20</v>
      </c>
    </row>
    <row r="66" spans="1:4" x14ac:dyDescent="0.3">
      <c r="A66" s="1" t="str">
        <f>IF(INDEX(Main!$A$99:$A$108,MATCH(LEFT(B66,LEN(B66)-3)*1,Main!$B$99:$B$108,0))="X",1234567,"")</f>
        <v/>
      </c>
      <c r="B66" s="1">
        <f t="shared" si="1"/>
        <v>7005</v>
      </c>
      <c r="C66" s="1">
        <f>MAX(INDEX('Exp Tables'!$AI$3:$AN$22,MATCH(D66,'Exp Tables'!$AB$3:$AB$22,0),MATCH(INDEX('HOC Chip Data'!O:O,MATCH(B66,'HOC Chip Data'!A:A,0)),'Exp Tables'!$AI$2:$AN$2,0))-
INDEX('HOC Chip Data'!O:O,MATCH(B66,'HOC Chip Data'!A:A,0))*25,0)</f>
        <v>4700</v>
      </c>
      <c r="D66" s="1">
        <f>INDEX(Main!$J$99:$S$108,MATCH(LEFT(B66,LEN(B66)-3)*1,Main!$B$99:$B$108,0),MATCH("Chip "&amp;RIGHT(B66,3)*1,Main!$J$98:$S$98,0))</f>
        <v>20</v>
      </c>
    </row>
    <row r="67" spans="1:4" x14ac:dyDescent="0.3">
      <c r="A67" s="1" t="str">
        <f>IF(INDEX(Main!$A$99:$A$108,MATCH(LEFT(B67,LEN(B67)-3)*1,Main!$B$99:$B$108,0))="X",1234567,"")</f>
        <v/>
      </c>
      <c r="B67" s="1">
        <f t="shared" si="1"/>
        <v>7006</v>
      </c>
      <c r="C67" s="1">
        <f>MAX(INDEX('Exp Tables'!$AI$3:$AN$22,MATCH(D67,'Exp Tables'!$AB$3:$AB$22,0),MATCH(INDEX('HOC Chip Data'!O:O,MATCH(B67,'HOC Chip Data'!A:A,0)),'Exp Tables'!$AI$2:$AN$2,0))-
INDEX('HOC Chip Data'!O:O,MATCH(B67,'HOC Chip Data'!A:A,0))*25,0)</f>
        <v>2350</v>
      </c>
      <c r="D67" s="1">
        <f>INDEX(Main!$J$99:$S$108,MATCH(LEFT(B67,LEN(B67)-3)*1,Main!$B$99:$B$108,0),MATCH("Chip "&amp;RIGHT(B67,3)*1,Main!$J$98:$S$98,0))</f>
        <v>20</v>
      </c>
    </row>
    <row r="68" spans="1:4" x14ac:dyDescent="0.3">
      <c r="A68" s="1" t="str">
        <f>IF(INDEX(Main!$A$99:$A$108,MATCH(LEFT(B68,LEN(B68)-3)*1,Main!$B$99:$B$108,0))="X",1234567,"")</f>
        <v/>
      </c>
      <c r="B68" s="1">
        <f t="shared" si="1"/>
        <v>7007</v>
      </c>
      <c r="C68" s="1">
        <f>MAX(INDEX('Exp Tables'!$AI$3:$AN$22,MATCH(D68,'Exp Tables'!$AB$3:$AB$22,0),MATCH(INDEX('HOC Chip Data'!O:O,MATCH(B68,'HOC Chip Data'!A:A,0)),'Exp Tables'!$AI$2:$AN$2,0))-
INDEX('HOC Chip Data'!O:O,MATCH(B68,'HOC Chip Data'!A:A,0))*25,0)</f>
        <v>2350</v>
      </c>
      <c r="D68" s="1">
        <f>INDEX(Main!$J$99:$S$108,MATCH(LEFT(B68,LEN(B68)-3)*1,Main!$B$99:$B$108,0),MATCH("Chip "&amp;RIGHT(B68,3)*1,Main!$J$98:$S$98,0))</f>
        <v>20</v>
      </c>
    </row>
    <row r="69" spans="1:4" x14ac:dyDescent="0.3">
      <c r="A69" s="1" t="str">
        <f>IF(INDEX(Main!$A$99:$A$108,MATCH(LEFT(B69,LEN(B69)-3)*1,Main!$B$99:$B$108,0))="X",1234567,"")</f>
        <v/>
      </c>
      <c r="B69" s="1">
        <f t="shared" si="1"/>
        <v>7008</v>
      </c>
      <c r="C69" s="1">
        <f>MAX(INDEX('Exp Tables'!$AI$3:$AN$22,MATCH(D69,'Exp Tables'!$AB$3:$AB$22,0),MATCH(INDEX('HOC Chip Data'!O:O,MATCH(B69,'HOC Chip Data'!A:A,0)),'Exp Tables'!$AI$2:$AN$2,0))-
INDEX('HOC Chip Data'!O:O,MATCH(B69,'HOC Chip Data'!A:A,0))*25,0)</f>
        <v>4700</v>
      </c>
      <c r="D69" s="1">
        <f>INDEX(Main!$J$99:$S$108,MATCH(LEFT(B69,LEN(B69)-3)*1,Main!$B$99:$B$108,0),MATCH("Chip "&amp;RIGHT(B69,3)*1,Main!$J$98:$S$98,0))</f>
        <v>20</v>
      </c>
    </row>
    <row r="70" spans="1:4" x14ac:dyDescent="0.3">
      <c r="A70" s="1" t="str">
        <f>IF(INDEX(Main!$A$99:$A$108,MATCH(LEFT(B70,LEN(B70)-3)*1,Main!$B$99:$B$108,0))="X",1234567,"")</f>
        <v/>
      </c>
      <c r="B70" s="1">
        <f t="shared" si="1"/>
        <v>7009</v>
      </c>
      <c r="C70" s="1">
        <f>MAX(INDEX('Exp Tables'!$AI$3:$AN$22,MATCH(D70,'Exp Tables'!$AB$3:$AB$22,0),MATCH(INDEX('HOC Chip Data'!O:O,MATCH(B70,'HOC Chip Data'!A:A,0)),'Exp Tables'!$AI$2:$AN$2,0))-
INDEX('HOC Chip Data'!O:O,MATCH(B70,'HOC Chip Data'!A:A,0))*25,0)</f>
        <v>9400</v>
      </c>
      <c r="D70" s="1">
        <f>INDEX(Main!$J$99:$S$108,MATCH(LEFT(B70,LEN(B70)-3)*1,Main!$B$99:$B$108,0),MATCH("Chip "&amp;RIGHT(B70,3)*1,Main!$J$98:$S$98,0))</f>
        <v>20</v>
      </c>
    </row>
    <row r="71" spans="1:4" x14ac:dyDescent="0.3">
      <c r="A71" s="45" t="str">
        <f>IF(INDEX(Main!$A$99:$A$108,MATCH(LEFT(B71,LEN(B71)-3)*1,Main!$B$99:$B$108,0))="X",1234567,"")</f>
        <v/>
      </c>
      <c r="B71" s="45">
        <f t="shared" si="1"/>
        <v>7010</v>
      </c>
      <c r="C71" s="45">
        <f>MAX(INDEX('Exp Tables'!$AI$3:$AN$22,MATCH(D71,'Exp Tables'!$AB$3:$AB$22,0),MATCH(INDEX('HOC Chip Data'!O:O,MATCH(B71,'HOC Chip Data'!A:A,0)),'Exp Tables'!$AI$2:$AN$2,0))-
INDEX('HOC Chip Data'!O:O,MATCH(B71,'HOC Chip Data'!A:A,0))*25,0)</f>
        <v>3525</v>
      </c>
      <c r="D71" s="45">
        <f>INDEX(Main!$J$99:$S$108,MATCH(LEFT(B71,LEN(B71)-3)*1,Main!$B$99:$B$108,0),MATCH("Chip "&amp;RIGHT(B71,3)*1,Main!$J$98:$S$98,0))</f>
        <v>20</v>
      </c>
    </row>
    <row r="72" spans="1:4" x14ac:dyDescent="0.3">
      <c r="A72" s="181" t="str">
        <f>IF(INDEX(Main!$A$99:$A$108,MATCH(LEFT(B72,LEN(B72)-3)*1,Main!$B$99:$B$108,0))="X",1234567,"")</f>
        <v/>
      </c>
      <c r="B72" s="181">
        <f>B62+1000</f>
        <v>8001</v>
      </c>
      <c r="C72" s="181">
        <f>MAX(INDEX('Exp Tables'!$AI$3:$AN$22,MATCH(D72,'Exp Tables'!$AB$3:$AB$22,0),MATCH(INDEX('HOC Chip Data'!O:O,MATCH(B72,'HOC Chip Data'!A:A,0)),'Exp Tables'!$AI$2:$AN$2,0))-
INDEX('HOC Chip Data'!O:O,MATCH(B72,'HOC Chip Data'!A:A,0))*25,0)</f>
        <v>4700</v>
      </c>
      <c r="D72" s="181">
        <f>INDEX(Main!$J$99:$S$108,MATCH(LEFT(B72,LEN(B72)-3)*1,Main!$B$99:$B$108,0),MATCH("Chip "&amp;RIGHT(B72,3)*1,Main!$J$98:$S$98,0))</f>
        <v>20</v>
      </c>
    </row>
    <row r="73" spans="1:4" x14ac:dyDescent="0.3">
      <c r="A73" s="1" t="str">
        <f>IF(INDEX(Main!$A$99:$A$108,MATCH(LEFT(B73,LEN(B73)-3)*1,Main!$B$99:$B$108,0))="X",1234567,"")</f>
        <v/>
      </c>
      <c r="B73" s="1">
        <f t="shared" si="1"/>
        <v>8002</v>
      </c>
      <c r="C73" s="1">
        <f>MAX(INDEX('Exp Tables'!$AI$3:$AN$22,MATCH(D73,'Exp Tables'!$AB$3:$AB$22,0),MATCH(INDEX('HOC Chip Data'!O:O,MATCH(B73,'HOC Chip Data'!A:A,0)),'Exp Tables'!$AI$2:$AN$2,0))-
INDEX('HOC Chip Data'!O:O,MATCH(B73,'HOC Chip Data'!A:A,0))*25,0)</f>
        <v>3525</v>
      </c>
      <c r="D73" s="1">
        <f>INDEX(Main!$J$99:$S$108,MATCH(LEFT(B73,LEN(B73)-3)*1,Main!$B$99:$B$108,0),MATCH("Chip "&amp;RIGHT(B73,3)*1,Main!$J$98:$S$98,0))</f>
        <v>20</v>
      </c>
    </row>
    <row r="74" spans="1:4" x14ac:dyDescent="0.3">
      <c r="A74" s="1" t="str">
        <f>IF(INDEX(Main!$A$99:$A$108,MATCH(LEFT(B74,LEN(B74)-3)*1,Main!$B$99:$B$108,0))="X",1234567,"")</f>
        <v/>
      </c>
      <c r="B74" s="1">
        <f t="shared" si="1"/>
        <v>8003</v>
      </c>
      <c r="C74" s="1">
        <f>MAX(INDEX('Exp Tables'!$AI$3:$AN$22,MATCH(D74,'Exp Tables'!$AB$3:$AB$22,0),MATCH(INDEX('HOC Chip Data'!O:O,MATCH(B74,'HOC Chip Data'!A:A,0)),'Exp Tables'!$AI$2:$AN$2,0))-
INDEX('HOC Chip Data'!O:O,MATCH(B74,'HOC Chip Data'!A:A,0))*25,0)</f>
        <v>4700</v>
      </c>
      <c r="D74" s="1">
        <f>INDEX(Main!$J$99:$S$108,MATCH(LEFT(B74,LEN(B74)-3)*1,Main!$B$99:$B$108,0),MATCH("Chip "&amp;RIGHT(B74,3)*1,Main!$J$98:$S$98,0))</f>
        <v>20</v>
      </c>
    </row>
    <row r="75" spans="1:4" x14ac:dyDescent="0.3">
      <c r="A75" s="1" t="str">
        <f>IF(INDEX(Main!$A$99:$A$108,MATCH(LEFT(B75,LEN(B75)-3)*1,Main!$B$99:$B$108,0))="X",1234567,"")</f>
        <v/>
      </c>
      <c r="B75" s="1">
        <f t="shared" si="1"/>
        <v>8004</v>
      </c>
      <c r="C75" s="1">
        <f>MAX(INDEX('Exp Tables'!$AI$3:$AN$22,MATCH(D75,'Exp Tables'!$AB$3:$AB$22,0),MATCH(INDEX('HOC Chip Data'!O:O,MATCH(B75,'HOC Chip Data'!A:A,0)),'Exp Tables'!$AI$2:$AN$2,0))-
INDEX('HOC Chip Data'!O:O,MATCH(B75,'HOC Chip Data'!A:A,0))*25,0)</f>
        <v>4700</v>
      </c>
      <c r="D75" s="1">
        <f>INDEX(Main!$J$99:$S$108,MATCH(LEFT(B75,LEN(B75)-3)*1,Main!$B$99:$B$108,0),MATCH("Chip "&amp;RIGHT(B75,3)*1,Main!$J$98:$S$98,0))</f>
        <v>20</v>
      </c>
    </row>
    <row r="76" spans="1:4" x14ac:dyDescent="0.3">
      <c r="A76" s="1" t="str">
        <f>IF(INDEX(Main!$A$99:$A$108,MATCH(LEFT(B76,LEN(B76)-3)*1,Main!$B$99:$B$108,0))="X",1234567,"")</f>
        <v/>
      </c>
      <c r="B76" s="1">
        <f t="shared" si="1"/>
        <v>8005</v>
      </c>
      <c r="C76" s="1">
        <f>MAX(INDEX('Exp Tables'!$AI$3:$AN$22,MATCH(D76,'Exp Tables'!$AB$3:$AB$22,0),MATCH(INDEX('HOC Chip Data'!O:O,MATCH(B76,'HOC Chip Data'!A:A,0)),'Exp Tables'!$AI$2:$AN$2,0))-
INDEX('HOC Chip Data'!O:O,MATCH(B76,'HOC Chip Data'!A:A,0))*25,0)</f>
        <v>3525</v>
      </c>
      <c r="D76" s="1">
        <f>INDEX(Main!$J$99:$S$108,MATCH(LEFT(B76,LEN(B76)-3)*1,Main!$B$99:$B$108,0),MATCH("Chip "&amp;RIGHT(B76,3)*1,Main!$J$98:$S$98,0))</f>
        <v>20</v>
      </c>
    </row>
    <row r="77" spans="1:4" x14ac:dyDescent="0.3">
      <c r="A77" s="1" t="str">
        <f>IF(INDEX(Main!$A$99:$A$108,MATCH(LEFT(B77,LEN(B77)-3)*1,Main!$B$99:$B$108,0))="X",1234567,"")</f>
        <v/>
      </c>
      <c r="B77" s="1">
        <f t="shared" ref="B77:B81" si="2">B67+1000</f>
        <v>8006</v>
      </c>
      <c r="C77" s="1">
        <f>MAX(INDEX('Exp Tables'!$AI$3:$AN$22,MATCH(D77,'Exp Tables'!$AB$3:$AB$22,0),MATCH(INDEX('HOC Chip Data'!O:O,MATCH(B77,'HOC Chip Data'!A:A,0)),'Exp Tables'!$AI$2:$AN$2,0))-
INDEX('HOC Chip Data'!O:O,MATCH(B77,'HOC Chip Data'!A:A,0))*25,0)</f>
        <v>2350</v>
      </c>
      <c r="D77" s="1">
        <f>INDEX(Main!$J$99:$S$108,MATCH(LEFT(B77,LEN(B77)-3)*1,Main!$B$99:$B$108,0),MATCH("Chip "&amp;RIGHT(B77,3)*1,Main!$J$98:$S$98,0))</f>
        <v>20</v>
      </c>
    </row>
    <row r="78" spans="1:4" x14ac:dyDescent="0.3">
      <c r="A78" s="1" t="str">
        <f>IF(INDEX(Main!$A$99:$A$108,MATCH(LEFT(B78,LEN(B78)-3)*1,Main!$B$99:$B$108,0))="X",1234567,"")</f>
        <v/>
      </c>
      <c r="B78" s="1">
        <f t="shared" si="2"/>
        <v>8007</v>
      </c>
      <c r="C78" s="1">
        <f>MAX(INDEX('Exp Tables'!$AI$3:$AN$22,MATCH(D78,'Exp Tables'!$AB$3:$AB$22,0),MATCH(INDEX('HOC Chip Data'!O:O,MATCH(B78,'HOC Chip Data'!A:A,0)),'Exp Tables'!$AI$2:$AN$2,0))-
INDEX('HOC Chip Data'!O:O,MATCH(B78,'HOC Chip Data'!A:A,0))*25,0)</f>
        <v>4700</v>
      </c>
      <c r="D78" s="1">
        <f>INDEX(Main!$J$99:$S$108,MATCH(LEFT(B78,LEN(B78)-3)*1,Main!$B$99:$B$108,0),MATCH("Chip "&amp;RIGHT(B78,3)*1,Main!$J$98:$S$98,0))</f>
        <v>20</v>
      </c>
    </row>
    <row r="79" spans="1:4" x14ac:dyDescent="0.3">
      <c r="A79" s="1" t="str">
        <f>IF(INDEX(Main!$A$99:$A$108,MATCH(LEFT(B79,LEN(B79)-3)*1,Main!$B$99:$B$108,0))="X",1234567,"")</f>
        <v/>
      </c>
      <c r="B79" s="1">
        <f t="shared" si="2"/>
        <v>8008</v>
      </c>
      <c r="C79" s="1">
        <f>MAX(INDEX('Exp Tables'!$AI$3:$AN$22,MATCH(D79,'Exp Tables'!$AB$3:$AB$22,0),MATCH(INDEX('HOC Chip Data'!O:O,MATCH(B79,'HOC Chip Data'!A:A,0)),'Exp Tables'!$AI$2:$AN$2,0))-
INDEX('HOC Chip Data'!O:O,MATCH(B79,'HOC Chip Data'!A:A,0))*25,0)</f>
        <v>2350</v>
      </c>
      <c r="D79" s="1">
        <f>INDEX(Main!$J$99:$S$108,MATCH(LEFT(B79,LEN(B79)-3)*1,Main!$B$99:$B$108,0),MATCH("Chip "&amp;RIGHT(B79,3)*1,Main!$J$98:$S$98,0))</f>
        <v>20</v>
      </c>
    </row>
    <row r="80" spans="1:4" x14ac:dyDescent="0.3">
      <c r="A80" s="1" t="str">
        <f>IF(INDEX(Main!$A$99:$A$108,MATCH(LEFT(B80,LEN(B80)-3)*1,Main!$B$99:$B$108,0))="X",1234567,"")</f>
        <v/>
      </c>
      <c r="B80" s="1">
        <f t="shared" si="2"/>
        <v>8009</v>
      </c>
      <c r="C80" s="1">
        <f>MAX(INDEX('Exp Tables'!$AI$3:$AN$22,MATCH(D80,'Exp Tables'!$AB$3:$AB$22,0),MATCH(INDEX('HOC Chip Data'!O:O,MATCH(B80,'HOC Chip Data'!A:A,0)),'Exp Tables'!$AI$2:$AN$2,0))-
INDEX('HOC Chip Data'!O:O,MATCH(B80,'HOC Chip Data'!A:A,0))*25,0)</f>
        <v>4700</v>
      </c>
      <c r="D80" s="1">
        <f>INDEX(Main!$J$99:$S$108,MATCH(LEFT(B80,LEN(B80)-3)*1,Main!$B$99:$B$108,0),MATCH("Chip "&amp;RIGHT(B80,3)*1,Main!$J$98:$S$98,0))</f>
        <v>20</v>
      </c>
    </row>
    <row r="81" spans="1:4" x14ac:dyDescent="0.3">
      <c r="A81" s="45" t="str">
        <f>IF(INDEX(Main!$A$99:$A$108,MATCH(LEFT(B81,LEN(B81)-3)*1,Main!$B$99:$B$108,0))="X",1234567,"")</f>
        <v/>
      </c>
      <c r="B81" s="45">
        <f t="shared" si="2"/>
        <v>8010</v>
      </c>
      <c r="C81" s="45">
        <f>MAX(INDEX('Exp Tables'!$AI$3:$AN$22,MATCH(D81,'Exp Tables'!$AB$3:$AB$22,0),MATCH(INDEX('HOC Chip Data'!O:O,MATCH(B81,'HOC Chip Data'!A:A,0)),'Exp Tables'!$AI$2:$AN$2,0))-
INDEX('HOC Chip Data'!O:O,MATCH(B81,'HOC Chip Data'!A:A,0))*25,0)</f>
        <v>2350</v>
      </c>
      <c r="D81" s="45">
        <f>INDEX(Main!$J$99:$S$108,MATCH(LEFT(B81,LEN(B81)-3)*1,Main!$B$99:$B$108,0),MATCH("Chip "&amp;RIGHT(B81,3)*1,Main!$J$98:$S$98,0))</f>
        <v>20</v>
      </c>
    </row>
    <row r="82" spans="1:4" x14ac:dyDescent="0.3">
      <c r="A82" s="181" t="str">
        <f>IF(INDEX(Main!$A$99:$A$108,MATCH(LEFT(B82,LEN(B82)-3)*1,Main!$B$99:$B$108,0))="X",1234567,"")</f>
        <v/>
      </c>
      <c r="B82" s="181">
        <f>B72+1000</f>
        <v>9001</v>
      </c>
      <c r="C82" s="181">
        <f>MAX(INDEX('Exp Tables'!$AI$3:$AN$22,MATCH(D82,'Exp Tables'!$AB$3:$AB$22,0),MATCH(INDEX('HOC Chip Data'!O:O,MATCH(B82,'HOC Chip Data'!A:A,0)),'Exp Tables'!$AI$2:$AN$2,0))-
INDEX('HOC Chip Data'!O:O,MATCH(B82,'HOC Chip Data'!A:A,0))*25,0)</f>
        <v>3525</v>
      </c>
      <c r="D82" s="181">
        <f>INDEX(Main!$J$99:$S$108,MATCH(LEFT(B82,LEN(B82)-3)*1,Main!$B$99:$B$108,0),MATCH("Chip "&amp;RIGHT(B82,3)*1,Main!$J$98:$S$98,0))</f>
        <v>20</v>
      </c>
    </row>
    <row r="83" spans="1:4" x14ac:dyDescent="0.3">
      <c r="A83" s="1" t="str">
        <f>IF(INDEX(Main!$A$99:$A$108,MATCH(LEFT(B83,LEN(B83)-3)*1,Main!$B$99:$B$108,0))="X",1234567,"")</f>
        <v/>
      </c>
      <c r="B83" s="1">
        <f t="shared" ref="B83:B101" si="3">B73+1000</f>
        <v>9002</v>
      </c>
      <c r="C83" s="1">
        <f>MAX(INDEX('Exp Tables'!$AI$3:$AN$22,MATCH(D83,'Exp Tables'!$AB$3:$AB$22,0),MATCH(INDEX('HOC Chip Data'!O:O,MATCH(B83,'HOC Chip Data'!A:A,0)),'Exp Tables'!$AI$2:$AN$2,0))-
INDEX('HOC Chip Data'!O:O,MATCH(B83,'HOC Chip Data'!A:A,0))*25,0)</f>
        <v>4700</v>
      </c>
      <c r="D83" s="1">
        <f>INDEX(Main!$J$99:$S$108,MATCH(LEFT(B83,LEN(B83)-3)*1,Main!$B$99:$B$108,0),MATCH("Chip "&amp;RIGHT(B83,3)*1,Main!$J$98:$S$98,0))</f>
        <v>20</v>
      </c>
    </row>
    <row r="84" spans="1:4" x14ac:dyDescent="0.3">
      <c r="A84" s="1" t="str">
        <f>IF(INDEX(Main!$A$99:$A$108,MATCH(LEFT(B84,LEN(B84)-3)*1,Main!$B$99:$B$108,0))="X",1234567,"")</f>
        <v/>
      </c>
      <c r="B84" s="1">
        <f t="shared" si="3"/>
        <v>9003</v>
      </c>
      <c r="C84" s="1">
        <f>MAX(INDEX('Exp Tables'!$AI$3:$AN$22,MATCH(D84,'Exp Tables'!$AB$3:$AB$22,0),MATCH(INDEX('HOC Chip Data'!O:O,MATCH(B84,'HOC Chip Data'!A:A,0)),'Exp Tables'!$AI$2:$AN$2,0))-
INDEX('HOC Chip Data'!O:O,MATCH(B84,'HOC Chip Data'!A:A,0))*25,0)</f>
        <v>4700</v>
      </c>
      <c r="D84" s="1">
        <f>INDEX(Main!$J$99:$S$108,MATCH(LEFT(B84,LEN(B84)-3)*1,Main!$B$99:$B$108,0),MATCH("Chip "&amp;RIGHT(B84,3)*1,Main!$J$98:$S$98,0))</f>
        <v>20</v>
      </c>
    </row>
    <row r="85" spans="1:4" x14ac:dyDescent="0.3">
      <c r="A85" s="1" t="str">
        <f>IF(INDEX(Main!$A$99:$A$108,MATCH(LEFT(B85,LEN(B85)-3)*1,Main!$B$99:$B$108,0))="X",1234567,"")</f>
        <v/>
      </c>
      <c r="B85" s="1">
        <f t="shared" si="3"/>
        <v>9004</v>
      </c>
      <c r="C85" s="1">
        <f>MAX(INDEX('Exp Tables'!$AI$3:$AN$22,MATCH(D85,'Exp Tables'!$AB$3:$AB$22,0),MATCH(INDEX('HOC Chip Data'!O:O,MATCH(B85,'HOC Chip Data'!A:A,0)),'Exp Tables'!$AI$2:$AN$2,0))-
INDEX('HOC Chip Data'!O:O,MATCH(B85,'HOC Chip Data'!A:A,0))*25,0)</f>
        <v>4700</v>
      </c>
      <c r="D85" s="1">
        <f>INDEX(Main!$J$99:$S$108,MATCH(LEFT(B85,LEN(B85)-3)*1,Main!$B$99:$B$108,0),MATCH("Chip "&amp;RIGHT(B85,3)*1,Main!$J$98:$S$98,0))</f>
        <v>20</v>
      </c>
    </row>
    <row r="86" spans="1:4" x14ac:dyDescent="0.3">
      <c r="A86" s="1" t="str">
        <f>IF(INDEX(Main!$A$99:$A$108,MATCH(LEFT(B86,LEN(B86)-3)*1,Main!$B$99:$B$108,0))="X",1234567,"")</f>
        <v/>
      </c>
      <c r="B86" s="1">
        <f t="shared" si="3"/>
        <v>9005</v>
      </c>
      <c r="C86" s="1">
        <f>MAX(INDEX('Exp Tables'!$AI$3:$AN$22,MATCH(D86,'Exp Tables'!$AB$3:$AB$22,0),MATCH(INDEX('HOC Chip Data'!O:O,MATCH(B86,'HOC Chip Data'!A:A,0)),'Exp Tables'!$AI$2:$AN$2,0))-
INDEX('HOC Chip Data'!O:O,MATCH(B86,'HOC Chip Data'!A:A,0))*25,0)</f>
        <v>4700</v>
      </c>
      <c r="D86" s="1">
        <f>INDEX(Main!$J$99:$S$108,MATCH(LEFT(B86,LEN(B86)-3)*1,Main!$B$99:$B$108,0),MATCH("Chip "&amp;RIGHT(B86,3)*1,Main!$J$98:$S$98,0))</f>
        <v>20</v>
      </c>
    </row>
    <row r="87" spans="1:4" x14ac:dyDescent="0.3">
      <c r="A87" s="1" t="str">
        <f>IF(INDEX(Main!$A$99:$A$108,MATCH(LEFT(B87,LEN(B87)-3)*1,Main!$B$99:$B$108,0))="X",1234567,"")</f>
        <v/>
      </c>
      <c r="B87" s="1">
        <f t="shared" si="3"/>
        <v>9006</v>
      </c>
      <c r="C87" s="1">
        <f>MAX(INDEX('Exp Tables'!$AI$3:$AN$22,MATCH(D87,'Exp Tables'!$AB$3:$AB$22,0),MATCH(INDEX('HOC Chip Data'!O:O,MATCH(B87,'HOC Chip Data'!A:A,0)),'Exp Tables'!$AI$2:$AN$2,0))-
INDEX('HOC Chip Data'!O:O,MATCH(B87,'HOC Chip Data'!A:A,0))*25,0)</f>
        <v>4700</v>
      </c>
      <c r="D87" s="1">
        <f>INDEX(Main!$J$99:$S$108,MATCH(LEFT(B87,LEN(B87)-3)*1,Main!$B$99:$B$108,0),MATCH("Chip "&amp;RIGHT(B87,3)*1,Main!$J$98:$S$98,0))</f>
        <v>20</v>
      </c>
    </row>
    <row r="88" spans="1:4" x14ac:dyDescent="0.3">
      <c r="A88" s="1" t="str">
        <f>IF(INDEX(Main!$A$99:$A$108,MATCH(LEFT(B88,LEN(B88)-3)*1,Main!$B$99:$B$108,0))="X",1234567,"")</f>
        <v/>
      </c>
      <c r="B88" s="1">
        <f t="shared" si="3"/>
        <v>9007</v>
      </c>
      <c r="C88" s="1">
        <f>MAX(INDEX('Exp Tables'!$AI$3:$AN$22,MATCH(D88,'Exp Tables'!$AB$3:$AB$22,0),MATCH(INDEX('HOC Chip Data'!O:O,MATCH(B88,'HOC Chip Data'!A:A,0)),'Exp Tables'!$AI$2:$AN$2,0))-
INDEX('HOC Chip Data'!O:O,MATCH(B88,'HOC Chip Data'!A:A,0))*25,0)</f>
        <v>4700</v>
      </c>
      <c r="D88" s="1">
        <f>INDEX(Main!$J$99:$S$108,MATCH(LEFT(B88,LEN(B88)-3)*1,Main!$B$99:$B$108,0),MATCH("Chip "&amp;RIGHT(B88,3)*1,Main!$J$98:$S$98,0))</f>
        <v>20</v>
      </c>
    </row>
    <row r="89" spans="1:4" x14ac:dyDescent="0.3">
      <c r="A89" s="1" t="str">
        <f>IF(INDEX(Main!$A$99:$A$108,MATCH(LEFT(B89,LEN(B89)-3)*1,Main!$B$99:$B$108,0))="X",1234567,"")</f>
        <v/>
      </c>
      <c r="B89" s="1">
        <f t="shared" si="3"/>
        <v>9008</v>
      </c>
      <c r="C89" s="1">
        <f>MAX(INDEX('Exp Tables'!$AI$3:$AN$22,MATCH(D89,'Exp Tables'!$AB$3:$AB$22,0),MATCH(INDEX('HOC Chip Data'!O:O,MATCH(B89,'HOC Chip Data'!A:A,0)),'Exp Tables'!$AI$2:$AN$2,0))-
INDEX('HOC Chip Data'!O:O,MATCH(B89,'HOC Chip Data'!A:A,0))*25,0)</f>
        <v>3525</v>
      </c>
      <c r="D89" s="1">
        <f>INDEX(Main!$J$99:$S$108,MATCH(LEFT(B89,LEN(B89)-3)*1,Main!$B$99:$B$108,0),MATCH("Chip "&amp;RIGHT(B89,3)*1,Main!$J$98:$S$98,0))</f>
        <v>20</v>
      </c>
    </row>
    <row r="90" spans="1:4" x14ac:dyDescent="0.3">
      <c r="A90" s="1" t="str">
        <f>IF(INDEX(Main!$A$99:$A$108,MATCH(LEFT(B90,LEN(B90)-3)*1,Main!$B$99:$B$108,0))="X",1234567,"")</f>
        <v/>
      </c>
      <c r="B90" s="1">
        <f t="shared" si="3"/>
        <v>9009</v>
      </c>
      <c r="C90" s="1">
        <f>MAX(INDEX('Exp Tables'!$AI$3:$AN$22,MATCH(D90,'Exp Tables'!$AB$3:$AB$22,0),MATCH(INDEX('HOC Chip Data'!O:O,MATCH(B90,'HOC Chip Data'!A:A,0)),'Exp Tables'!$AI$2:$AN$2,0))-
INDEX('HOC Chip Data'!O:O,MATCH(B90,'HOC Chip Data'!A:A,0))*25,0)</f>
        <v>4700</v>
      </c>
      <c r="D90" s="1">
        <f>INDEX(Main!$J$99:$S$108,MATCH(LEFT(B90,LEN(B90)-3)*1,Main!$B$99:$B$108,0),MATCH("Chip "&amp;RIGHT(B90,3)*1,Main!$J$98:$S$98,0))</f>
        <v>20</v>
      </c>
    </row>
    <row r="91" spans="1:4" x14ac:dyDescent="0.3">
      <c r="A91" s="45" t="str">
        <f>IF(INDEX(Main!$A$99:$A$108,MATCH(LEFT(B91,LEN(B91)-3)*1,Main!$B$99:$B$108,0))="X",1234567,"")</f>
        <v/>
      </c>
      <c r="B91" s="45">
        <f t="shared" si="3"/>
        <v>9010</v>
      </c>
      <c r="C91" s="45">
        <f>MAX(INDEX('Exp Tables'!$AI$3:$AN$22,MATCH(D91,'Exp Tables'!$AB$3:$AB$22,0),MATCH(INDEX('HOC Chip Data'!O:O,MATCH(B91,'HOC Chip Data'!A:A,0)),'Exp Tables'!$AI$2:$AN$2,0))-
INDEX('HOC Chip Data'!O:O,MATCH(B91,'HOC Chip Data'!A:A,0))*25,0)</f>
        <v>4700</v>
      </c>
      <c r="D91" s="45">
        <f>INDEX(Main!$J$99:$S$108,MATCH(LEFT(B91,LEN(B91)-3)*1,Main!$B$99:$B$108,0),MATCH("Chip "&amp;RIGHT(B91,3)*1,Main!$J$98:$S$98,0))</f>
        <v>20</v>
      </c>
    </row>
    <row r="92" spans="1:4" x14ac:dyDescent="0.3">
      <c r="A92" s="181" t="str">
        <f>IF(INDEX(Main!$A$99:$A$108,MATCH(LEFT(B92,LEN(B92)-3)*1,Main!$B$99:$B$108,0))="X",1234567,"")</f>
        <v/>
      </c>
      <c r="B92" s="181">
        <f>B82+1000</f>
        <v>10001</v>
      </c>
      <c r="C92" s="181">
        <f>MAX(INDEX('Exp Tables'!$AI$3:$AN$22,MATCH(D92,'Exp Tables'!$AB$3:$AB$22,0),MATCH(INDEX('HOC Chip Data'!O:O,MATCH(B92,'HOC Chip Data'!A:A,0)),'Exp Tables'!$AI$2:$AN$2,0))-
INDEX('HOC Chip Data'!O:O,MATCH(B92,'HOC Chip Data'!A:A,0))*25,0)</f>
        <v>3525</v>
      </c>
      <c r="D92" s="181">
        <f>INDEX(Main!$J$99:$S$108,MATCH(LEFT(B92,LEN(B92)-3)*1,Main!$B$99:$B$108,0),MATCH("Chip "&amp;RIGHT(B92,3)*1,Main!$J$98:$S$98,0))</f>
        <v>20</v>
      </c>
    </row>
    <row r="93" spans="1:4" x14ac:dyDescent="0.3">
      <c r="A93" s="1" t="str">
        <f>IF(INDEX(Main!$A$99:$A$108,MATCH(LEFT(B93,LEN(B93)-3)*1,Main!$B$99:$B$108,0))="X",1234567,"")</f>
        <v/>
      </c>
      <c r="B93" s="1">
        <f t="shared" si="3"/>
        <v>10002</v>
      </c>
      <c r="C93" s="1">
        <f>MAX(INDEX('Exp Tables'!$AI$3:$AN$22,MATCH(D93,'Exp Tables'!$AB$3:$AB$22,0),MATCH(INDEX('HOC Chip Data'!O:O,MATCH(B93,'HOC Chip Data'!A:A,0)),'Exp Tables'!$AI$2:$AN$2,0))-
INDEX('HOC Chip Data'!O:O,MATCH(B93,'HOC Chip Data'!A:A,0))*25,0)</f>
        <v>2350</v>
      </c>
      <c r="D93" s="1">
        <f>INDEX(Main!$J$99:$S$108,MATCH(LEFT(B93,LEN(B93)-3)*1,Main!$B$99:$B$108,0),MATCH("Chip "&amp;RIGHT(B93,3)*1,Main!$J$98:$S$98,0))</f>
        <v>20</v>
      </c>
    </row>
    <row r="94" spans="1:4" x14ac:dyDescent="0.3">
      <c r="A94" s="1" t="str">
        <f>IF(INDEX(Main!$A$99:$A$108,MATCH(LEFT(B94,LEN(B94)-3)*1,Main!$B$99:$B$108,0))="X",1234567,"")</f>
        <v/>
      </c>
      <c r="B94" s="1">
        <f t="shared" si="3"/>
        <v>10003</v>
      </c>
      <c r="C94" s="1">
        <f>MAX(INDEX('Exp Tables'!$AI$3:$AN$22,MATCH(D94,'Exp Tables'!$AB$3:$AB$22,0),MATCH(INDEX('HOC Chip Data'!O:O,MATCH(B94,'HOC Chip Data'!A:A,0)),'Exp Tables'!$AI$2:$AN$2,0))-
INDEX('HOC Chip Data'!O:O,MATCH(B94,'HOC Chip Data'!A:A,0))*25,0)</f>
        <v>4700</v>
      </c>
      <c r="D94" s="1">
        <f>INDEX(Main!$J$99:$S$108,MATCH(LEFT(B94,LEN(B94)-3)*1,Main!$B$99:$B$108,0),MATCH("Chip "&amp;RIGHT(B94,3)*1,Main!$J$98:$S$98,0))</f>
        <v>20</v>
      </c>
    </row>
    <row r="95" spans="1:4" x14ac:dyDescent="0.3">
      <c r="A95" s="1" t="str">
        <f>IF(INDEX(Main!$A$99:$A$108,MATCH(LEFT(B95,LEN(B95)-3)*1,Main!$B$99:$B$108,0))="X",1234567,"")</f>
        <v/>
      </c>
      <c r="B95" s="1">
        <f t="shared" si="3"/>
        <v>10004</v>
      </c>
      <c r="C95" s="1">
        <f>MAX(INDEX('Exp Tables'!$AI$3:$AN$22,MATCH(D95,'Exp Tables'!$AB$3:$AB$22,0),MATCH(INDEX('HOC Chip Data'!O:O,MATCH(B95,'HOC Chip Data'!A:A,0)),'Exp Tables'!$AI$2:$AN$2,0))-
INDEX('HOC Chip Data'!O:O,MATCH(B95,'HOC Chip Data'!A:A,0))*25,0)</f>
        <v>3525</v>
      </c>
      <c r="D95" s="1">
        <f>INDEX(Main!$J$99:$S$108,MATCH(LEFT(B95,LEN(B95)-3)*1,Main!$B$99:$B$108,0),MATCH("Chip "&amp;RIGHT(B95,3)*1,Main!$J$98:$S$98,0))</f>
        <v>20</v>
      </c>
    </row>
    <row r="96" spans="1:4" x14ac:dyDescent="0.3">
      <c r="A96" s="1" t="str">
        <f>IF(INDEX(Main!$A$99:$A$108,MATCH(LEFT(B96,LEN(B96)-3)*1,Main!$B$99:$B$108,0))="X",1234567,"")</f>
        <v/>
      </c>
      <c r="B96" s="1">
        <f t="shared" si="3"/>
        <v>10005</v>
      </c>
      <c r="C96" s="1">
        <f>MAX(INDEX('Exp Tables'!$AI$3:$AN$22,MATCH(D96,'Exp Tables'!$AB$3:$AB$22,0),MATCH(INDEX('HOC Chip Data'!O:O,MATCH(B96,'HOC Chip Data'!A:A,0)),'Exp Tables'!$AI$2:$AN$2,0))-
INDEX('HOC Chip Data'!O:O,MATCH(B96,'HOC Chip Data'!A:A,0))*25,0)</f>
        <v>4700</v>
      </c>
      <c r="D96" s="1">
        <f>INDEX(Main!$J$99:$S$108,MATCH(LEFT(B96,LEN(B96)-3)*1,Main!$B$99:$B$108,0),MATCH("Chip "&amp;RIGHT(B96,3)*1,Main!$J$98:$S$98,0))</f>
        <v>20</v>
      </c>
    </row>
    <row r="97" spans="1:4" x14ac:dyDescent="0.3">
      <c r="A97" s="1" t="str">
        <f>IF(INDEX(Main!$A$99:$A$108,MATCH(LEFT(B97,LEN(B97)-3)*1,Main!$B$99:$B$108,0))="X",1234567,"")</f>
        <v/>
      </c>
      <c r="B97" s="1">
        <f t="shared" si="3"/>
        <v>10006</v>
      </c>
      <c r="C97" s="1">
        <f>MAX(INDEX('Exp Tables'!$AI$3:$AN$22,MATCH(D97,'Exp Tables'!$AB$3:$AB$22,0),MATCH(INDEX('HOC Chip Data'!O:O,MATCH(B97,'HOC Chip Data'!A:A,0)),'Exp Tables'!$AI$2:$AN$2,0))-
INDEX('HOC Chip Data'!O:O,MATCH(B97,'HOC Chip Data'!A:A,0))*25,0)</f>
        <v>4700</v>
      </c>
      <c r="D97" s="1">
        <f>INDEX(Main!$J$99:$S$108,MATCH(LEFT(B97,LEN(B97)-3)*1,Main!$B$99:$B$108,0),MATCH("Chip "&amp;RIGHT(B97,3)*1,Main!$J$98:$S$98,0))</f>
        <v>20</v>
      </c>
    </row>
    <row r="98" spans="1:4" x14ac:dyDescent="0.3">
      <c r="A98" s="1" t="str">
        <f>IF(INDEX(Main!$A$99:$A$108,MATCH(LEFT(B98,LEN(B98)-3)*1,Main!$B$99:$B$108,0))="X",1234567,"")</f>
        <v/>
      </c>
      <c r="B98" s="1">
        <f t="shared" si="3"/>
        <v>10007</v>
      </c>
      <c r="C98" s="1">
        <f>MAX(INDEX('Exp Tables'!$AI$3:$AN$22,MATCH(D98,'Exp Tables'!$AB$3:$AB$22,0),MATCH(INDEX('HOC Chip Data'!O:O,MATCH(B98,'HOC Chip Data'!A:A,0)),'Exp Tables'!$AI$2:$AN$2,0))-
INDEX('HOC Chip Data'!O:O,MATCH(B98,'HOC Chip Data'!A:A,0))*25,0)</f>
        <v>7050</v>
      </c>
      <c r="D98" s="1">
        <f>INDEX(Main!$J$99:$S$108,MATCH(LEFT(B98,LEN(B98)-3)*1,Main!$B$99:$B$108,0),MATCH("Chip "&amp;RIGHT(B98,3)*1,Main!$J$98:$S$98,0))</f>
        <v>20</v>
      </c>
    </row>
    <row r="99" spans="1:4" x14ac:dyDescent="0.3">
      <c r="A99" s="1" t="str">
        <f>IF(INDEX(Main!$A$99:$A$108,MATCH(LEFT(B99,LEN(B99)-3)*1,Main!$B$99:$B$108,0))="X",1234567,"")</f>
        <v/>
      </c>
      <c r="B99" s="1">
        <f t="shared" si="3"/>
        <v>10008</v>
      </c>
      <c r="C99" s="1">
        <f>MAX(INDEX('Exp Tables'!$AI$3:$AN$22,MATCH(D99,'Exp Tables'!$AB$3:$AB$22,0),MATCH(INDEX('HOC Chip Data'!O:O,MATCH(B99,'HOC Chip Data'!A:A,0)),'Exp Tables'!$AI$2:$AN$2,0))-
INDEX('HOC Chip Data'!O:O,MATCH(B99,'HOC Chip Data'!A:A,0))*25,0)</f>
        <v>4700</v>
      </c>
      <c r="D99" s="1">
        <f>INDEX(Main!$J$99:$S$108,MATCH(LEFT(B99,LEN(B99)-3)*1,Main!$B$99:$B$108,0),MATCH("Chip "&amp;RIGHT(B99,3)*1,Main!$J$98:$S$98,0))</f>
        <v>20</v>
      </c>
    </row>
    <row r="100" spans="1:4" x14ac:dyDescent="0.3">
      <c r="A100" s="1" t="str">
        <f>IF(INDEX(Main!$A$99:$A$108,MATCH(LEFT(B100,LEN(B100)-3)*1,Main!$B$99:$B$108,0))="X",1234567,"")</f>
        <v/>
      </c>
      <c r="B100" s="1">
        <f t="shared" si="3"/>
        <v>10009</v>
      </c>
      <c r="C100" s="1">
        <f>MAX(INDEX('Exp Tables'!$AI$3:$AN$22,MATCH(D100,'Exp Tables'!$AB$3:$AB$22,0),MATCH(INDEX('HOC Chip Data'!O:O,MATCH(B100,'HOC Chip Data'!A:A,0)),'Exp Tables'!$AI$2:$AN$2,0))-
INDEX('HOC Chip Data'!O:O,MATCH(B100,'HOC Chip Data'!A:A,0))*25,0)</f>
        <v>2350</v>
      </c>
      <c r="D100" s="1">
        <f>INDEX(Main!$J$99:$S$108,MATCH(LEFT(B100,LEN(B100)-3)*1,Main!$B$99:$B$108,0),MATCH("Chip "&amp;RIGHT(B100,3)*1,Main!$J$98:$S$98,0))</f>
        <v>20</v>
      </c>
    </row>
    <row r="101" spans="1:4" x14ac:dyDescent="0.3">
      <c r="A101" s="45" t="str">
        <f>IF(INDEX(Main!$A$99:$A$108,MATCH(LEFT(B101,LEN(B101)-3)*1,Main!$B$99:$B$108,0))="X",1234567,"")</f>
        <v/>
      </c>
      <c r="B101" s="45">
        <f t="shared" si="3"/>
        <v>10010</v>
      </c>
      <c r="C101" s="45">
        <f>MAX(INDEX('Exp Tables'!$AI$3:$AN$22,MATCH(D101,'Exp Tables'!$AB$3:$AB$22,0),MATCH(INDEX('HOC Chip Data'!O:O,MATCH(B101,'HOC Chip Data'!A:A,0)),'Exp Tables'!$AI$2:$AN$2,0))-
INDEX('HOC Chip Data'!O:O,MATCH(B101,'HOC Chip Data'!A:A,0))*25,0)</f>
        <v>4700</v>
      </c>
      <c r="D101" s="45">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IF(Main!A114="X",2&amp;Main!B114,"")</f>
        <v/>
      </c>
      <c r="B11" s="230">
        <v>1234567</v>
      </c>
      <c r="C11" s="230">
        <f>INDEX('SF Data'!$A:$A,MATCH(Main!C114,'SF Data'!$C:$C,0))</f>
        <v>1006</v>
      </c>
      <c r="D11" s="230">
        <f>VLOOKUP(E11,'Exp Tables'!$M$3:$O$102,3,FALSE)</f>
        <v>3255500</v>
      </c>
      <c r="E11" s="230">
        <f>Main!D114</f>
        <v>100</v>
      </c>
      <c r="F11" s="230">
        <f>Main!E114</f>
        <v>5</v>
      </c>
      <c r="G11" s="230">
        <f>Main!F114</f>
        <v>4</v>
      </c>
      <c r="H11" s="230">
        <v>100</v>
      </c>
      <c r="I11" s="230">
        <v>0</v>
      </c>
      <c r="J11" s="230">
        <v>0</v>
      </c>
      <c r="K11" s="230">
        <f>Main!H114</f>
        <v>10</v>
      </c>
      <c r="L11" s="230">
        <f>Main!I114</f>
        <v>10</v>
      </c>
      <c r="M11" s="230">
        <f>Main!J114</f>
        <v>5</v>
      </c>
      <c r="N11" s="230">
        <f>IF(Main!E114&gt;=4,Main!K114,0)</f>
        <v>5</v>
      </c>
      <c r="O11" s="230">
        <f>IF(Main!L114="",0,INDEX('SF Chip Data'!$A:$A,MATCH(Main!L114,'SF Chip Data'!$B:$B,0)))</f>
        <v>0</v>
      </c>
      <c r="P11" s="230">
        <f>IF(AND(Main!E114&gt;=4,Main!M114&lt;&gt;""),INDEX('SF Chip Data'!$A:$A,MATCH(Main!M114,'SF Chip Data'!$B:$B,0)),0)</f>
        <v>0</v>
      </c>
      <c r="Q11" s="230">
        <v>0</v>
      </c>
      <c r="R11" s="230">
        <f>Main!G114*10000</f>
        <v>1000000</v>
      </c>
      <c r="S11" s="230">
        <f>IF(Main!G114&lt;=100,1000000,1500000)</f>
        <v>1000000</v>
      </c>
      <c r="T11" s="230">
        <f t="shared" ref="T11:T15" si="2">S11</f>
        <v>1000000</v>
      </c>
      <c r="U11" s="230">
        <f>'SF Stat Calc'!X12</f>
        <v>1263</v>
      </c>
      <c r="V11" s="230">
        <v>0</v>
      </c>
      <c r="W11" s="230">
        <f>IF(Main!G114&gt;100,1,0)</f>
        <v>0</v>
      </c>
      <c r="X11" s="230">
        <v>0</v>
      </c>
      <c r="Y11" s="230">
        <v>0</v>
      </c>
      <c r="Z11" s="230">
        <v>0</v>
      </c>
      <c r="AA11" s="230">
        <v>1</v>
      </c>
    </row>
    <row r="12" spans="1:27" x14ac:dyDescent="0.3">
      <c r="A12" s="230" t="str">
        <f>IF(Main!A115="X",2&amp;Main!B115,"")</f>
        <v/>
      </c>
      <c r="B12" s="230">
        <v>1234567</v>
      </c>
      <c r="C12" s="230">
        <f>INDEX('SF Data'!$A:$A,MATCH(Main!C115,'SF Data'!$C:$C,0))</f>
        <v>1005</v>
      </c>
      <c r="D12" s="230">
        <f>VLOOKUP(E12,'Exp Tables'!$M$3:$O$102,3,FALSE)</f>
        <v>3255500</v>
      </c>
      <c r="E12" s="230">
        <f>Main!D115</f>
        <v>100</v>
      </c>
      <c r="F12" s="230">
        <f>Main!E115</f>
        <v>5</v>
      </c>
      <c r="G12" s="230">
        <f>Main!F115</f>
        <v>4</v>
      </c>
      <c r="H12" s="230">
        <v>100</v>
      </c>
      <c r="I12" s="230">
        <v>0</v>
      </c>
      <c r="J12" s="230">
        <v>0</v>
      </c>
      <c r="K12" s="230">
        <f>Main!H115</f>
        <v>10</v>
      </c>
      <c r="L12" s="230">
        <f>Main!I115</f>
        <v>10</v>
      </c>
      <c r="M12" s="230">
        <f>Main!J115</f>
        <v>5</v>
      </c>
      <c r="N12" s="230">
        <f>IF(Main!E115&gt;=4,Main!K115,0)</f>
        <v>5</v>
      </c>
      <c r="O12" s="230">
        <f>IF(Main!L115="",0,INDEX('SF Chip Data'!$A:$A,MATCH(Main!L115,'SF Chip Data'!$B:$B,0)))</f>
        <v>0</v>
      </c>
      <c r="P12" s="230">
        <f>IF(AND(Main!E115&gt;=4,Main!M115&lt;&gt;""),INDEX('SF Chip Data'!$A:$A,MATCH(Main!M115,'SF Chip Data'!$B:$B,0)),0)</f>
        <v>0</v>
      </c>
      <c r="Q12" s="230">
        <v>0</v>
      </c>
      <c r="R12" s="230">
        <f>Main!G115*10000</f>
        <v>1000000</v>
      </c>
      <c r="S12" s="230">
        <f>IF(Main!G115&lt;=100,1000000,1500000)</f>
        <v>1000000</v>
      </c>
      <c r="T12" s="230">
        <f t="shared" si="2"/>
        <v>1000000</v>
      </c>
      <c r="U12" s="230">
        <f>'SF Stat Calc'!X13</f>
        <v>1263</v>
      </c>
      <c r="V12" s="230">
        <v>0</v>
      </c>
      <c r="W12" s="230">
        <f>IF(Main!G115&gt;100,1,0)</f>
        <v>0</v>
      </c>
      <c r="X12" s="230">
        <v>0</v>
      </c>
      <c r="Y12" s="230">
        <v>0</v>
      </c>
      <c r="Z12" s="230">
        <v>0</v>
      </c>
      <c r="AA12" s="230">
        <v>1</v>
      </c>
    </row>
    <row r="13" spans="1:27" x14ac:dyDescent="0.3">
      <c r="A13" s="230" t="str">
        <f>IF(Main!A116="X",2&amp;Main!B116,"")</f>
        <v/>
      </c>
      <c r="B13" s="230">
        <v>1234567</v>
      </c>
      <c r="C13" s="230">
        <f>INDEX('SF Data'!$A:$A,MATCH(Main!C116,'SF Data'!$C:$C,0))</f>
        <v>1009</v>
      </c>
      <c r="D13" s="230">
        <f>VLOOKUP(E13,'Exp Tables'!$M$3:$O$102,3,FALSE)</f>
        <v>3255500</v>
      </c>
      <c r="E13" s="230">
        <f>Main!D116</f>
        <v>100</v>
      </c>
      <c r="F13" s="230">
        <f>Main!E116</f>
        <v>5</v>
      </c>
      <c r="G13" s="230">
        <f>Main!F116</f>
        <v>4</v>
      </c>
      <c r="H13" s="230">
        <v>100</v>
      </c>
      <c r="I13" s="230">
        <v>0</v>
      </c>
      <c r="J13" s="230">
        <v>0</v>
      </c>
      <c r="K13" s="230">
        <f>Main!H116</f>
        <v>10</v>
      </c>
      <c r="L13" s="230">
        <f>Main!I116</f>
        <v>10</v>
      </c>
      <c r="M13" s="230">
        <f>Main!J116</f>
        <v>5</v>
      </c>
      <c r="N13" s="230">
        <f>IF(Main!E116&gt;=4,Main!K116,0)</f>
        <v>5</v>
      </c>
      <c r="O13" s="230">
        <f>IF(Main!L116="",0,INDEX('SF Chip Data'!$A:$A,MATCH(Main!L116,'SF Chip Data'!$B:$B,0)))</f>
        <v>0</v>
      </c>
      <c r="P13" s="230">
        <f>IF(AND(Main!E116&gt;=4,Main!M116&lt;&gt;""),INDEX('SF Chip Data'!$A:$A,MATCH(Main!M116,'SF Chip Data'!$B:$B,0)),0)</f>
        <v>0</v>
      </c>
      <c r="Q13" s="230">
        <v>0</v>
      </c>
      <c r="R13" s="230">
        <f>Main!G116*10000</f>
        <v>1000000</v>
      </c>
      <c r="S13" s="230">
        <f>IF(Main!G116&lt;=100,1000000,1500000)</f>
        <v>1000000</v>
      </c>
      <c r="T13" s="230">
        <f t="shared" si="2"/>
        <v>1000000</v>
      </c>
      <c r="U13" s="230">
        <f>'SF Stat Calc'!X14</f>
        <v>1091</v>
      </c>
      <c r="V13" s="230">
        <v>0</v>
      </c>
      <c r="W13" s="230">
        <f>IF(Main!G116&gt;100,1,0)</f>
        <v>0</v>
      </c>
      <c r="X13" s="230">
        <v>0</v>
      </c>
      <c r="Y13" s="230">
        <v>0</v>
      </c>
      <c r="Z13" s="230">
        <v>0</v>
      </c>
      <c r="AA13" s="230">
        <v>1</v>
      </c>
    </row>
    <row r="14" spans="1:27" x14ac:dyDescent="0.3">
      <c r="A14" s="230" t="str">
        <f>IF(Main!A117="X",2&amp;Main!B117,"")</f>
        <v/>
      </c>
      <c r="B14" s="230">
        <v>1234567</v>
      </c>
      <c r="C14" s="230">
        <f>INDEX('SF Data'!$A:$A,MATCH(Main!C117,'SF Data'!$C:$C,0))</f>
        <v>1014</v>
      </c>
      <c r="D14" s="230">
        <f>VLOOKUP(E14,'Exp Tables'!$M$3:$O$102,3,FALSE)</f>
        <v>3255500</v>
      </c>
      <c r="E14" s="230">
        <f>Main!D117</f>
        <v>100</v>
      </c>
      <c r="F14" s="230">
        <f>Main!E117</f>
        <v>5</v>
      </c>
      <c r="G14" s="230">
        <f>Main!F117</f>
        <v>4</v>
      </c>
      <c r="H14" s="230">
        <v>100</v>
      </c>
      <c r="I14" s="230">
        <v>0</v>
      </c>
      <c r="J14" s="230">
        <v>0</v>
      </c>
      <c r="K14" s="230">
        <f>Main!H117</f>
        <v>10</v>
      </c>
      <c r="L14" s="230">
        <f>Main!I117</f>
        <v>10</v>
      </c>
      <c r="M14" s="230">
        <f>Main!J117</f>
        <v>5</v>
      </c>
      <c r="N14" s="230">
        <f>IF(Main!E117&gt;=4,Main!K117,0)</f>
        <v>5</v>
      </c>
      <c r="O14" s="230">
        <f>IF(Main!L117="",0,INDEX('SF Chip Data'!$A:$A,MATCH(Main!L117,'SF Chip Data'!$B:$B,0)))</f>
        <v>0</v>
      </c>
      <c r="P14" s="230">
        <f>IF(AND(Main!E117&gt;=4,Main!M117&lt;&gt;""),INDEX('SF Chip Data'!$A:$A,MATCH(Main!M117,'SF Chip Data'!$B:$B,0)),0)</f>
        <v>0</v>
      </c>
      <c r="Q14" s="230">
        <v>0</v>
      </c>
      <c r="R14" s="230">
        <f>Main!G117*10000</f>
        <v>1000000</v>
      </c>
      <c r="S14" s="230">
        <f>IF(Main!G117&lt;=100,1000000,1500000)</f>
        <v>1000000</v>
      </c>
      <c r="T14" s="230">
        <f t="shared" si="2"/>
        <v>1000000</v>
      </c>
      <c r="U14" s="230">
        <f>'SF Stat Calc'!X15</f>
        <v>1205</v>
      </c>
      <c r="V14" s="230">
        <v>0</v>
      </c>
      <c r="W14" s="230">
        <f>IF(Main!G117&gt;100,1,0)</f>
        <v>0</v>
      </c>
      <c r="X14" s="230">
        <v>0</v>
      </c>
      <c r="Y14" s="230">
        <v>0</v>
      </c>
      <c r="Z14" s="230">
        <v>0</v>
      </c>
      <c r="AA14" s="230">
        <v>1</v>
      </c>
    </row>
    <row r="15" spans="1:27" x14ac:dyDescent="0.3">
      <c r="A15" s="230" t="str">
        <f>IF(Main!A118="X",2&amp;Main!B118,"")</f>
        <v/>
      </c>
      <c r="B15" s="230">
        <v>1234567</v>
      </c>
      <c r="C15" s="230">
        <f>INDEX('SF Data'!$A:$A,MATCH(Main!C118,'SF Data'!$C:$C,0))</f>
        <v>1013</v>
      </c>
      <c r="D15" s="230">
        <f>VLOOKUP(E15,'Exp Tables'!$M$3:$O$102,3,FALSE)</f>
        <v>3255500</v>
      </c>
      <c r="E15" s="230">
        <f>Main!D118</f>
        <v>100</v>
      </c>
      <c r="F15" s="230">
        <f>Main!E118</f>
        <v>5</v>
      </c>
      <c r="G15" s="230">
        <f>Main!F118</f>
        <v>4</v>
      </c>
      <c r="H15" s="230">
        <v>100</v>
      </c>
      <c r="I15" s="230">
        <v>0</v>
      </c>
      <c r="J15" s="230">
        <v>0</v>
      </c>
      <c r="K15" s="230">
        <f>Main!H118</f>
        <v>10</v>
      </c>
      <c r="L15" s="230">
        <f>Main!I118</f>
        <v>10</v>
      </c>
      <c r="M15" s="230">
        <f>Main!J118</f>
        <v>5</v>
      </c>
      <c r="N15" s="230">
        <f>IF(Main!E118&gt;=4,Main!K118,0)</f>
        <v>5</v>
      </c>
      <c r="O15" s="230">
        <f>IF(Main!L118="",0,INDEX('SF Chip Data'!$A:$A,MATCH(Main!L118,'SF Chip Data'!$B:$B,0)))</f>
        <v>0</v>
      </c>
      <c r="P15" s="230">
        <f>IF(AND(Main!E118&gt;=4,Main!M118&lt;&gt;""),INDEX('SF Chip Data'!$A:$A,MATCH(Main!M118,'SF Chip Data'!$B:$B,0)),0)</f>
        <v>0</v>
      </c>
      <c r="Q15" s="230">
        <v>0</v>
      </c>
      <c r="R15" s="230">
        <f>Main!G118*10000</f>
        <v>1000000</v>
      </c>
      <c r="S15" s="230">
        <f>IF(Main!G118&lt;=100,1000000,1500000)</f>
        <v>1000000</v>
      </c>
      <c r="T15" s="230">
        <f t="shared" si="2"/>
        <v>1000000</v>
      </c>
      <c r="U15" s="230">
        <f>'SF Stat Calc'!X16</f>
        <v>1033</v>
      </c>
      <c r="V15" s="230">
        <v>0</v>
      </c>
      <c r="W15" s="230">
        <f>IF(Main!G118&gt;100,1,0)</f>
        <v>0</v>
      </c>
      <c r="X15" s="230">
        <v>0</v>
      </c>
      <c r="Y15" s="230">
        <v>0</v>
      </c>
      <c r="Z15" s="230">
        <v>0</v>
      </c>
      <c r="AA15" s="230">
        <v>1</v>
      </c>
    </row>
    <row r="16" spans="1:27" x14ac:dyDescent="0.3">
      <c r="A16" s="234" t="str">
        <f>IF(Main!A119="X",2&amp;Main!B119,"")</f>
        <v/>
      </c>
      <c r="B16" s="234">
        <v>1234567</v>
      </c>
      <c r="C16" s="234">
        <f>INDEX('SF Data'!$A:$A,MATCH(Main!C119,'SF Data'!$C:$C,0))</f>
        <v>1022</v>
      </c>
      <c r="D16" s="234">
        <f>VLOOKUP(E16,'Exp Tables'!$M$3:$O$102,3,FALSE)</f>
        <v>3255500</v>
      </c>
      <c r="E16" s="234">
        <f>Main!D119</f>
        <v>100</v>
      </c>
      <c r="F16" s="234">
        <f>Main!E119</f>
        <v>5</v>
      </c>
      <c r="G16" s="234">
        <f>Main!F119</f>
        <v>4</v>
      </c>
      <c r="H16" s="234">
        <v>100</v>
      </c>
      <c r="I16" s="234">
        <v>0</v>
      </c>
      <c r="J16" s="234">
        <v>0</v>
      </c>
      <c r="K16" s="234">
        <f>Main!H119</f>
        <v>10</v>
      </c>
      <c r="L16" s="234">
        <f>Main!I119</f>
        <v>10</v>
      </c>
      <c r="M16" s="234">
        <f>Main!J119</f>
        <v>5</v>
      </c>
      <c r="N16" s="234">
        <f>IF(Main!E119&gt;=4,Main!K119,0)</f>
        <v>5</v>
      </c>
      <c r="O16" s="234">
        <f>IF(Main!L119="",0,INDEX('SF Chip Data'!$A:$A,MATCH(Main!L119,'SF Chip Data'!$B:$B,0)))</f>
        <v>0</v>
      </c>
      <c r="P16" s="234">
        <f>IF(AND(Main!E119&gt;=4,Main!M119&lt;&gt;""),INDEX('SF Chip Data'!$A:$A,MATCH(Main!M119,'SF Chip Data'!$B:$B,0)),0)</f>
        <v>0</v>
      </c>
      <c r="Q16" s="234">
        <v>0</v>
      </c>
      <c r="R16" s="234">
        <f>Main!G119*10000</f>
        <v>1000000</v>
      </c>
      <c r="S16" s="234">
        <f>IF(Main!G119&lt;=100,1000000,1500000)</f>
        <v>1000000</v>
      </c>
      <c r="T16" s="234">
        <f t="shared" ref="T16" si="3">S16</f>
        <v>1000000</v>
      </c>
      <c r="U16" s="234">
        <f>'SF Stat Calc'!X17</f>
        <v>2295</v>
      </c>
      <c r="V16" s="234">
        <v>0</v>
      </c>
      <c r="W16" s="234">
        <f>IF(Main!G119&gt;100,1,0)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Data'!A:A,MATCH(Main!L114,'SF Chip Data'!B:B,0)),"")</f>
        <v/>
      </c>
      <c r="C20" s="1">
        <v>0</v>
      </c>
      <c r="D20" s="181" t="str">
        <f>SF!A11</f>
        <v/>
      </c>
      <c r="E20" s="1">
        <v>1</v>
      </c>
    </row>
    <row r="21" spans="1:5" x14ac:dyDescent="0.3">
      <c r="A21" s="1" t="str">
        <f t="shared" si="0"/>
        <v/>
      </c>
      <c r="B21" s="1" t="str">
        <f>IFERROR(INDEX('SF Chip Data'!A:A,MATCH(Main!L115,'SF Chip Data'!B:B,0)),"")</f>
        <v/>
      </c>
      <c r="C21" s="1">
        <v>0</v>
      </c>
      <c r="D21" s="1" t="str">
        <f>SF!A12</f>
        <v/>
      </c>
      <c r="E21" s="1">
        <v>1</v>
      </c>
    </row>
    <row r="22" spans="1:5" x14ac:dyDescent="0.3">
      <c r="A22" s="1" t="str">
        <f t="shared" si="0"/>
        <v/>
      </c>
      <c r="B22" s="1" t="str">
        <f>IFERROR(INDEX('SF Chip Data'!A:A,MATCH(Main!L116,'SF Chip Data'!B:B,0)),"")</f>
        <v/>
      </c>
      <c r="C22" s="1">
        <v>0</v>
      </c>
      <c r="D22" s="1" t="str">
        <f>SF!A13</f>
        <v/>
      </c>
      <c r="E22" s="1">
        <v>1</v>
      </c>
    </row>
    <row r="23" spans="1:5" x14ac:dyDescent="0.3">
      <c r="A23" s="1" t="str">
        <f t="shared" si="0"/>
        <v/>
      </c>
      <c r="B23" s="1" t="str">
        <f>IFERROR(INDEX('SF Chip Data'!A:A,MATCH(Main!L117,'SF Chip Data'!B:B,0)),"")</f>
        <v/>
      </c>
      <c r="C23" s="1">
        <v>0</v>
      </c>
      <c r="D23" s="1" t="str">
        <f>SF!A14</f>
        <v/>
      </c>
      <c r="E23" s="1">
        <v>1</v>
      </c>
    </row>
    <row r="24" spans="1:5" x14ac:dyDescent="0.3">
      <c r="A24" s="1" t="str">
        <f t="shared" si="0"/>
        <v/>
      </c>
      <c r="B24" s="1" t="str">
        <f>IFERROR(INDEX('SF Chip Data'!A:A,MATCH(Main!L118,'SF Chip Data'!B:B,0)),"")</f>
        <v/>
      </c>
      <c r="C24" s="1">
        <v>0</v>
      </c>
      <c r="D24" s="1" t="str">
        <f>SF!A15</f>
        <v/>
      </c>
      <c r="E24" s="1">
        <v>1</v>
      </c>
    </row>
    <row r="25" spans="1:5" x14ac:dyDescent="0.3">
      <c r="A25" s="45" t="str">
        <f t="shared" si="0"/>
        <v/>
      </c>
      <c r="B25" s="45" t="str">
        <f>IFERROR(INDEX('SF Chip Data'!A:A,MATCH(Main!L119,'SF Chip Data'!B:B,0)),"")</f>
        <v/>
      </c>
      <c r="C25" s="45">
        <v>0</v>
      </c>
      <c r="D25" s="45" t="str">
        <f>SF!A16</f>
        <v/>
      </c>
      <c r="E25" s="45">
        <v>1</v>
      </c>
    </row>
    <row r="26" spans="1:5" x14ac:dyDescent="0.3">
      <c r="A26" s="181" t="str">
        <f t="shared" si="0"/>
        <v/>
      </c>
      <c r="B26" s="181" t="str">
        <f>IFERROR(INDEX('SF Chip Data'!A:A,MATCH(Main!M114,'SF Chip Data'!B:B,0)),"")</f>
        <v/>
      </c>
      <c r="C26" s="181">
        <v>0</v>
      </c>
      <c r="D26" s="181" t="str">
        <f t="shared" ref="D26:D31" si="2">D20</f>
        <v/>
      </c>
      <c r="E26" s="181">
        <v>2</v>
      </c>
    </row>
    <row r="27" spans="1:5" x14ac:dyDescent="0.3">
      <c r="A27" s="1" t="str">
        <f t="shared" si="0"/>
        <v/>
      </c>
      <c r="B27" s="1" t="str">
        <f>IFERROR(INDEX('SF Chip Data'!A:A,MATCH(Main!M115,'SF Chip Data'!B:B,0)),"")</f>
        <v/>
      </c>
      <c r="C27" s="1">
        <v>0</v>
      </c>
      <c r="D27" s="1" t="str">
        <f t="shared" si="2"/>
        <v/>
      </c>
      <c r="E27" s="1">
        <v>2</v>
      </c>
    </row>
    <row r="28" spans="1:5" x14ac:dyDescent="0.3">
      <c r="A28" s="1" t="str">
        <f t="shared" si="0"/>
        <v/>
      </c>
      <c r="B28" s="1" t="str">
        <f>IFERROR(INDEX('SF Chip Data'!A:A,MATCH(Main!M116,'SF Chip Data'!B:B,0)),"")</f>
        <v/>
      </c>
      <c r="C28" s="1">
        <v>0</v>
      </c>
      <c r="D28" s="1" t="str">
        <f t="shared" si="2"/>
        <v/>
      </c>
      <c r="E28" s="1">
        <v>2</v>
      </c>
    </row>
    <row r="29" spans="1:5" x14ac:dyDescent="0.3">
      <c r="A29" s="1" t="str">
        <f t="shared" si="0"/>
        <v/>
      </c>
      <c r="B29" s="1" t="str">
        <f>IFERROR(INDEX('SF Chip Data'!A:A,MATCH(Main!M117,'SF Chip Data'!B:B,0)),"")</f>
        <v/>
      </c>
      <c r="C29" s="1">
        <v>0</v>
      </c>
      <c r="D29" s="1" t="str">
        <f t="shared" si="2"/>
        <v/>
      </c>
      <c r="E29" s="1">
        <v>2</v>
      </c>
    </row>
    <row r="30" spans="1:5" x14ac:dyDescent="0.3">
      <c r="A30" s="1" t="str">
        <f t="shared" si="0"/>
        <v/>
      </c>
      <c r="B30" s="1" t="str">
        <f>IFERROR(INDEX('SF Chip Data'!A:A,MATCH(Main!M118,'SF Chip Data'!B:B,0)),"")</f>
        <v/>
      </c>
      <c r="C30" s="1">
        <v>0</v>
      </c>
      <c r="D30" s="1" t="str">
        <f t="shared" si="2"/>
        <v/>
      </c>
      <c r="E30" s="1">
        <v>2</v>
      </c>
    </row>
    <row r="31" spans="1:5" x14ac:dyDescent="0.3">
      <c r="A31" s="45" t="str">
        <f t="shared" si="0"/>
        <v/>
      </c>
      <c r="B31" s="45" t="str">
        <f>IFERROR(INDEX('SF Chip Data'!A:A,MATCH(Main!M119,'SF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IF(Main!A114="X",ROW(),"")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IF(Main!A115="X",ROW(),"")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IF(Main!A116="X",ROW(),"")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IF(Main!A117="X",ROW(),"")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IF(Main!A118="X",ROW(),"")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IF(Main!A119="X",ROW(),"")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26</v>
      </c>
      <c r="C3" s="9" t="str">
        <f>IF(EchType="SF",SUBSTITUTE('Misc Inputs'!C18,"on_team","on_sangvis"),SUBSTITUTE('Misc Inputs'!C8,"on_team","on_sangvis"))</f>
        <v>"fairy_skill_on_sangvis": "[]",</v>
      </c>
    </row>
    <row r="4" spans="1:3" x14ac:dyDescent="0.3">
      <c r="A4" t="s">
        <v>776</v>
      </c>
      <c r="B4" s="1">
        <f>IF(DayNight="Day",29,31)</f>
        <v>29</v>
      </c>
      <c r="C4" s="9" t="str">
        <f>IF(EchType="G&amp;K",'Misc Inputs'!C18,'Misc Inputs'!C8)</f>
        <v>"fairy_skill_on_team": "[]",</v>
      </c>
    </row>
    <row r="5" spans="1:3" x14ac:dyDescent="0.3">
      <c r="A5" t="s">
        <v>7092</v>
      </c>
      <c r="B5" s="1">
        <f>IF(DayNight="Day",7,5)</f>
        <v>7</v>
      </c>
      <c r="C5" s="9" t="str">
        <f>'Misc Inputs'!$C$31</f>
        <v>"building_info": "{}",</v>
      </c>
    </row>
    <row r="6" spans="1:3" x14ac:dyDescent="0.3">
      <c r="A6" t="s">
        <v>778</v>
      </c>
      <c r="B6" s="1">
        <f>IF(DayNight="Day",64,77)</f>
        <v>64</v>
      </c>
      <c r="C6" s="9" t="str">
        <f>CHAR(34)&amp;A6&amp;CHAR(34)&amp;": "&amp;CHAR(34)&amp;IF(VehicleMode="RangeCombat",1,TurnNum)&amp;CHAR(34)&amp;","</f>
        <v>"turn": "1",</v>
      </c>
    </row>
    <row r="7" spans="1:3" x14ac:dyDescent="0.3">
      <c r="A7" t="s">
        <v>7314</v>
      </c>
      <c r="B7" s="1">
        <f>IF(DayNight="Day",83,79)</f>
        <v>83</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Team'!$D$3:$D$8,--(Main!$A$114:$A$119="X"),--(Main!$N$114:$N$119=A2))</f>
        <v>0</v>
      </c>
    </row>
    <row r="3" spans="1:6" x14ac:dyDescent="0.3">
      <c r="A3" s="1">
        <v>101</v>
      </c>
      <c r="B3" s="1">
        <v>39</v>
      </c>
      <c r="C3" s="9" t="str">
        <f t="shared" si="0"/>
        <v>"sangvis_team_id": "0",</v>
      </c>
      <c r="D3" s="1" t="s">
        <v>1768</v>
      </c>
      <c r="E3" s="1">
        <f>SUMPRODUCT('SF Team'!$D$3:$D$8,--(Main!$A$114:$A$119="X"),--(Main!$N$114:$N$119=A3))</f>
        <v>0</v>
      </c>
    </row>
    <row r="4" spans="1:6" x14ac:dyDescent="0.3">
      <c r="A4" s="1">
        <v>102</v>
      </c>
      <c r="B4" s="1">
        <v>63</v>
      </c>
      <c r="C4" s="9" t="str">
        <f t="shared" si="0"/>
        <v>"sangvis_team_id": "0",</v>
      </c>
      <c r="D4" s="1" t="s">
        <v>1768</v>
      </c>
      <c r="E4" s="1">
        <f>SUMPRODUCT('SF Team'!$D$3:$D$8,--(Main!$A$114:$A$119="X"),--(Main!$N$114:$N$119=A4))</f>
        <v>0</v>
      </c>
    </row>
    <row r="5" spans="1:6" x14ac:dyDescent="0.3">
      <c r="A5" s="1">
        <v>104</v>
      </c>
      <c r="B5" s="1">
        <v>111</v>
      </c>
      <c r="C5" s="9" t="str">
        <f t="shared" si="0"/>
        <v>"sangvis_team_id": "0",</v>
      </c>
      <c r="D5" s="1" t="s">
        <v>1768</v>
      </c>
      <c r="E5" s="1">
        <f>SUMPRODUCT('SF Team'!$D$3:$D$8,--(Main!$A$114:$A$119="X"),--(Main!$N$114:$N$119=A5))</f>
        <v>0</v>
      </c>
    </row>
    <row r="6" spans="1:6" x14ac:dyDescent="0.3">
      <c r="A6" s="1">
        <v>105</v>
      </c>
      <c r="B6" s="1">
        <v>135</v>
      </c>
      <c r="C6" s="9" t="str">
        <f t="shared" si="0"/>
        <v>"sangvis_team_id": "0",</v>
      </c>
      <c r="D6" s="1" t="s">
        <v>1768</v>
      </c>
      <c r="E6" s="1">
        <f>SUMPRODUCT('SF Team'!$D$3:$D$8,--(Main!$A$114:$A$119="X"),--(Main!$N$114:$N$119=A6))</f>
        <v>0</v>
      </c>
    </row>
    <row r="7" spans="1:6" x14ac:dyDescent="0.3">
      <c r="A7" s="1">
        <v>106</v>
      </c>
      <c r="B7" s="1">
        <v>159</v>
      </c>
      <c r="C7" s="9" t="str">
        <f t="shared" si="0"/>
        <v>"sangvis_team_id": "0",</v>
      </c>
      <c r="D7" s="1" t="s">
        <v>1768</v>
      </c>
      <c r="E7" s="1">
        <f>SUMPRODUCT('SF Team'!$D$3:$D$8,--(Main!$A$114:$A$119="X"),--(Main!$N$114:$N$119=A7))</f>
        <v>0</v>
      </c>
    </row>
    <row r="8" spans="1:6" x14ac:dyDescent="0.3">
      <c r="A8" s="1">
        <v>107</v>
      </c>
      <c r="B8" s="1">
        <v>183</v>
      </c>
      <c r="C8" s="9" t="str">
        <f t="shared" si="0"/>
        <v>"sangvis_team_id": "0",</v>
      </c>
      <c r="D8" s="1" t="s">
        <v>1768</v>
      </c>
      <c r="E8" s="1">
        <f>SUMPRODUCT('SF Team'!$D$3:$D$8,--(Main!$A$114:$A$119="X"),--(Main!$N$114:$N$119=A8))</f>
        <v>0</v>
      </c>
    </row>
    <row r="9" spans="1:6" x14ac:dyDescent="0.3">
      <c r="A9" s="1">
        <v>99</v>
      </c>
      <c r="B9" s="1">
        <v>202</v>
      </c>
      <c r="C9" s="9" t="str">
        <f t="shared" si="0"/>
        <v>"sangvis_team_id": "0",</v>
      </c>
      <c r="D9" s="1" t="s">
        <v>1768</v>
      </c>
      <c r="E9" s="1">
        <f>SUMPRODUCT('SF Team'!$D$3:$D$8,--(Main!$A$114:$A$119="X"),--(Main!$N$114:$N$119=A9))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IF(DayNight&lt;&gt;"Day","",_xlfn.IFNA(MATCH(A11,Main!$I$125:$I$127,0),""))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IF(DayNight&lt;&gt;"Day","",_xlfn.IFNA(MATCH(A12,Main!$I$125:$I$127,0),""))</f>
        <v/>
      </c>
    </row>
    <row r="13" spans="1:6" x14ac:dyDescent="0.3">
      <c r="A13" s="1">
        <f t="shared" ref="A13" si="5">A4</f>
        <v>102</v>
      </c>
      <c r="B13" s="1">
        <f t="shared" si="3"/>
        <v>64</v>
      </c>
      <c r="C13" s="9" t="str">
        <f t="shared" si="4"/>
        <v>"ally_instance_ids": [],</v>
      </c>
      <c r="D13" s="1" t="s">
        <v>8558</v>
      </c>
      <c r="E13" s="1" t="str">
        <f>IF(DayNight&lt;&gt;"Day","",_xlfn.IFNA(MATCH(A13,Main!$I$125:$I$127,0),""))</f>
        <v/>
      </c>
    </row>
    <row r="14" spans="1:6" x14ac:dyDescent="0.3">
      <c r="A14" s="1">
        <f t="shared" ref="A14" si="6">A5</f>
        <v>104</v>
      </c>
      <c r="B14" s="1">
        <f t="shared" si="3"/>
        <v>112</v>
      </c>
      <c r="C14" s="9" t="str">
        <f t="shared" si="4"/>
        <v>"ally_instance_ids": [],</v>
      </c>
      <c r="D14" s="1" t="s">
        <v>8558</v>
      </c>
      <c r="E14" s="1" t="str">
        <f>IF(DayNight&lt;&gt;"Day","",_xlfn.IFNA(MATCH(A14,Main!$I$125:$I$127,0),""))</f>
        <v/>
      </c>
    </row>
    <row r="15" spans="1:6" x14ac:dyDescent="0.3">
      <c r="A15" s="1">
        <f t="shared" ref="A15" si="7">A6</f>
        <v>105</v>
      </c>
      <c r="B15" s="1">
        <f t="shared" si="3"/>
        <v>136</v>
      </c>
      <c r="C15" s="9" t="str">
        <f t="shared" si="4"/>
        <v>"ally_instance_ids": [],</v>
      </c>
      <c r="D15" s="1" t="s">
        <v>8558</v>
      </c>
      <c r="E15" s="1" t="str">
        <f>IF(DayNight&lt;&gt;"Day","",_xlfn.IFNA(MATCH(A15,Main!$I$125:$I$127,0),""))</f>
        <v/>
      </c>
    </row>
    <row r="16" spans="1:6" x14ac:dyDescent="0.3">
      <c r="A16" s="1">
        <f t="shared" ref="A16" si="8">A7</f>
        <v>106</v>
      </c>
      <c r="B16" s="1">
        <f t="shared" si="3"/>
        <v>160</v>
      </c>
      <c r="C16" s="9" t="str">
        <f t="shared" si="4"/>
        <v>"ally_instance_ids": [],</v>
      </c>
      <c r="D16" s="1" t="s">
        <v>8558</v>
      </c>
      <c r="E16" s="1" t="str">
        <f>IF(DayNight&lt;&gt;"Day","",_xlfn.IFNA(MATCH(A16,Main!$I$125:$I$127,0),""))</f>
        <v/>
      </c>
    </row>
    <row r="17" spans="1:5" x14ac:dyDescent="0.3">
      <c r="A17" s="1">
        <f t="shared" ref="A17" si="9">A8</f>
        <v>107</v>
      </c>
      <c r="B17" s="1">
        <f t="shared" si="3"/>
        <v>184</v>
      </c>
      <c r="C17" s="9" t="str">
        <f t="shared" si="4"/>
        <v>"ally_instance_ids": [],</v>
      </c>
      <c r="D17" s="1" t="s">
        <v>8558</v>
      </c>
      <c r="E17" s="1" t="str">
        <f>IF(DayNight&lt;&gt;"Day","",_xlfn.IFNA(MATCH(A17,Main!$I$125:$I$127,0),""))</f>
        <v/>
      </c>
    </row>
    <row r="18" spans="1:5" x14ac:dyDescent="0.3">
      <c r="A18" s="1">
        <f t="shared" ref="A18" si="10">A9</f>
        <v>99</v>
      </c>
      <c r="B18" s="1">
        <f t="shared" si="3"/>
        <v>203</v>
      </c>
      <c r="C18" s="9" t="str">
        <f t="shared" si="4"/>
        <v>"ally_instance_ids": [],</v>
      </c>
      <c r="D18" s="1" t="s">
        <v>8558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Team'!$D$3:$D$7,--(Main!$A$114:$A$118="X"),--(Main!$N$114:$N$118=A2))</f>
        <v>0</v>
      </c>
      <c r="F2" s="1"/>
      <c r="M2" s="1"/>
    </row>
    <row r="3" spans="1:20" x14ac:dyDescent="0.3">
      <c r="A3" s="1">
        <v>7118</v>
      </c>
      <c r="B3" s="1">
        <v>39</v>
      </c>
      <c r="C3" s="9" t="str">
        <f t="shared" si="0"/>
        <v>"sangvis_team_id": "0",</v>
      </c>
      <c r="D3" s="1" t="s">
        <v>1768</v>
      </c>
      <c r="E3" s="1">
        <f>SUMPRODUCT('SF Team'!$D$3:$D$7,--(Main!$A$114:$A$118="X"),--(Main!$N$114:$N$118=A3))</f>
        <v>0</v>
      </c>
      <c r="F3" s="1"/>
      <c r="M3" s="1"/>
    </row>
    <row r="4" spans="1:20" x14ac:dyDescent="0.3">
      <c r="A4" s="1">
        <v>7119</v>
      </c>
      <c r="B4" s="1">
        <v>63</v>
      </c>
      <c r="C4" s="9" t="str">
        <f t="shared" si="0"/>
        <v>"sangvis_team_id": "0",</v>
      </c>
      <c r="D4" s="1" t="s">
        <v>1768</v>
      </c>
      <c r="E4" s="1">
        <f>SUMPRODUCT('SF Team'!$D$3:$D$7,--(Main!$A$114:$A$118="X"),--(Main!$N$114:$N$118=A4))</f>
        <v>0</v>
      </c>
      <c r="F4" s="1"/>
      <c r="M4" s="1"/>
    </row>
    <row r="5" spans="1:20" x14ac:dyDescent="0.3">
      <c r="A5" s="1">
        <v>7120</v>
      </c>
      <c r="B5" s="1">
        <v>87</v>
      </c>
      <c r="C5" s="9" t="str">
        <f t="shared" si="0"/>
        <v>"sangvis_team_id": "0",</v>
      </c>
      <c r="D5" s="1" t="s">
        <v>1768</v>
      </c>
      <c r="E5" s="1">
        <f>SUMPRODUCT('SF Team'!$D$3:$D$7,--(Main!$A$114:$A$118="X"),--(Main!$N$114:$N$118=A5))</f>
        <v>0</v>
      </c>
      <c r="F5" s="1"/>
      <c r="M5" s="1"/>
    </row>
    <row r="6" spans="1:20" x14ac:dyDescent="0.3">
      <c r="A6" s="1">
        <v>7121</v>
      </c>
      <c r="B6" s="1">
        <v>111</v>
      </c>
      <c r="C6" s="9" t="str">
        <f t="shared" si="0"/>
        <v>"sangvis_team_id": "0",</v>
      </c>
      <c r="D6" s="1" t="s">
        <v>1768</v>
      </c>
      <c r="E6" s="1">
        <f>SUMPRODUCT('SF Team'!$D$3:$D$7,--(Main!$A$114:$A$118="X"),--(Main!$N$114:$N$118=A6))</f>
        <v>0</v>
      </c>
      <c r="F6" s="1"/>
      <c r="M6" s="1"/>
    </row>
    <row r="7" spans="1:20" x14ac:dyDescent="0.3">
      <c r="A7" s="1">
        <v>7122</v>
      </c>
      <c r="B7" s="1">
        <v>135</v>
      </c>
      <c r="C7" s="9" t="str">
        <f t="shared" si="0"/>
        <v>"sangvis_team_id": "0",</v>
      </c>
      <c r="D7" s="1" t="s">
        <v>1768</v>
      </c>
      <c r="E7" s="1">
        <f>SUMPRODUCT('SF Team'!$D$3:$D$7,--(Main!$A$114:$A$118="X"),--(Main!$N$114:$N$118=A7))</f>
        <v>0</v>
      </c>
      <c r="F7" s="1"/>
      <c r="M7" s="1"/>
    </row>
    <row r="8" spans="1:20" x14ac:dyDescent="0.3">
      <c r="A8" s="1">
        <v>7123</v>
      </c>
      <c r="B8" s="1">
        <v>159</v>
      </c>
      <c r="C8" s="9" t="str">
        <f t="shared" si="0"/>
        <v>"sangvis_team_id": "0",</v>
      </c>
      <c r="D8" s="1" t="s">
        <v>1768</v>
      </c>
      <c r="E8" s="1">
        <f>SUMPRODUCT('SF Team'!$D$3:$D$7,--(Main!$A$114:$A$118="X"),--(Main!$N$114:$N$118=A8))</f>
        <v>0</v>
      </c>
      <c r="F8" s="1"/>
      <c r="M8" s="1"/>
    </row>
    <row r="9" spans="1:20" x14ac:dyDescent="0.3">
      <c r="A9" s="1">
        <v>7124</v>
      </c>
      <c r="B9" s="1">
        <v>183</v>
      </c>
      <c r="C9" s="9" t="str">
        <f t="shared" si="0"/>
        <v>"sangvis_team_id": "0",</v>
      </c>
      <c r="D9" s="1" t="s">
        <v>1768</v>
      </c>
      <c r="E9" s="1">
        <f>SUMPRODUCT('SF Team'!$D$3:$D$7,--(Main!$A$114:$A$118="X"),--(Main!$N$114:$N$118=A9))</f>
        <v>0</v>
      </c>
      <c r="F9" s="1"/>
      <c r="M9" s="1"/>
    </row>
    <row r="10" spans="1:20" x14ac:dyDescent="0.3">
      <c r="A10" s="1">
        <v>7126</v>
      </c>
      <c r="B10" s="1">
        <v>207</v>
      </c>
      <c r="C10" s="9" t="str">
        <f t="shared" si="0"/>
        <v>"sangvis_team_id": "0",</v>
      </c>
      <c r="D10" s="1" t="s">
        <v>1768</v>
      </c>
      <c r="E10" s="1">
        <f>SUMPRODUCT('SF Team'!$D$3:$D$7,--(Main!$A$114:$A$118="X"),--(Main!$N$114:$N$118=A10))</f>
        <v>0</v>
      </c>
      <c r="F10" s="1"/>
    </row>
    <row r="11" spans="1:20" x14ac:dyDescent="0.3">
      <c r="A11" s="1">
        <v>7127</v>
      </c>
      <c r="B11" s="1">
        <v>231</v>
      </c>
      <c r="C11" s="9" t="str">
        <f t="shared" si="0"/>
        <v>"sangvis_team_id": "0",</v>
      </c>
      <c r="D11" s="1" t="s">
        <v>1768</v>
      </c>
      <c r="E11" s="1">
        <f>SUMPRODUCT('SF Team'!$D$3:$D$7,--(Main!$A$114:$A$118="X"),--(Main!$N$114:$N$118=A11))</f>
        <v>0</v>
      </c>
      <c r="F11" s="1"/>
    </row>
    <row r="12" spans="1:20" x14ac:dyDescent="0.3">
      <c r="A12" s="1">
        <v>7128</v>
      </c>
      <c r="B12" s="1">
        <v>255</v>
      </c>
      <c r="C12" s="9" t="str">
        <f t="shared" si="0"/>
        <v>"sangvis_team_id": "0",</v>
      </c>
      <c r="D12" s="1" t="s">
        <v>1768</v>
      </c>
      <c r="E12" s="1">
        <f>SUMPRODUCT('SF Team'!$D$3:$D$7,--(Main!$A$114:$A$118="X"),--(Main!$N$114:$N$118=A12))</f>
        <v>0</v>
      </c>
      <c r="F12" s="1"/>
    </row>
    <row r="13" spans="1:20" x14ac:dyDescent="0.3">
      <c r="A13" s="1">
        <v>7129</v>
      </c>
      <c r="B13" s="1">
        <v>279</v>
      </c>
      <c r="C13" s="9" t="str">
        <f t="shared" si="0"/>
        <v>"sangvis_team_id": "0",</v>
      </c>
      <c r="D13" s="1" t="s">
        <v>1768</v>
      </c>
      <c r="E13" s="1">
        <f>SUMPRODUCT('SF Team'!$D$3:$D$7,--(Main!$A$114:$A$118="X"),--(Main!$N$114:$N$118=A13))</f>
        <v>0</v>
      </c>
      <c r="F13" s="1"/>
    </row>
    <row r="14" spans="1:20" x14ac:dyDescent="0.3">
      <c r="A14" s="1">
        <v>7130</v>
      </c>
      <c r="B14" s="1">
        <v>303</v>
      </c>
      <c r="C14" s="9" t="str">
        <f t="shared" si="0"/>
        <v>"sangvis_team_id": "0",</v>
      </c>
      <c r="D14" s="1" t="s">
        <v>1768</v>
      </c>
      <c r="E14" s="1">
        <f>SUMPRODUCT('SF Team'!$D$3:$D$7,--(Main!$A$114:$A$118="X"),--(Main!$N$114:$N$118=A14))</f>
        <v>0</v>
      </c>
      <c r="F14" s="1"/>
    </row>
    <row r="15" spans="1:20" x14ac:dyDescent="0.3">
      <c r="A15" s="1">
        <v>7131</v>
      </c>
      <c r="B15" s="1">
        <v>327</v>
      </c>
      <c r="C15" s="9" t="str">
        <f t="shared" si="0"/>
        <v>"sangvis_team_id": "0",</v>
      </c>
      <c r="D15" s="1" t="s">
        <v>1768</v>
      </c>
      <c r="E15" s="1">
        <f>SUMPRODUCT('SF Team'!$D$3:$D$7,--(Main!$A$114:$A$118="X"),--(Main!$N$114:$N$118=A15))</f>
        <v>0</v>
      </c>
      <c r="F15" s="1"/>
    </row>
    <row r="16" spans="1:20" x14ac:dyDescent="0.3">
      <c r="A16" s="1">
        <v>7132</v>
      </c>
      <c r="B16" s="1">
        <v>351</v>
      </c>
      <c r="C16" s="9" t="str">
        <f t="shared" si="0"/>
        <v>"sangvis_team_id": "0",</v>
      </c>
      <c r="D16" s="1" t="s">
        <v>1768</v>
      </c>
      <c r="E16" s="1">
        <f>SUMPRODUCT('SF Team'!$D$3:$D$7,--(Main!$A$114:$A$118="X"),--(Main!$N$114:$N$118=A16))</f>
        <v>0</v>
      </c>
      <c r="F16" s="1"/>
    </row>
    <row r="17" spans="1:6" x14ac:dyDescent="0.3">
      <c r="A17" s="1">
        <v>7133</v>
      </c>
      <c r="B17" s="1">
        <v>375</v>
      </c>
      <c r="C17" s="9" t="str">
        <f t="shared" si="0"/>
        <v>"sangvis_team_id": "0",</v>
      </c>
      <c r="D17" s="1" t="s">
        <v>1768</v>
      </c>
      <c r="E17" s="1">
        <f>SUMPRODUCT('SF Team'!$D$3:$D$7,--(Main!$A$114:$A$118="X"),--(Main!$N$114:$N$118=A17))</f>
        <v>0</v>
      </c>
      <c r="F17" s="1"/>
    </row>
    <row r="18" spans="1:6" x14ac:dyDescent="0.3">
      <c r="A18" s="1">
        <v>7134</v>
      </c>
      <c r="B18" s="1">
        <v>399</v>
      </c>
      <c r="C18" s="9" t="str">
        <f t="shared" si="0"/>
        <v>"sangvis_team_id": "0",</v>
      </c>
      <c r="D18" s="1" t="s">
        <v>1768</v>
      </c>
      <c r="E18" s="1">
        <f>SUMPRODUCT('SF Team'!$D$3:$D$7,--(Main!$A$114:$A$118="X"),--(Main!$N$114:$N$118=A18))</f>
        <v>0</v>
      </c>
      <c r="F18" s="1"/>
    </row>
    <row r="19" spans="1:6" x14ac:dyDescent="0.3">
      <c r="A19" s="1">
        <v>7135</v>
      </c>
      <c r="B19" s="1">
        <v>423</v>
      </c>
      <c r="C19" s="9" t="str">
        <f t="shared" si="0"/>
        <v>"sangvis_team_id": "0",</v>
      </c>
      <c r="D19" s="1" t="s">
        <v>1768</v>
      </c>
      <c r="E19" s="1">
        <f>SUMPRODUCT('SF Team'!$D$3:$D$7,--(Main!$A$114:$A$118="X"),--(Main!$N$114:$N$118=A19))</f>
        <v>0</v>
      </c>
      <c r="F19" s="1"/>
    </row>
    <row r="20" spans="1:6" x14ac:dyDescent="0.3">
      <c r="A20" s="1">
        <v>7136</v>
      </c>
      <c r="B20" s="1">
        <v>447</v>
      </c>
      <c r="C20" s="9" t="str">
        <f t="shared" si="0"/>
        <v>"sangvis_team_id": "0",</v>
      </c>
      <c r="D20" s="1" t="s">
        <v>1768</v>
      </c>
      <c r="E20" s="1">
        <f>SUMPRODUCT('SF Team'!$D$3:$D$7,--(Main!$A$114:$A$118="X"),--(Main!$N$114:$N$118=A20))</f>
        <v>0</v>
      </c>
      <c r="F20" s="1"/>
    </row>
    <row r="21" spans="1:6" x14ac:dyDescent="0.3">
      <c r="A21" s="1">
        <v>7137</v>
      </c>
      <c r="B21" s="1">
        <v>471</v>
      </c>
      <c r="C21" s="9" t="str">
        <f t="shared" si="0"/>
        <v>"sangvis_team_id": "0",</v>
      </c>
      <c r="D21" s="1" t="s">
        <v>1768</v>
      </c>
      <c r="E21" s="1">
        <f>SUMPRODUCT('SF Team'!$D$3:$D$7,--(Main!$A$114:$A$118="X"),--(Main!$N$114:$N$118=A21))</f>
        <v>0</v>
      </c>
      <c r="F21" s="1"/>
    </row>
    <row r="22" spans="1:6" x14ac:dyDescent="0.3">
      <c r="A22" s="1">
        <v>7138</v>
      </c>
      <c r="B22" s="1">
        <v>495</v>
      </c>
      <c r="C22" s="9" t="str">
        <f t="shared" si="0"/>
        <v>"sangvis_team_id": "0",</v>
      </c>
      <c r="D22" s="1" t="s">
        <v>1768</v>
      </c>
      <c r="E22" s="1">
        <f>SUMPRODUCT('SF Team'!$D$3:$D$7,--(Main!$A$114:$A$118="X"),--(Main!$N$114:$N$118=A22))</f>
        <v>0</v>
      </c>
      <c r="F22" s="1"/>
    </row>
    <row r="23" spans="1:6" x14ac:dyDescent="0.3">
      <c r="A23" s="1">
        <v>7139</v>
      </c>
      <c r="B23" s="1">
        <v>519</v>
      </c>
      <c r="C23" s="9" t="str">
        <f t="shared" si="0"/>
        <v>"sangvis_team_id": "0",</v>
      </c>
      <c r="D23" s="1" t="s">
        <v>1768</v>
      </c>
      <c r="E23" s="1">
        <f>SUMPRODUCT('SF Team'!$D$3:$D$7,--(Main!$A$114:$A$118="X"),--(Main!$N$114:$N$118=A23))</f>
        <v>0</v>
      </c>
      <c r="F23" s="1"/>
    </row>
    <row r="24" spans="1:6" x14ac:dyDescent="0.3">
      <c r="A24" s="1">
        <v>7140</v>
      </c>
      <c r="B24" s="1">
        <v>543</v>
      </c>
      <c r="C24" s="9" t="str">
        <f t="shared" si="0"/>
        <v>"sangvis_team_id": "0",</v>
      </c>
      <c r="D24" s="1" t="s">
        <v>1768</v>
      </c>
      <c r="E24" s="1">
        <f>SUMPRODUCT('SF Team'!$D$3:$D$7,--(Main!$A$114:$A$118="X"),--(Main!$N$114:$N$118=A24))</f>
        <v>0</v>
      </c>
      <c r="F24" s="1"/>
    </row>
    <row r="25" spans="1:6" x14ac:dyDescent="0.3">
      <c r="A25" s="1">
        <v>7141</v>
      </c>
      <c r="B25" s="1">
        <v>567</v>
      </c>
      <c r="C25" s="9" t="str">
        <f t="shared" si="0"/>
        <v>"sangvis_team_id": "0",</v>
      </c>
      <c r="D25" s="1" t="s">
        <v>1768</v>
      </c>
      <c r="E25" s="1">
        <f>SUMPRODUCT('SF Team'!$D$3:$D$7,--(Main!$A$114:$A$118="X"),--(Main!$N$114:$N$118=A25))</f>
        <v>0</v>
      </c>
      <c r="F25" s="1"/>
    </row>
    <row r="26" spans="1:6" x14ac:dyDescent="0.3">
      <c r="A26" s="1">
        <v>7142</v>
      </c>
      <c r="B26" s="1">
        <v>591</v>
      </c>
      <c r="C26" s="9" t="str">
        <f t="shared" si="0"/>
        <v>"sangvis_team_id": "0",</v>
      </c>
      <c r="D26" s="1" t="s">
        <v>1768</v>
      </c>
      <c r="E26" s="1">
        <f>SUMPRODUCT('SF Team'!$D$3:$D$7,--(Main!$A$114:$A$118="X"),--(Main!$N$114:$N$118=A26))</f>
        <v>0</v>
      </c>
      <c r="F26" s="1"/>
    </row>
    <row r="27" spans="1:6" x14ac:dyDescent="0.3">
      <c r="A27" s="1">
        <v>7143</v>
      </c>
      <c r="B27" s="1">
        <v>615</v>
      </c>
      <c r="C27" s="9" t="str">
        <f t="shared" si="0"/>
        <v>"sangvis_team_id": "0",</v>
      </c>
      <c r="D27" s="1" t="s">
        <v>1768</v>
      </c>
      <c r="E27" s="1">
        <f>SUMPRODUCT('SF Team'!$D$3:$D$7,--(Main!$A$114:$A$118="X"),--(Main!$N$114:$N$118=A27))</f>
        <v>0</v>
      </c>
      <c r="F27" s="1"/>
    </row>
    <row r="28" spans="1:6" x14ac:dyDescent="0.3">
      <c r="A28" s="1">
        <v>7144</v>
      </c>
      <c r="B28" s="1">
        <v>639</v>
      </c>
      <c r="C28" s="9" t="str">
        <f t="shared" si="0"/>
        <v>"sangvis_team_id": "0",</v>
      </c>
      <c r="D28" s="1" t="s">
        <v>1768</v>
      </c>
      <c r="E28" s="1">
        <f>SUMPRODUCT('SF Team'!$D$3:$D$7,--(Main!$A$114:$A$118="X"),--(Main!$N$114:$N$118=A28))</f>
        <v>0</v>
      </c>
      <c r="F28" s="1"/>
    </row>
    <row r="29" spans="1:6" x14ac:dyDescent="0.3">
      <c r="A29" s="1">
        <v>7145</v>
      </c>
      <c r="B29" s="1">
        <v>663</v>
      </c>
      <c r="C29" s="9" t="str">
        <f t="shared" si="0"/>
        <v>"sangvis_team_id": "0",</v>
      </c>
      <c r="D29" s="1" t="s">
        <v>1768</v>
      </c>
      <c r="E29" s="1">
        <f>SUMPRODUCT('SF Team'!$D$3:$D$7,--(Main!$A$114:$A$118="X"),--(Main!$N$114:$N$118=A29))</f>
        <v>0</v>
      </c>
      <c r="F29" s="1"/>
    </row>
    <row r="30" spans="1:6" x14ac:dyDescent="0.3">
      <c r="A30" s="1">
        <v>7146</v>
      </c>
      <c r="B30" s="1">
        <v>687</v>
      </c>
      <c r="C30" s="9" t="str">
        <f t="shared" si="0"/>
        <v>"sangvis_team_id": "0",</v>
      </c>
      <c r="D30" s="1" t="s">
        <v>1768</v>
      </c>
      <c r="E30" s="1">
        <f>SUMPRODUCT('SF Team'!$D$3:$D$7,--(Main!$A$114:$A$118="X"),--(Main!$N$114:$N$118=A30))</f>
        <v>0</v>
      </c>
      <c r="F30" s="1"/>
    </row>
    <row r="31" spans="1:6" x14ac:dyDescent="0.3">
      <c r="A31" s="1">
        <v>7125</v>
      </c>
      <c r="B31" s="1">
        <v>711</v>
      </c>
      <c r="C31" s="9" t="str">
        <f t="shared" si="0"/>
        <v>"sangvis_team_id": "0",</v>
      </c>
      <c r="D31" s="1" t="s">
        <v>1768</v>
      </c>
      <c r="E31" s="1">
        <f>SUMPRODUCT('SF Team'!$D$3:$D$7,--(Main!$A$114:$A$118="X"),--(Main!$N$114:$N$118=A31))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IF(DayNight&lt;&gt;"Night","",_xlfn.IFNA(MATCH(A33,Main!$I$125:$I$127,0),""))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IF(DayNight&lt;&gt;"Night","",_xlfn.IFNA(MATCH(A34,Main!$I$125:$I$127,0),""))</f>
        <v/>
      </c>
    </row>
    <row r="35" spans="1:5" x14ac:dyDescent="0.3">
      <c r="A35" s="1">
        <f t="shared" ref="A35" si="4">A4</f>
        <v>7119</v>
      </c>
      <c r="B35" s="1">
        <f t="shared" si="2"/>
        <v>64</v>
      </c>
      <c r="C35" s="9" t="str">
        <f t="shared" si="3"/>
        <v>"ally_instance_ids": [],</v>
      </c>
      <c r="D35" s="1" t="s">
        <v>8558</v>
      </c>
      <c r="E35" s="1" t="str">
        <f>IF(DayNight&lt;&gt;"Night","",_xlfn.IFNA(MATCH(A35,Main!$I$125:$I$127,0),""))</f>
        <v/>
      </c>
    </row>
    <row r="36" spans="1:5" x14ac:dyDescent="0.3">
      <c r="A36" s="1">
        <f t="shared" ref="A36" si="5">A5</f>
        <v>7120</v>
      </c>
      <c r="B36" s="1">
        <f t="shared" si="2"/>
        <v>88</v>
      </c>
      <c r="C36" s="9" t="str">
        <f t="shared" si="3"/>
        <v>"ally_instance_ids": [],</v>
      </c>
      <c r="D36" s="1" t="s">
        <v>8558</v>
      </c>
      <c r="E36" s="1" t="str">
        <f>IF(DayNight&lt;&gt;"Night","",_xlfn.IFNA(MATCH(A36,Main!$I$125:$I$127,0),""))</f>
        <v/>
      </c>
    </row>
    <row r="37" spans="1:5" x14ac:dyDescent="0.3">
      <c r="A37" s="1">
        <f t="shared" ref="A37" si="6">A6</f>
        <v>7121</v>
      </c>
      <c r="B37" s="1">
        <f t="shared" si="2"/>
        <v>112</v>
      </c>
      <c r="C37" s="9" t="str">
        <f t="shared" si="3"/>
        <v>"ally_instance_ids": [],</v>
      </c>
      <c r="D37" s="1" t="s">
        <v>8558</v>
      </c>
      <c r="E37" s="1" t="str">
        <f>IF(DayNight&lt;&gt;"Night","",_xlfn.IFNA(MATCH(A37,Main!$I$125:$I$127,0),""))</f>
        <v/>
      </c>
    </row>
    <row r="38" spans="1:5" x14ac:dyDescent="0.3">
      <c r="A38" s="1">
        <f t="shared" ref="A38" si="7">A7</f>
        <v>7122</v>
      </c>
      <c r="B38" s="1">
        <f t="shared" si="2"/>
        <v>136</v>
      </c>
      <c r="C38" s="9" t="str">
        <f t="shared" si="3"/>
        <v>"ally_instance_ids": [],</v>
      </c>
      <c r="D38" s="1" t="s">
        <v>8558</v>
      </c>
      <c r="E38" s="1" t="str">
        <f>IF(DayNight&lt;&gt;"Night","",_xlfn.IFNA(MATCH(A38,Main!$I$125:$I$127,0),""))</f>
        <v/>
      </c>
    </row>
    <row r="39" spans="1:5" x14ac:dyDescent="0.3">
      <c r="A39" s="1">
        <f t="shared" ref="A39" si="8">A8</f>
        <v>7123</v>
      </c>
      <c r="B39" s="1">
        <f t="shared" si="2"/>
        <v>160</v>
      </c>
      <c r="C39" s="9" t="str">
        <f t="shared" si="3"/>
        <v>"ally_instance_ids": [],</v>
      </c>
      <c r="D39" s="1" t="s">
        <v>8558</v>
      </c>
      <c r="E39" s="1" t="str">
        <f>IF(DayNight&lt;&gt;"Night","",_xlfn.IFNA(MATCH(A39,Main!$I$125:$I$127,0),""))</f>
        <v/>
      </c>
    </row>
    <row r="40" spans="1:5" x14ac:dyDescent="0.3">
      <c r="A40" s="1">
        <f t="shared" ref="A40" si="9">A9</f>
        <v>7124</v>
      </c>
      <c r="B40" s="1">
        <f t="shared" si="2"/>
        <v>184</v>
      </c>
      <c r="C40" s="9" t="str">
        <f t="shared" si="3"/>
        <v>"ally_instance_ids": [],</v>
      </c>
      <c r="D40" s="1" t="s">
        <v>8558</v>
      </c>
      <c r="E40" s="1" t="str">
        <f>IF(DayNight&lt;&gt;"Night","",_xlfn.IFNA(MATCH(A40,Main!$I$125:$I$127,0),""))</f>
        <v/>
      </c>
    </row>
    <row r="41" spans="1:5" x14ac:dyDescent="0.3">
      <c r="A41" s="1">
        <f t="shared" ref="A41" si="10">A10</f>
        <v>7126</v>
      </c>
      <c r="B41" s="1">
        <f t="shared" si="2"/>
        <v>208</v>
      </c>
      <c r="C41" s="9" t="str">
        <f t="shared" si="3"/>
        <v>"ally_instance_ids": [],</v>
      </c>
      <c r="D41" s="1" t="s">
        <v>8558</v>
      </c>
      <c r="E41" s="1" t="str">
        <f>IF(DayNight&lt;&gt;"Night","",_xlfn.IFNA(MATCH(A41,Main!$I$125:$I$127,0),""))</f>
        <v/>
      </c>
    </row>
    <row r="42" spans="1:5" x14ac:dyDescent="0.3">
      <c r="A42" s="1">
        <f t="shared" ref="A42" si="11">A11</f>
        <v>7127</v>
      </c>
      <c r="B42" s="1">
        <f t="shared" si="2"/>
        <v>232</v>
      </c>
      <c r="C42" s="9" t="str">
        <f t="shared" si="3"/>
        <v>"ally_instance_ids": [],</v>
      </c>
      <c r="D42" s="1" t="s">
        <v>8558</v>
      </c>
      <c r="E42" s="1" t="str">
        <f>IF(DayNight&lt;&gt;"Night","",_xlfn.IFNA(MATCH(A42,Main!$I$125:$I$127,0),""))</f>
        <v/>
      </c>
    </row>
    <row r="43" spans="1:5" x14ac:dyDescent="0.3">
      <c r="A43" s="1">
        <f t="shared" ref="A43" si="12">A12</f>
        <v>7128</v>
      </c>
      <c r="B43" s="1">
        <f t="shared" si="2"/>
        <v>256</v>
      </c>
      <c r="C43" s="9" t="str">
        <f t="shared" si="3"/>
        <v>"ally_instance_ids": [],</v>
      </c>
      <c r="D43" s="1" t="s">
        <v>8558</v>
      </c>
      <c r="E43" s="1" t="str">
        <f>IF(DayNight&lt;&gt;"Night","",_xlfn.IFNA(MATCH(A43,Main!$I$125:$I$127,0),""))</f>
        <v/>
      </c>
    </row>
    <row r="44" spans="1:5" x14ac:dyDescent="0.3">
      <c r="A44" s="1">
        <f t="shared" ref="A44" si="13">A13</f>
        <v>7129</v>
      </c>
      <c r="B44" s="1">
        <f t="shared" si="2"/>
        <v>280</v>
      </c>
      <c r="C44" s="9" t="str">
        <f t="shared" si="3"/>
        <v>"ally_instance_ids": [],</v>
      </c>
      <c r="D44" s="1" t="s">
        <v>8558</v>
      </c>
      <c r="E44" s="1" t="str">
        <f>IF(DayNight&lt;&gt;"Night","",_xlfn.IFNA(MATCH(A44,Main!$I$125:$I$127,0),""))</f>
        <v/>
      </c>
    </row>
    <row r="45" spans="1:5" x14ac:dyDescent="0.3">
      <c r="A45" s="1">
        <f t="shared" ref="A45" si="14">A14</f>
        <v>7130</v>
      </c>
      <c r="B45" s="1">
        <f t="shared" si="2"/>
        <v>304</v>
      </c>
      <c r="C45" s="9" t="str">
        <f t="shared" si="3"/>
        <v>"ally_instance_ids": [],</v>
      </c>
      <c r="D45" s="1" t="s">
        <v>8558</v>
      </c>
      <c r="E45" s="1" t="str">
        <f>IF(DayNight&lt;&gt;"Night","",_xlfn.IFNA(MATCH(A45,Main!$I$125:$I$127,0),""))</f>
        <v/>
      </c>
    </row>
    <row r="46" spans="1:5" x14ac:dyDescent="0.3">
      <c r="A46" s="1">
        <f t="shared" ref="A46" si="15">A15</f>
        <v>7131</v>
      </c>
      <c r="B46" s="1">
        <f t="shared" si="2"/>
        <v>328</v>
      </c>
      <c r="C46" s="9" t="str">
        <f t="shared" si="3"/>
        <v>"ally_instance_ids": [],</v>
      </c>
      <c r="D46" s="1" t="s">
        <v>8558</v>
      </c>
      <c r="E46" s="1" t="str">
        <f>IF(DayNight&lt;&gt;"Night","",_xlfn.IFNA(MATCH(A46,Main!$I$125:$I$127,0),""))</f>
        <v/>
      </c>
    </row>
    <row r="47" spans="1:5" x14ac:dyDescent="0.3">
      <c r="A47" s="1">
        <f t="shared" ref="A47" si="16">A16</f>
        <v>7132</v>
      </c>
      <c r="B47" s="1">
        <f t="shared" si="2"/>
        <v>352</v>
      </c>
      <c r="C47" s="9" t="str">
        <f t="shared" si="3"/>
        <v>"ally_instance_ids": [],</v>
      </c>
      <c r="D47" s="1" t="s">
        <v>8558</v>
      </c>
      <c r="E47" s="1" t="str">
        <f>IF(DayNight&lt;&gt;"Night","",_xlfn.IFNA(MATCH(A47,Main!$I$125:$I$127,0),""))</f>
        <v/>
      </c>
    </row>
    <row r="48" spans="1:5" x14ac:dyDescent="0.3">
      <c r="A48" s="1">
        <f t="shared" ref="A48" si="17">A17</f>
        <v>7133</v>
      </c>
      <c r="B48" s="1">
        <f t="shared" si="2"/>
        <v>376</v>
      </c>
      <c r="C48" s="9" t="str">
        <f t="shared" si="3"/>
        <v>"ally_instance_ids": [],</v>
      </c>
      <c r="D48" s="1" t="s">
        <v>8558</v>
      </c>
      <c r="E48" s="1" t="str">
        <f>IF(DayNight&lt;&gt;"Night","",_xlfn.IFNA(MATCH(A48,Main!$I$125:$I$127,0),""))</f>
        <v/>
      </c>
    </row>
    <row r="49" spans="1:5" x14ac:dyDescent="0.3">
      <c r="A49" s="1">
        <f t="shared" ref="A49" si="18">A18</f>
        <v>7134</v>
      </c>
      <c r="B49" s="1">
        <f t="shared" si="2"/>
        <v>400</v>
      </c>
      <c r="C49" s="9" t="str">
        <f t="shared" si="3"/>
        <v>"ally_instance_ids": [],</v>
      </c>
      <c r="D49" s="1" t="s">
        <v>8558</v>
      </c>
      <c r="E49" s="1" t="str">
        <f>IF(DayNight&lt;&gt;"Night","",_xlfn.IFNA(MATCH(A49,Main!$I$125:$I$127,0),""))</f>
        <v/>
      </c>
    </row>
    <row r="50" spans="1:5" x14ac:dyDescent="0.3">
      <c r="A50" s="1">
        <f t="shared" ref="A50" si="19">A19</f>
        <v>7135</v>
      </c>
      <c r="B50" s="1">
        <f t="shared" si="2"/>
        <v>424</v>
      </c>
      <c r="C50" s="9" t="str">
        <f t="shared" si="3"/>
        <v>"ally_instance_ids": [],</v>
      </c>
      <c r="D50" s="1" t="s">
        <v>8558</v>
      </c>
      <c r="E50" s="1" t="str">
        <f>IF(DayNight&lt;&gt;"Night","",_xlfn.IFNA(MATCH(A50,Main!$I$125:$I$127,0),""))</f>
        <v/>
      </c>
    </row>
    <row r="51" spans="1:5" x14ac:dyDescent="0.3">
      <c r="A51" s="1">
        <f t="shared" ref="A51" si="20">A20</f>
        <v>7136</v>
      </c>
      <c r="B51" s="1">
        <f t="shared" si="2"/>
        <v>448</v>
      </c>
      <c r="C51" s="9" t="str">
        <f t="shared" si="3"/>
        <v>"ally_instance_ids": [],</v>
      </c>
      <c r="D51" s="1" t="s">
        <v>8558</v>
      </c>
      <c r="E51" s="1" t="str">
        <f>IF(DayNight&lt;&gt;"Night","",_xlfn.IFNA(MATCH(A51,Main!$I$125:$I$127,0),""))</f>
        <v/>
      </c>
    </row>
    <row r="52" spans="1:5" x14ac:dyDescent="0.3">
      <c r="A52" s="1">
        <f t="shared" ref="A52" si="21">A21</f>
        <v>7137</v>
      </c>
      <c r="B52" s="1">
        <f t="shared" si="2"/>
        <v>472</v>
      </c>
      <c r="C52" s="9" t="str">
        <f t="shared" si="3"/>
        <v>"ally_instance_ids": [],</v>
      </c>
      <c r="D52" s="1" t="s">
        <v>8558</v>
      </c>
      <c r="E52" s="1" t="str">
        <f>IF(DayNight&lt;&gt;"Night","",_xlfn.IFNA(MATCH(A52,Main!$I$125:$I$127,0),""))</f>
        <v/>
      </c>
    </row>
    <row r="53" spans="1:5" x14ac:dyDescent="0.3">
      <c r="A53" s="1">
        <f t="shared" ref="A53" si="22">A22</f>
        <v>7138</v>
      </c>
      <c r="B53" s="1">
        <f t="shared" si="2"/>
        <v>496</v>
      </c>
      <c r="C53" s="9" t="str">
        <f t="shared" si="3"/>
        <v>"ally_instance_ids": [],</v>
      </c>
      <c r="D53" s="1" t="s">
        <v>8558</v>
      </c>
      <c r="E53" s="1" t="str">
        <f>IF(DayNight&lt;&gt;"Night","",_xlfn.IFNA(MATCH(A53,Main!$I$125:$I$127,0),""))</f>
        <v/>
      </c>
    </row>
    <row r="54" spans="1:5" x14ac:dyDescent="0.3">
      <c r="A54" s="1">
        <f t="shared" ref="A54" si="23">A23</f>
        <v>7139</v>
      </c>
      <c r="B54" s="1">
        <f t="shared" si="2"/>
        <v>520</v>
      </c>
      <c r="C54" s="9" t="str">
        <f t="shared" si="3"/>
        <v>"ally_instance_ids": [],</v>
      </c>
      <c r="D54" s="1" t="s">
        <v>8558</v>
      </c>
      <c r="E54" s="1" t="str">
        <f>IF(DayNight&lt;&gt;"Night","",_xlfn.IFNA(MATCH(A54,Main!$I$125:$I$127,0),""))</f>
        <v/>
      </c>
    </row>
    <row r="55" spans="1:5" x14ac:dyDescent="0.3">
      <c r="A55" s="1">
        <f t="shared" ref="A55" si="24">A24</f>
        <v>7140</v>
      </c>
      <c r="B55" s="1">
        <f t="shared" si="2"/>
        <v>544</v>
      </c>
      <c r="C55" s="9" t="str">
        <f t="shared" si="3"/>
        <v>"ally_instance_ids": [],</v>
      </c>
      <c r="D55" s="1" t="s">
        <v>8558</v>
      </c>
      <c r="E55" s="1" t="str">
        <f>IF(DayNight&lt;&gt;"Night","",_xlfn.IFNA(MATCH(A55,Main!$I$125:$I$127,0),""))</f>
        <v/>
      </c>
    </row>
    <row r="56" spans="1:5" x14ac:dyDescent="0.3">
      <c r="A56" s="1">
        <f t="shared" ref="A56" si="25">A25</f>
        <v>7141</v>
      </c>
      <c r="B56" s="1">
        <f t="shared" si="2"/>
        <v>568</v>
      </c>
      <c r="C56" s="9" t="str">
        <f t="shared" si="3"/>
        <v>"ally_instance_ids": [],</v>
      </c>
      <c r="D56" s="1" t="s">
        <v>8558</v>
      </c>
      <c r="E56" s="1" t="str">
        <f>IF(DayNight&lt;&gt;"Night","",_xlfn.IFNA(MATCH(A56,Main!$I$125:$I$127,0),""))</f>
        <v/>
      </c>
    </row>
    <row r="57" spans="1:5" x14ac:dyDescent="0.3">
      <c r="A57" s="1">
        <f t="shared" ref="A57" si="26">A26</f>
        <v>7142</v>
      </c>
      <c r="B57" s="1">
        <f t="shared" si="2"/>
        <v>592</v>
      </c>
      <c r="C57" s="9" t="str">
        <f t="shared" si="3"/>
        <v>"ally_instance_ids": [],</v>
      </c>
      <c r="D57" s="1" t="s">
        <v>8558</v>
      </c>
      <c r="E57" s="1" t="str">
        <f>IF(DayNight&lt;&gt;"Night","",_xlfn.IFNA(MATCH(A57,Main!$I$125:$I$127,0),""))</f>
        <v/>
      </c>
    </row>
    <row r="58" spans="1:5" x14ac:dyDescent="0.3">
      <c r="A58" s="1">
        <f t="shared" ref="A58" si="27">A27</f>
        <v>7143</v>
      </c>
      <c r="B58" s="1">
        <f t="shared" si="2"/>
        <v>616</v>
      </c>
      <c r="C58" s="9" t="str">
        <f t="shared" si="3"/>
        <v>"ally_instance_ids": [],</v>
      </c>
      <c r="D58" s="1" t="s">
        <v>8558</v>
      </c>
      <c r="E58" s="1" t="str">
        <f>IF(DayNight&lt;&gt;"Night","",_xlfn.IFNA(MATCH(A58,Main!$I$125:$I$127,0),""))</f>
        <v/>
      </c>
    </row>
    <row r="59" spans="1:5" x14ac:dyDescent="0.3">
      <c r="A59" s="1">
        <f t="shared" ref="A59" si="28">A28</f>
        <v>7144</v>
      </c>
      <c r="B59" s="1">
        <f t="shared" si="2"/>
        <v>640</v>
      </c>
      <c r="C59" s="9" t="str">
        <f t="shared" si="3"/>
        <v>"ally_instance_ids": [],</v>
      </c>
      <c r="D59" s="1" t="s">
        <v>8558</v>
      </c>
      <c r="E59" s="1" t="str">
        <f>IF(DayNight&lt;&gt;"Night","",_xlfn.IFNA(MATCH(A59,Main!$I$125:$I$127,0),""))</f>
        <v/>
      </c>
    </row>
    <row r="60" spans="1:5" x14ac:dyDescent="0.3">
      <c r="A60" s="1">
        <f t="shared" ref="A60" si="29">A29</f>
        <v>7145</v>
      </c>
      <c r="B60" s="1">
        <f t="shared" si="2"/>
        <v>664</v>
      </c>
      <c r="C60" s="9" t="str">
        <f t="shared" si="3"/>
        <v>"ally_instance_ids": [],</v>
      </c>
      <c r="D60" s="1" t="s">
        <v>8558</v>
      </c>
      <c r="E60" s="1" t="str">
        <f>IF(DayNight&lt;&gt;"Night","",_xlfn.IFNA(MATCH(A60,Main!$I$125:$I$127,0),""))</f>
        <v/>
      </c>
    </row>
    <row r="61" spans="1:5" x14ac:dyDescent="0.3">
      <c r="A61" s="1">
        <f t="shared" ref="A61" si="30">A30</f>
        <v>7146</v>
      </c>
      <c r="B61" s="1">
        <f t="shared" si="2"/>
        <v>688</v>
      </c>
      <c r="C61" s="9" t="str">
        <f t="shared" si="3"/>
        <v>"ally_instance_ids": [],</v>
      </c>
      <c r="D61" s="1" t="s">
        <v>8558</v>
      </c>
      <c r="E61" s="1" t="str">
        <f>IF(DayNight&lt;&gt;"Night","",_xlfn.IFNA(MATCH(A61,Main!$I$125:$I$127,0),""))</f>
        <v/>
      </c>
    </row>
    <row r="62" spans="1:5" x14ac:dyDescent="0.3">
      <c r="A62" s="1">
        <f t="shared" ref="A62" si="31">A31</f>
        <v>7125</v>
      </c>
      <c r="B62" s="1">
        <f t="shared" si="2"/>
        <v>712</v>
      </c>
      <c r="C62" s="9" t="str">
        <f t="shared" si="3"/>
        <v>"ally_instance_ids": [],</v>
      </c>
      <c r="D62" s="1" t="s">
        <v>8558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"Day",</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10004,</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"107",</v>
      </c>
    </row>
    <row r="3" spans="1:3" x14ac:dyDescent="0.3">
      <c r="A3" t="s">
        <v>8276</v>
      </c>
      <c r="B3" s="1">
        <v>11</v>
      </c>
      <c r="C3" s="9" t="str">
        <f>CHAR(34)&amp;A3&amp;CHAR(34)&amp;": "&amp;CHAR(34)&amp;IF(DayNight="Day",103,7123)&amp;CHAR(34)&amp;","</f>
        <v>"to_spot_id": "103",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3" t="s">
        <v>8330</v>
      </c>
      <c r="DZ11" s="97">
        <v>44</v>
      </c>
      <c r="EA11" s="98">
        <v>31</v>
      </c>
      <c r="EB11" s="98">
        <v>83</v>
      </c>
      <c r="EC11" s="99">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9" max="9" width="9.109375"/>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Main!D114</f>
        <v>100</v>
      </c>
      <c r="K12" s="60">
        <v>3</v>
      </c>
      <c r="L12" s="60">
        <f>Main!E114</f>
        <v>5</v>
      </c>
      <c r="M12" s="60">
        <f>Main!F114</f>
        <v>4</v>
      </c>
      <c r="N12" s="60" t="s">
        <v>1043</v>
      </c>
      <c r="O12" s="59">
        <f>(INDEX('SF Data'!$M:$M,MATCH(Main!C114,'SF Data'!$C:$C,0))&amp;"0"&amp;M12)*1</f>
        <v>10604</v>
      </c>
      <c r="P12" s="60">
        <v>100</v>
      </c>
      <c r="Q12" s="60">
        <f>INDEX('SF Data'!AE:AE,MATCH(Main!C114,'SF Data'!C:C,0))</f>
        <v>110</v>
      </c>
      <c r="R12" s="60">
        <f t="shared" ref="R12:R16" si="3">INDEX($B$11:$B$15,MATCH(MAX(K12,L12),$A$11:$A$15,0))</f>
        <v>120</v>
      </c>
      <c r="S12" s="60">
        <f>INDEX($B$3:$B$5,3)</f>
        <v>4.79</v>
      </c>
      <c r="T12" s="60">
        <f>INDEX('SF Resolution'!F:F,MATCH(O12,'SF Resolution'!A:A,0))</f>
        <v>1</v>
      </c>
      <c r="U12" s="60">
        <f>INDEX('SF Data'!L:L,MATCH(Main!C114,'SF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Main!D115</f>
        <v>100</v>
      </c>
      <c r="K13" s="66">
        <v>3</v>
      </c>
      <c r="L13" s="66">
        <f>Main!E115</f>
        <v>5</v>
      </c>
      <c r="M13" s="66">
        <f>Main!F115</f>
        <v>4</v>
      </c>
      <c r="N13" s="66" t="s">
        <v>1043</v>
      </c>
      <c r="O13" s="65">
        <f>(INDEX('SF Data'!$M:$M,MATCH(Main!C115,'SF Data'!$C:$C,0))&amp;"0"&amp;M13)*1</f>
        <v>10504</v>
      </c>
      <c r="P13" s="66">
        <v>100</v>
      </c>
      <c r="Q13" s="66">
        <f>INDEX('SF Data'!AE:AE,MATCH(Main!C115,'SF Data'!C:C,0))</f>
        <v>110</v>
      </c>
      <c r="R13" s="66">
        <f t="shared" si="3"/>
        <v>120</v>
      </c>
      <c r="S13" s="66">
        <f t="shared" ref="S13:S17" si="5">INDEX($B$3:$B$5,3)</f>
        <v>4.79</v>
      </c>
      <c r="T13" s="66">
        <f>INDEX('SF Resolution'!F:F,MATCH(O13,'SF Resolution'!A:A,0))</f>
        <v>1</v>
      </c>
      <c r="U13" s="66">
        <f>INDEX('SF Data'!L:L,MATCH(Main!C115,'SF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Main!D116</f>
        <v>100</v>
      </c>
      <c r="K14" s="66">
        <v>3</v>
      </c>
      <c r="L14" s="66">
        <f>Main!E116</f>
        <v>5</v>
      </c>
      <c r="M14" s="66">
        <f>Main!F116</f>
        <v>4</v>
      </c>
      <c r="N14" s="66" t="s">
        <v>1043</v>
      </c>
      <c r="O14" s="65">
        <f>(INDEX('SF Data'!$M:$M,MATCH(Main!C116,'SF Data'!$C:$C,0))&amp;"0"&amp;M14)*1</f>
        <v>10904</v>
      </c>
      <c r="P14" s="66">
        <v>100</v>
      </c>
      <c r="Q14" s="66">
        <f>INDEX('SF Data'!AE:AE,MATCH(Main!C116,'SF Data'!C:C,0))</f>
        <v>95</v>
      </c>
      <c r="R14" s="66">
        <f t="shared" si="3"/>
        <v>120</v>
      </c>
      <c r="S14" s="66">
        <f t="shared" si="5"/>
        <v>4.79</v>
      </c>
      <c r="T14" s="66">
        <f>INDEX('SF Resolution'!F:F,MATCH(O14,'SF Resolution'!A:A,0))</f>
        <v>1</v>
      </c>
      <c r="U14" s="66">
        <f>INDEX('SF Data'!L:L,MATCH(Main!C116,'SF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Main!D117</f>
        <v>100</v>
      </c>
      <c r="K15" s="66">
        <v>3</v>
      </c>
      <c r="L15" s="66">
        <f>Main!E117</f>
        <v>5</v>
      </c>
      <c r="M15" s="66">
        <f>Main!F117</f>
        <v>4</v>
      </c>
      <c r="N15" s="66" t="s">
        <v>1043</v>
      </c>
      <c r="O15" s="65">
        <f>(INDEX('SF Data'!$M:$M,MATCH(Main!C117,'SF Data'!$C:$C,0))&amp;"0"&amp;M15)*1</f>
        <v>11404</v>
      </c>
      <c r="P15" s="66">
        <v>100</v>
      </c>
      <c r="Q15" s="66">
        <f>INDEX('SF Data'!AE:AE,MATCH(Main!C117,'SF Data'!C:C,0))</f>
        <v>105</v>
      </c>
      <c r="R15" s="66">
        <f t="shared" si="3"/>
        <v>120</v>
      </c>
      <c r="S15" s="66">
        <f t="shared" si="5"/>
        <v>4.79</v>
      </c>
      <c r="T15" s="66">
        <f>INDEX('SF Resolution'!F:F,MATCH(O15,'SF Resolution'!A:A,0))</f>
        <v>1</v>
      </c>
      <c r="U15" s="66">
        <f>INDEX('SF Data'!L:L,MATCH(Main!C117,'SF Data'!C:C,0))</f>
        <v>1</v>
      </c>
      <c r="V15" s="67">
        <f>INDEX('SF Resolution'!G:G,MATCH(O15,'SF Resolution'!A:A,0))</f>
        <v>366</v>
      </c>
      <c r="X15" s="122">
        <f t="shared" si="4"/>
        <v>1205</v>
      </c>
      <c r="Y15" s="25"/>
    </row>
    <row r="16" spans="1:25" x14ac:dyDescent="0.3">
      <c r="I16" s="122">
        <v>14</v>
      </c>
      <c r="J16" s="65">
        <f>Main!D118</f>
        <v>100</v>
      </c>
      <c r="K16" s="66">
        <v>3</v>
      </c>
      <c r="L16" s="66">
        <f>Main!E118</f>
        <v>5</v>
      </c>
      <c r="M16" s="66">
        <f>Main!F118</f>
        <v>4</v>
      </c>
      <c r="N16" s="66" t="s">
        <v>1043</v>
      </c>
      <c r="O16" s="65">
        <f>(INDEX('SF Data'!$M:$M,MATCH(Main!C118,'SF Data'!$C:$C,0))&amp;"0"&amp;M16)*1</f>
        <v>11304</v>
      </c>
      <c r="P16" s="66">
        <v>100</v>
      </c>
      <c r="Q16" s="66">
        <f>INDEX('SF Data'!AE:AE,MATCH(Main!C118,'SF Data'!C:C,0))</f>
        <v>90</v>
      </c>
      <c r="R16" s="66">
        <f t="shared" si="3"/>
        <v>120</v>
      </c>
      <c r="S16" s="66">
        <f t="shared" si="5"/>
        <v>4.79</v>
      </c>
      <c r="T16" s="66">
        <f>INDEX('SF Resolution'!F:F,MATCH(O16,'SF Resolution'!A:A,0))</f>
        <v>1</v>
      </c>
      <c r="U16" s="66">
        <f>INDEX('SF Data'!L:L,MATCH(Main!C118,'SF Data'!C:C,0))</f>
        <v>1</v>
      </c>
      <c r="V16" s="67">
        <f>INDEX('SF Resolution'!G:G,MATCH(O16,'SF Resolution'!A:A,0))</f>
        <v>313</v>
      </c>
      <c r="X16" s="122">
        <f t="shared" si="4"/>
        <v>1033</v>
      </c>
      <c r="Y16" s="25"/>
    </row>
    <row r="17" spans="1:25" x14ac:dyDescent="0.3">
      <c r="A17" s="10" t="s">
        <v>1071</v>
      </c>
      <c r="I17" s="123">
        <v>15</v>
      </c>
      <c r="J17" s="71">
        <f>Main!D119</f>
        <v>100</v>
      </c>
      <c r="K17" s="72">
        <v>3</v>
      </c>
      <c r="L17" s="72">
        <f>Main!E119</f>
        <v>5</v>
      </c>
      <c r="M17" s="72">
        <f>Main!F119</f>
        <v>4</v>
      </c>
      <c r="N17" s="72" t="s">
        <v>1043</v>
      </c>
      <c r="O17" s="71">
        <f>(INDEX('SF Data'!$M:$M,MATCH(Main!C119,'SF Data'!$C:$C,0))&amp;"0"&amp;M17)*1</f>
        <v>12204</v>
      </c>
      <c r="P17" s="72">
        <v>100</v>
      </c>
      <c r="Q17" s="72">
        <f>INDEX('SF Data'!AE:AE,MATCH(Main!C119,'SF Data'!C:C,0))</f>
        <v>200</v>
      </c>
      <c r="R17" s="72">
        <f t="shared" ref="R17" si="6">INDEX($B$11:$B$15,MATCH(MAX(K17,L17),$A$11:$A$15,0))</f>
        <v>120</v>
      </c>
      <c r="S17" s="72">
        <f t="shared" si="5"/>
        <v>4.79</v>
      </c>
      <c r="T17" s="72">
        <f>INDEX('SF Resolution'!F:F,MATCH(O17,'SF Resolution'!A:A,0))</f>
        <v>1</v>
      </c>
      <c r="U17" s="72">
        <f>INDEX('SF Data'!L:L,MATCH(Main!C119,'SF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1"/>
  <sheetViews>
    <sheetView topLeftCell="AG1" workbookViewId="0">
      <pane ySplit="1" topLeftCell="A390" activePane="bottomLeft" state="frozen"/>
      <selection activeCell="AV2" sqref="AV2"/>
      <selection pane="bottomLeft" activeCell="AV2" sqref="AV2"/>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8746</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8560</v>
      </c>
      <c r="C375" t="s">
        <v>8561</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8562</v>
      </c>
      <c r="AL375" s="1" t="s">
        <v>8563</v>
      </c>
      <c r="AM375" s="1">
        <v>0.23</v>
      </c>
      <c r="AN375" s="1">
        <v>0.23</v>
      </c>
      <c r="AO375" s="1">
        <v>0.33</v>
      </c>
      <c r="AP375" s="1">
        <v>0.38</v>
      </c>
      <c r="AQ375" s="1">
        <v>3</v>
      </c>
      <c r="AR375" t="s">
        <v>1477</v>
      </c>
      <c r="AS375">
        <v>0</v>
      </c>
      <c r="AT375" t="s">
        <v>8564</v>
      </c>
      <c r="AU375">
        <v>10</v>
      </c>
      <c r="AV375">
        <v>20074</v>
      </c>
      <c r="AX375" t="b">
        <v>0</v>
      </c>
    </row>
    <row r="376" spans="1:50" x14ac:dyDescent="0.3">
      <c r="A376">
        <v>377</v>
      </c>
      <c r="B376" t="s">
        <v>8565</v>
      </c>
      <c r="C376" t="s">
        <v>8566</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8567</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8568</v>
      </c>
      <c r="C377" t="s">
        <v>8569</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8570</v>
      </c>
      <c r="AL377" s="1" t="s">
        <v>8571</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8572</v>
      </c>
      <c r="C378" t="s">
        <v>8573</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8574</v>
      </c>
      <c r="AL378" s="1" t="s">
        <v>8575</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8610</v>
      </c>
      <c r="C379" t="s">
        <v>8611</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8626</v>
      </c>
      <c r="AH379" s="1">
        <v>3120</v>
      </c>
      <c r="AI379" t="s">
        <v>1843</v>
      </c>
      <c r="AJ379">
        <v>0</v>
      </c>
      <c r="AK379" s="1" t="s">
        <v>8609</v>
      </c>
      <c r="AL379" s="1" t="s">
        <v>8612</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8613</v>
      </c>
      <c r="C380" t="s">
        <v>8614</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8627</v>
      </c>
      <c r="AH380" s="1">
        <v>3120</v>
      </c>
      <c r="AI380" t="s">
        <v>1843</v>
      </c>
      <c r="AJ380">
        <v>0</v>
      </c>
      <c r="AK380" s="1" t="s">
        <v>8608</v>
      </c>
      <c r="AL380" s="1" t="s">
        <v>8615</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8616</v>
      </c>
      <c r="C381" t="s">
        <v>8617</v>
      </c>
      <c r="D381">
        <v>5</v>
      </c>
      <c r="E381">
        <v>2</v>
      </c>
      <c r="F381">
        <v>19</v>
      </c>
      <c r="G381" s="1" t="s">
        <v>328</v>
      </c>
      <c r="H381" s="1" t="s">
        <v>328</v>
      </c>
      <c r="I381" s="1" t="s">
        <v>328</v>
      </c>
      <c r="J381" s="1" t="s">
        <v>328</v>
      </c>
      <c r="K381" s="1" t="s">
        <v>328</v>
      </c>
      <c r="L381" s="1" t="s">
        <v>338</v>
      </c>
      <c r="M381" s="1" t="s">
        <v>328</v>
      </c>
      <c r="N381" s="1" t="s">
        <v>8618</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8595</v>
      </c>
      <c r="AH381" s="1">
        <v>3300</v>
      </c>
      <c r="AI381" t="s">
        <v>1843</v>
      </c>
      <c r="AJ381">
        <v>0</v>
      </c>
      <c r="AK381" s="1" t="s">
        <v>8619</v>
      </c>
      <c r="AL381" s="1" t="s">
        <v>8620</v>
      </c>
      <c r="AM381" s="1">
        <v>0.08</v>
      </c>
      <c r="AN381" s="1">
        <v>0.5</v>
      </c>
      <c r="AO381" s="1">
        <v>0.3</v>
      </c>
      <c r="AP381" s="1">
        <v>0.3</v>
      </c>
      <c r="AQ381" s="1">
        <v>3</v>
      </c>
      <c r="AR381" t="s">
        <v>8288</v>
      </c>
      <c r="AS381">
        <v>0</v>
      </c>
      <c r="AT381" t="s">
        <v>1806</v>
      </c>
      <c r="AU381">
        <v>10</v>
      </c>
      <c r="AV381">
        <v>19073</v>
      </c>
      <c r="AX381" t="b">
        <v>0</v>
      </c>
    </row>
    <row r="382" spans="1:50" x14ac:dyDescent="0.3">
      <c r="A382">
        <v>383</v>
      </c>
      <c r="B382" t="s">
        <v>8621</v>
      </c>
      <c r="C382" t="s">
        <v>8622</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8601</v>
      </c>
      <c r="AH382" s="1">
        <v>3060</v>
      </c>
      <c r="AI382" t="s">
        <v>1843</v>
      </c>
      <c r="AJ382">
        <v>0</v>
      </c>
      <c r="AK382" s="1" t="s">
        <v>8623</v>
      </c>
      <c r="AL382" s="1" t="s">
        <v>8624</v>
      </c>
      <c r="AM382" s="1">
        <v>0.3</v>
      </c>
      <c r="AN382" s="1">
        <v>0.23</v>
      </c>
      <c r="AO382" s="1">
        <v>0.15</v>
      </c>
      <c r="AP382" s="1">
        <v>0.38</v>
      </c>
      <c r="AQ382" s="1">
        <v>3</v>
      </c>
      <c r="AR382" t="s">
        <v>8625</v>
      </c>
      <c r="AS382">
        <v>0</v>
      </c>
      <c r="AT382" t="s">
        <v>1806</v>
      </c>
      <c r="AU382">
        <v>10</v>
      </c>
      <c r="AV382">
        <v>20080</v>
      </c>
      <c r="AX382" t="b">
        <v>0</v>
      </c>
    </row>
    <row r="383" spans="1:50" x14ac:dyDescent="0.3">
      <c r="A383">
        <v>384</v>
      </c>
      <c r="B383" t="s">
        <v>8638</v>
      </c>
      <c r="C383" t="s">
        <v>8639</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8649</v>
      </c>
      <c r="AH383" s="1">
        <v>3120</v>
      </c>
      <c r="AI383" t="s">
        <v>1843</v>
      </c>
      <c r="AJ383">
        <v>0</v>
      </c>
      <c r="AK383" s="1" t="s">
        <v>8640</v>
      </c>
      <c r="AL383" s="1" t="s">
        <v>8641</v>
      </c>
      <c r="AM383" s="1">
        <v>0.3</v>
      </c>
      <c r="AN383" s="1">
        <v>0.25</v>
      </c>
      <c r="AO383" s="1">
        <v>0.12</v>
      </c>
      <c r="AP383" s="1">
        <v>0.38</v>
      </c>
      <c r="AQ383" s="1">
        <v>3</v>
      </c>
      <c r="AR383" t="s">
        <v>1478</v>
      </c>
      <c r="AS383">
        <v>0</v>
      </c>
      <c r="AT383" t="s">
        <v>8642</v>
      </c>
      <c r="AU383">
        <v>10</v>
      </c>
      <c r="AV383">
        <v>20081</v>
      </c>
      <c r="AX383" t="b">
        <v>0</v>
      </c>
    </row>
    <row r="384" spans="1:50" x14ac:dyDescent="0.3">
      <c r="A384">
        <v>385</v>
      </c>
      <c r="B384" t="s">
        <v>8643</v>
      </c>
      <c r="C384" t="s">
        <v>8644</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8650</v>
      </c>
      <c r="AH384" s="1">
        <v>3420</v>
      </c>
      <c r="AI384" t="s">
        <v>1843</v>
      </c>
      <c r="AJ384">
        <v>0</v>
      </c>
      <c r="AK384" s="1" t="s">
        <v>8645</v>
      </c>
      <c r="AL384" s="1" t="s">
        <v>8646</v>
      </c>
      <c r="AM384" s="1">
        <v>0.1</v>
      </c>
      <c r="AN384" s="1">
        <v>0.1</v>
      </c>
      <c r="AO384" s="1">
        <v>0.1</v>
      </c>
      <c r="AP384" s="1">
        <v>0.55000000000000004</v>
      </c>
      <c r="AQ384" s="1">
        <v>3</v>
      </c>
      <c r="AR384" t="s">
        <v>8647</v>
      </c>
      <c r="AS384">
        <v>0</v>
      </c>
      <c r="AT384" t="s">
        <v>8648</v>
      </c>
      <c r="AU384">
        <v>10</v>
      </c>
      <c r="AV384">
        <v>20082</v>
      </c>
      <c r="AX384" t="b">
        <v>0</v>
      </c>
    </row>
    <row r="385" spans="1:50" x14ac:dyDescent="0.3">
      <c r="A385">
        <v>386</v>
      </c>
      <c r="B385" t="s">
        <v>8674</v>
      </c>
      <c r="C385" t="s">
        <v>8675</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8676</v>
      </c>
      <c r="AL385" s="1" t="s">
        <v>8677</v>
      </c>
      <c r="AM385" s="1">
        <v>0.45</v>
      </c>
      <c r="AN385" s="1">
        <v>0.15</v>
      </c>
      <c r="AO385" s="1">
        <v>0.3</v>
      </c>
      <c r="AP385" s="1">
        <v>0.15</v>
      </c>
      <c r="AQ385" s="1">
        <v>3</v>
      </c>
      <c r="AR385" t="s">
        <v>1514</v>
      </c>
      <c r="AS385">
        <v>0</v>
      </c>
      <c r="AT385" t="s">
        <v>8678</v>
      </c>
      <c r="AU385">
        <v>10</v>
      </c>
      <c r="AV385">
        <v>18118</v>
      </c>
      <c r="AX385" t="b">
        <v>0</v>
      </c>
    </row>
    <row r="386" spans="1:50" x14ac:dyDescent="0.3">
      <c r="A386">
        <v>387</v>
      </c>
      <c r="B386" t="s">
        <v>8679</v>
      </c>
      <c r="C386" t="s">
        <v>8680</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8652</v>
      </c>
      <c r="AH386" s="1">
        <v>3600</v>
      </c>
      <c r="AI386" t="s">
        <v>1843</v>
      </c>
      <c r="AJ386">
        <v>0</v>
      </c>
      <c r="AK386" s="1" t="s">
        <v>8681</v>
      </c>
      <c r="AL386" s="1" t="s">
        <v>8682</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8683</v>
      </c>
      <c r="C387" t="s">
        <v>8684</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8660</v>
      </c>
      <c r="AH387" s="1">
        <v>3060</v>
      </c>
      <c r="AI387" t="s">
        <v>1843</v>
      </c>
      <c r="AJ387">
        <v>0</v>
      </c>
      <c r="AK387" s="1" t="s">
        <v>8685</v>
      </c>
      <c r="AL387" s="1" t="s">
        <v>8686</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8687</v>
      </c>
      <c r="C388" t="s">
        <v>8688</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8691</v>
      </c>
      <c r="AH388" s="1">
        <v>2700</v>
      </c>
      <c r="AI388" t="s">
        <v>1843</v>
      </c>
      <c r="AJ388">
        <v>0</v>
      </c>
      <c r="AK388" s="1" t="s">
        <v>8689</v>
      </c>
      <c r="AL388" s="1" t="s">
        <v>8690</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8692</v>
      </c>
      <c r="C389" t="s">
        <v>8693</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8703</v>
      </c>
      <c r="AH389" s="1">
        <v>3600</v>
      </c>
      <c r="AI389" t="s">
        <v>1843</v>
      </c>
      <c r="AJ389">
        <v>0</v>
      </c>
      <c r="AK389" s="1" t="s">
        <v>8694</v>
      </c>
      <c r="AL389" s="1" t="s">
        <v>8695</v>
      </c>
      <c r="AM389" s="1">
        <v>0.3</v>
      </c>
      <c r="AN389" s="1">
        <v>0.25</v>
      </c>
      <c r="AO389" s="1">
        <v>0.12</v>
      </c>
      <c r="AP389" s="1">
        <v>0.38</v>
      </c>
      <c r="AQ389" s="1">
        <v>3</v>
      </c>
      <c r="AR389" t="s">
        <v>8696</v>
      </c>
      <c r="AS389">
        <v>0</v>
      </c>
      <c r="AT389" t="s">
        <v>8697</v>
      </c>
      <c r="AU389">
        <v>10</v>
      </c>
      <c r="AV389">
        <v>20079</v>
      </c>
      <c r="AX389" t="b">
        <v>0</v>
      </c>
    </row>
    <row r="390" spans="1:50" x14ac:dyDescent="0.3">
      <c r="A390">
        <v>391</v>
      </c>
      <c r="B390" t="s">
        <v>8698</v>
      </c>
      <c r="C390" t="s">
        <v>8699</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8704</v>
      </c>
      <c r="AH390" s="1">
        <v>3600</v>
      </c>
      <c r="AI390" t="s">
        <v>1918</v>
      </c>
      <c r="AJ390">
        <v>0</v>
      </c>
      <c r="AK390" s="1" t="s">
        <v>8700</v>
      </c>
      <c r="AL390" s="1" t="s">
        <v>8701</v>
      </c>
      <c r="AM390" s="1">
        <v>0.48</v>
      </c>
      <c r="AN390" s="1">
        <v>0.48</v>
      </c>
      <c r="AO390" s="1">
        <v>0.08</v>
      </c>
      <c r="AP390" s="1">
        <v>0.25</v>
      </c>
      <c r="AQ390" s="1">
        <v>3</v>
      </c>
      <c r="AR390" t="s">
        <v>1493</v>
      </c>
      <c r="AS390">
        <v>0</v>
      </c>
      <c r="AT390" t="s">
        <v>8702</v>
      </c>
      <c r="AU390">
        <v>10</v>
      </c>
      <c r="AV390">
        <v>19074</v>
      </c>
      <c r="AX390" t="b">
        <v>0</v>
      </c>
    </row>
    <row r="391" spans="1:50" x14ac:dyDescent="0.3">
      <c r="A391">
        <v>392</v>
      </c>
      <c r="B391" t="s">
        <v>8705</v>
      </c>
      <c r="C391" t="s">
        <v>8706</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8707</v>
      </c>
      <c r="AL391" s="1" t="s">
        <v>8708</v>
      </c>
      <c r="AM391" s="1">
        <v>0.48</v>
      </c>
      <c r="AN391" s="1">
        <v>0.48</v>
      </c>
      <c r="AO391" s="1">
        <v>0.08</v>
      </c>
      <c r="AP391" s="1">
        <v>0.25</v>
      </c>
      <c r="AQ391" s="1">
        <v>3</v>
      </c>
      <c r="AR391" t="s">
        <v>1489</v>
      </c>
      <c r="AS391">
        <v>0</v>
      </c>
      <c r="AT391" t="s">
        <v>8709</v>
      </c>
      <c r="AU391">
        <v>10</v>
      </c>
      <c r="AV391">
        <v>19075</v>
      </c>
      <c r="AX391" t="b">
        <v>0</v>
      </c>
    </row>
    <row r="392" spans="1:50" x14ac:dyDescent="0.3">
      <c r="A392">
        <v>393</v>
      </c>
      <c r="B392" t="s">
        <v>8710</v>
      </c>
      <c r="C392" t="s">
        <v>8711</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8720</v>
      </c>
      <c r="AH392" s="1">
        <v>3300</v>
      </c>
      <c r="AI392" t="s">
        <v>1843</v>
      </c>
      <c r="AJ392">
        <v>0</v>
      </c>
      <c r="AK392" s="1" t="s">
        <v>8712</v>
      </c>
      <c r="AL392" s="1" t="s">
        <v>8713</v>
      </c>
      <c r="AM392" s="1">
        <v>0.08</v>
      </c>
      <c r="AN392" s="1">
        <v>0.5</v>
      </c>
      <c r="AO392" s="1">
        <v>0.3</v>
      </c>
      <c r="AP392" s="1">
        <v>0.3</v>
      </c>
      <c r="AQ392" s="1">
        <v>3</v>
      </c>
      <c r="AR392" t="s">
        <v>8288</v>
      </c>
      <c r="AS392">
        <v>0</v>
      </c>
      <c r="AT392" t="s">
        <v>8714</v>
      </c>
      <c r="AU392">
        <v>10</v>
      </c>
      <c r="AV392">
        <v>19076</v>
      </c>
      <c r="AX392" t="b">
        <v>0</v>
      </c>
    </row>
    <row r="393" spans="1:50" x14ac:dyDescent="0.3">
      <c r="A393">
        <v>394</v>
      </c>
      <c r="B393" t="s">
        <v>8715</v>
      </c>
      <c r="C393" t="s">
        <v>8716</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8721</v>
      </c>
      <c r="AH393" s="1">
        <v>3060</v>
      </c>
      <c r="AI393" t="s">
        <v>1843</v>
      </c>
      <c r="AJ393">
        <v>0</v>
      </c>
      <c r="AK393" s="1" t="s">
        <v>486</v>
      </c>
      <c r="AL393" s="1" t="s">
        <v>8717</v>
      </c>
      <c r="AM393" s="1">
        <v>0.23</v>
      </c>
      <c r="AN393" s="1">
        <v>0.23</v>
      </c>
      <c r="AO393" s="1">
        <v>0.33</v>
      </c>
      <c r="AP393" s="1">
        <v>0.38</v>
      </c>
      <c r="AQ393" s="1">
        <v>3</v>
      </c>
      <c r="AR393" t="s">
        <v>8718</v>
      </c>
      <c r="AS393">
        <v>0</v>
      </c>
      <c r="AT393" t="s">
        <v>8719</v>
      </c>
      <c r="AU393">
        <v>10</v>
      </c>
      <c r="AV393">
        <v>20081</v>
      </c>
      <c r="AX393" t="b">
        <v>0</v>
      </c>
    </row>
    <row r="394" spans="1:50" x14ac:dyDescent="0.3">
      <c r="A394">
        <v>395</v>
      </c>
      <c r="B394" t="s">
        <v>8738</v>
      </c>
      <c r="C394" t="s">
        <v>8739</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8740</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8741</v>
      </c>
      <c r="C395" t="s">
        <v>8742</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8746</v>
      </c>
      <c r="AH395" s="1">
        <v>3120</v>
      </c>
      <c r="AI395" t="s">
        <v>1843</v>
      </c>
      <c r="AJ395">
        <v>0</v>
      </c>
      <c r="AK395" s="1" t="s">
        <v>8737</v>
      </c>
      <c r="AL395" s="1" t="s">
        <v>8743</v>
      </c>
      <c r="AM395" s="1">
        <v>0.3</v>
      </c>
      <c r="AN395" s="1">
        <v>0.25</v>
      </c>
      <c r="AO395" s="1">
        <v>0.12</v>
      </c>
      <c r="AP395" s="1">
        <v>0.38</v>
      </c>
      <c r="AQ395" s="1">
        <v>3</v>
      </c>
      <c r="AR395" t="s">
        <v>8744</v>
      </c>
      <c r="AS395">
        <v>0</v>
      </c>
      <c r="AT395" t="s">
        <v>8745</v>
      </c>
      <c r="AU395">
        <v>10</v>
      </c>
      <c r="AV395">
        <v>20080</v>
      </c>
      <c r="AX395" t="b">
        <v>0</v>
      </c>
    </row>
    <row r="396" spans="1:50" x14ac:dyDescent="0.3">
      <c r="A396">
        <v>397</v>
      </c>
      <c r="B396" t="s">
        <v>8866</v>
      </c>
      <c r="C396" t="s">
        <v>8867</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8868</v>
      </c>
      <c r="AL396" s="1" t="s">
        <v>8869</v>
      </c>
      <c r="AM396" s="1">
        <v>0.55000000000000004</v>
      </c>
      <c r="AN396" s="1">
        <v>0.23</v>
      </c>
      <c r="AO396" s="1">
        <v>0.23</v>
      </c>
      <c r="AP396" s="1">
        <v>0.23</v>
      </c>
      <c r="AQ396" s="1">
        <v>3</v>
      </c>
      <c r="AR396" t="s">
        <v>8870</v>
      </c>
      <c r="AS396">
        <v>0</v>
      </c>
      <c r="AT396" t="s">
        <v>8871</v>
      </c>
      <c r="AU396">
        <v>10</v>
      </c>
      <c r="AV396">
        <v>18118</v>
      </c>
      <c r="AX396" t="b">
        <v>0</v>
      </c>
    </row>
    <row r="397" spans="1:50" x14ac:dyDescent="0.3">
      <c r="A397">
        <v>398</v>
      </c>
      <c r="B397" t="s">
        <v>8898</v>
      </c>
      <c r="C397" t="s">
        <v>8899</v>
      </c>
      <c r="D397">
        <v>5</v>
      </c>
      <c r="E397">
        <v>2</v>
      </c>
      <c r="F397">
        <v>19</v>
      </c>
      <c r="G397" s="1" t="s">
        <v>335</v>
      </c>
      <c r="H397" s="1" t="s">
        <v>328</v>
      </c>
      <c r="I397" s="1" t="s">
        <v>328</v>
      </c>
      <c r="J397" s="1" t="s">
        <v>328</v>
      </c>
      <c r="K397" s="1" t="s">
        <v>328</v>
      </c>
      <c r="L397" s="1" t="s">
        <v>328</v>
      </c>
      <c r="M397" s="1" t="s">
        <v>328</v>
      </c>
      <c r="N397" s="1" t="s">
        <v>8618</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8909</v>
      </c>
      <c r="AH397" s="1">
        <v>3300</v>
      </c>
      <c r="AI397" t="s">
        <v>1843</v>
      </c>
      <c r="AJ397">
        <v>0</v>
      </c>
      <c r="AK397" s="1" t="s">
        <v>8900</v>
      </c>
      <c r="AL397" s="1" t="s">
        <v>8901</v>
      </c>
      <c r="AM397" s="1">
        <v>0.08</v>
      </c>
      <c r="AN397" s="1">
        <v>0.5</v>
      </c>
      <c r="AO397" s="1">
        <v>0.3</v>
      </c>
      <c r="AP397" s="1">
        <v>0.3</v>
      </c>
      <c r="AQ397" s="1">
        <v>3</v>
      </c>
      <c r="AR397" t="s">
        <v>8154</v>
      </c>
      <c r="AS397">
        <v>0</v>
      </c>
      <c r="AT397" t="s">
        <v>8902</v>
      </c>
      <c r="AU397">
        <v>10</v>
      </c>
      <c r="AV397">
        <v>19077</v>
      </c>
      <c r="AX397" t="b">
        <v>0</v>
      </c>
    </row>
    <row r="398" spans="1:50" x14ac:dyDescent="0.3">
      <c r="A398">
        <v>399</v>
      </c>
      <c r="B398" t="s">
        <v>8903</v>
      </c>
      <c r="C398" t="s">
        <v>8904</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8908</v>
      </c>
      <c r="AH398" s="1">
        <v>3300</v>
      </c>
      <c r="AI398" t="s">
        <v>1843</v>
      </c>
      <c r="AJ398">
        <v>0</v>
      </c>
      <c r="AK398" s="1" t="s">
        <v>6869</v>
      </c>
      <c r="AL398" s="1" t="s">
        <v>8905</v>
      </c>
      <c r="AM398" s="1">
        <v>0.08</v>
      </c>
      <c r="AN398" s="1">
        <v>0.5</v>
      </c>
      <c r="AO398" s="1">
        <v>0.3</v>
      </c>
      <c r="AP398" s="1">
        <v>0.3</v>
      </c>
      <c r="AQ398" s="1">
        <v>3</v>
      </c>
      <c r="AR398" t="s">
        <v>8906</v>
      </c>
      <c r="AS398">
        <v>0</v>
      </c>
      <c r="AT398" t="s">
        <v>8907</v>
      </c>
      <c r="AU398">
        <v>10</v>
      </c>
      <c r="AV398">
        <v>19078</v>
      </c>
      <c r="AX398" t="b">
        <v>0</v>
      </c>
    </row>
    <row r="399" spans="1:50" x14ac:dyDescent="0.3">
      <c r="A399">
        <v>400</v>
      </c>
      <c r="B399" t="s">
        <v>8910</v>
      </c>
      <c r="C399" t="s">
        <v>8911</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8912</v>
      </c>
      <c r="AL399" s="1" t="s">
        <v>8913</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8914</v>
      </c>
      <c r="C400" t="s">
        <v>8915</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8916</v>
      </c>
      <c r="AM400" s="1">
        <v>0.3</v>
      </c>
      <c r="AN400" s="1">
        <v>0.23</v>
      </c>
      <c r="AO400" s="1">
        <v>0.15</v>
      </c>
      <c r="AP400" s="1">
        <v>0.38</v>
      </c>
      <c r="AQ400" s="1">
        <v>3</v>
      </c>
      <c r="AR400" t="s">
        <v>1583</v>
      </c>
      <c r="AS400">
        <v>0</v>
      </c>
      <c r="AT400" t="s">
        <v>1806</v>
      </c>
      <c r="AU400">
        <v>10</v>
      </c>
      <c r="AV400">
        <v>20082</v>
      </c>
      <c r="AX400">
        <v>0</v>
      </c>
    </row>
    <row r="401" spans="1:50" x14ac:dyDescent="0.3">
      <c r="A401">
        <v>402</v>
      </c>
      <c r="B401" t="s">
        <v>8917</v>
      </c>
      <c r="C401" t="s">
        <v>8918</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8919</v>
      </c>
      <c r="AL401" s="1" t="s">
        <v>8920</v>
      </c>
      <c r="AM401" s="1">
        <v>0.48</v>
      </c>
      <c r="AN401" s="1">
        <v>0.48</v>
      </c>
      <c r="AO401" s="1">
        <v>0.08</v>
      </c>
      <c r="AP401" s="1">
        <v>0.25</v>
      </c>
      <c r="AQ401" s="1">
        <v>3</v>
      </c>
      <c r="AR401" t="s">
        <v>1470</v>
      </c>
      <c r="AS401">
        <v>0</v>
      </c>
      <c r="AT401" t="s">
        <v>2468</v>
      </c>
      <c r="AU401">
        <v>10</v>
      </c>
      <c r="AV401">
        <v>19079</v>
      </c>
      <c r="AX401">
        <v>0</v>
      </c>
    </row>
    <row r="402" spans="1:50" x14ac:dyDescent="0.3">
      <c r="A402">
        <v>403</v>
      </c>
      <c r="B402" t="s">
        <v>8921</v>
      </c>
      <c r="C402" t="s">
        <v>8922</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8923</v>
      </c>
      <c r="AM402" s="1">
        <v>0.48</v>
      </c>
      <c r="AN402" s="1">
        <v>0.48</v>
      </c>
      <c r="AO402" s="1">
        <v>0.08</v>
      </c>
      <c r="AP402" s="1">
        <v>0.25</v>
      </c>
      <c r="AQ402" s="1">
        <v>3</v>
      </c>
      <c r="AR402" t="s">
        <v>1473</v>
      </c>
      <c r="AS402">
        <v>0</v>
      </c>
      <c r="AT402" t="s">
        <v>8924</v>
      </c>
      <c r="AU402">
        <v>10</v>
      </c>
      <c r="AV402">
        <v>19080</v>
      </c>
      <c r="AX402">
        <v>0</v>
      </c>
    </row>
    <row r="403" spans="1:50" x14ac:dyDescent="0.3">
      <c r="A403">
        <v>404</v>
      </c>
      <c r="B403" t="s">
        <v>8939</v>
      </c>
      <c r="C403" t="s">
        <v>8940</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8964</v>
      </c>
      <c r="AH403" s="1">
        <v>3120</v>
      </c>
      <c r="AI403" t="s">
        <v>1843</v>
      </c>
      <c r="AJ403">
        <v>0</v>
      </c>
      <c r="AK403" s="1" t="s">
        <v>8941</v>
      </c>
      <c r="AL403" s="1" t="s">
        <v>8942</v>
      </c>
      <c r="AM403" s="1">
        <v>0.3</v>
      </c>
      <c r="AN403" s="1">
        <v>0.25</v>
      </c>
      <c r="AO403" s="1">
        <v>0.12</v>
      </c>
      <c r="AP403" s="1">
        <v>0.38</v>
      </c>
      <c r="AQ403" s="1">
        <v>3</v>
      </c>
      <c r="AR403" t="s">
        <v>1757</v>
      </c>
      <c r="AS403">
        <v>0</v>
      </c>
      <c r="AT403" t="s">
        <v>8943</v>
      </c>
      <c r="AU403">
        <v>10</v>
      </c>
      <c r="AV403">
        <v>20083</v>
      </c>
      <c r="AX403">
        <v>0</v>
      </c>
    </row>
    <row r="404" spans="1:50" x14ac:dyDescent="0.3">
      <c r="A404">
        <v>405</v>
      </c>
      <c r="B404" t="s">
        <v>8944</v>
      </c>
      <c r="C404" t="s">
        <v>8945</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8946</v>
      </c>
      <c r="AL404" s="1" t="s">
        <v>8947</v>
      </c>
      <c r="AM404" s="1">
        <v>0.55000000000000004</v>
      </c>
      <c r="AN404" s="1">
        <v>0.16</v>
      </c>
      <c r="AO404" s="1">
        <v>0.6</v>
      </c>
      <c r="AP404" s="1">
        <v>0.16</v>
      </c>
      <c r="AQ404" s="1">
        <v>3</v>
      </c>
      <c r="AR404" t="s">
        <v>8948</v>
      </c>
      <c r="AS404">
        <v>0</v>
      </c>
      <c r="AT404" t="s">
        <v>6822</v>
      </c>
      <c r="AU404">
        <v>10</v>
      </c>
      <c r="AV404">
        <v>20084</v>
      </c>
      <c r="AX404">
        <v>0</v>
      </c>
    </row>
    <row r="405" spans="1:50" x14ac:dyDescent="0.3">
      <c r="A405">
        <v>406</v>
      </c>
      <c r="B405" t="s">
        <v>8949</v>
      </c>
      <c r="C405" t="s">
        <v>8950</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8965</v>
      </c>
      <c r="AH405" s="1">
        <v>2820</v>
      </c>
      <c r="AI405" t="s">
        <v>1843</v>
      </c>
      <c r="AJ405">
        <v>0</v>
      </c>
      <c r="AK405" s="1" t="s">
        <v>8951</v>
      </c>
      <c r="AL405" s="1" t="s">
        <v>8952</v>
      </c>
      <c r="AM405" s="1">
        <v>0.45</v>
      </c>
      <c r="AN405" s="1">
        <v>0.15</v>
      </c>
      <c r="AO405" s="1">
        <v>0.3</v>
      </c>
      <c r="AP405" s="1">
        <v>0.15</v>
      </c>
      <c r="AQ405" s="1">
        <v>3</v>
      </c>
      <c r="AR405" t="s">
        <v>1757</v>
      </c>
      <c r="AS405">
        <v>0</v>
      </c>
      <c r="AT405" t="s">
        <v>8953</v>
      </c>
      <c r="AU405">
        <v>10</v>
      </c>
      <c r="AV405">
        <v>18119</v>
      </c>
      <c r="AX405">
        <v>0</v>
      </c>
    </row>
    <row r="406" spans="1:50" x14ac:dyDescent="0.3">
      <c r="A406">
        <v>407</v>
      </c>
      <c r="B406" t="s">
        <v>8954</v>
      </c>
      <c r="C406" t="s">
        <v>8955</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8966</v>
      </c>
      <c r="AH406" s="1">
        <v>3120</v>
      </c>
      <c r="AI406" t="s">
        <v>1843</v>
      </c>
      <c r="AJ406">
        <v>0</v>
      </c>
      <c r="AK406" s="1" t="s">
        <v>8956</v>
      </c>
      <c r="AL406" s="1" t="s">
        <v>8957</v>
      </c>
      <c r="AM406" s="1">
        <v>0.3</v>
      </c>
      <c r="AN406" s="1">
        <v>0.25</v>
      </c>
      <c r="AO406" s="1">
        <v>0.12</v>
      </c>
      <c r="AP406" s="1">
        <v>0.38</v>
      </c>
      <c r="AQ406" s="1">
        <v>3</v>
      </c>
      <c r="AR406" t="s">
        <v>1757</v>
      </c>
      <c r="AS406">
        <v>0</v>
      </c>
      <c r="AT406" t="s">
        <v>8958</v>
      </c>
      <c r="AU406">
        <v>10</v>
      </c>
      <c r="AV406">
        <v>20085</v>
      </c>
      <c r="AX406">
        <v>0</v>
      </c>
    </row>
    <row r="407" spans="1:50" x14ac:dyDescent="0.3">
      <c r="A407">
        <v>408</v>
      </c>
      <c r="B407" t="s">
        <v>8959</v>
      </c>
      <c r="C407" t="s">
        <v>8960</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8925</v>
      </c>
      <c r="AL407" s="1" t="s">
        <v>8961</v>
      </c>
      <c r="AM407" s="1">
        <v>0.48</v>
      </c>
      <c r="AN407" s="1">
        <v>0.48</v>
      </c>
      <c r="AO407" s="1">
        <v>0.08</v>
      </c>
      <c r="AP407" s="1">
        <v>0.25</v>
      </c>
      <c r="AQ407" s="1">
        <v>3</v>
      </c>
      <c r="AR407" t="s">
        <v>8962</v>
      </c>
      <c r="AS407">
        <v>0</v>
      </c>
      <c r="AT407" t="s">
        <v>8963</v>
      </c>
      <c r="AU407">
        <v>10</v>
      </c>
      <c r="AV407">
        <v>19081</v>
      </c>
      <c r="AX407">
        <v>0</v>
      </c>
    </row>
    <row r="408" spans="1:50" x14ac:dyDescent="0.3">
      <c r="A408">
        <v>409</v>
      </c>
      <c r="B408" t="s">
        <v>8967</v>
      </c>
      <c r="C408" t="s">
        <v>8968</v>
      </c>
      <c r="D408">
        <v>5</v>
      </c>
      <c r="E408">
        <v>3</v>
      </c>
      <c r="F408">
        <v>20</v>
      </c>
      <c r="G408" s="1" t="s">
        <v>328</v>
      </c>
      <c r="H408" s="1" t="s">
        <v>328</v>
      </c>
      <c r="I408" s="1" t="s">
        <v>8969</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8979</v>
      </c>
      <c r="AH408" s="1">
        <v>3060</v>
      </c>
      <c r="AI408" t="s">
        <v>1843</v>
      </c>
      <c r="AJ408">
        <v>0</v>
      </c>
      <c r="AK408" s="1" t="s">
        <v>1721</v>
      </c>
      <c r="AL408" s="1" t="s">
        <v>8970</v>
      </c>
      <c r="AM408" s="1">
        <v>0.3</v>
      </c>
      <c r="AN408" s="1">
        <v>0.23</v>
      </c>
      <c r="AO408" s="1">
        <v>0.15</v>
      </c>
      <c r="AP408" s="1">
        <v>0.38</v>
      </c>
      <c r="AQ408" s="1">
        <v>3</v>
      </c>
      <c r="AR408" t="s">
        <v>8971</v>
      </c>
      <c r="AS408">
        <v>0</v>
      </c>
      <c r="AT408" t="s">
        <v>8972</v>
      </c>
      <c r="AU408">
        <v>10</v>
      </c>
      <c r="AV408">
        <v>20086</v>
      </c>
      <c r="AX408">
        <v>0</v>
      </c>
    </row>
    <row r="409" spans="1:50" x14ac:dyDescent="0.3">
      <c r="A409">
        <v>410</v>
      </c>
      <c r="B409" t="s">
        <v>8973</v>
      </c>
      <c r="C409" t="s">
        <v>8974</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8978</v>
      </c>
      <c r="AH409" s="1">
        <v>3060</v>
      </c>
      <c r="AI409" t="s">
        <v>1843</v>
      </c>
      <c r="AJ409">
        <v>0</v>
      </c>
      <c r="AK409" s="1" t="s">
        <v>8975</v>
      </c>
      <c r="AL409" s="1" t="s">
        <v>8976</v>
      </c>
      <c r="AM409" s="1">
        <v>0.3</v>
      </c>
      <c r="AN409" s="1">
        <v>0.23</v>
      </c>
      <c r="AO409" s="1">
        <v>0.15</v>
      </c>
      <c r="AP409" s="1">
        <v>0.38</v>
      </c>
      <c r="AQ409" s="1">
        <v>3</v>
      </c>
      <c r="AR409" t="s">
        <v>1583</v>
      </c>
      <c r="AS409">
        <v>0</v>
      </c>
      <c r="AT409" t="s">
        <v>8977</v>
      </c>
      <c r="AU409">
        <v>10</v>
      </c>
      <c r="AV409">
        <v>20087</v>
      </c>
      <c r="AX409">
        <v>0</v>
      </c>
    </row>
    <row r="410" spans="1:50" x14ac:dyDescent="0.3">
      <c r="A410">
        <v>411</v>
      </c>
      <c r="B410" t="s">
        <v>8981</v>
      </c>
      <c r="C410" t="s">
        <v>8982</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8983</v>
      </c>
      <c r="AL410" s="1" t="s">
        <v>8984</v>
      </c>
      <c r="AM410" s="1">
        <v>0.33</v>
      </c>
      <c r="AN410" s="1">
        <v>0.22</v>
      </c>
      <c r="AO410" s="1">
        <v>0.5</v>
      </c>
      <c r="AP410" s="1">
        <v>0.18</v>
      </c>
      <c r="AQ410" s="1">
        <v>3</v>
      </c>
      <c r="AR410" t="s">
        <v>1467</v>
      </c>
      <c r="AS410">
        <v>0</v>
      </c>
      <c r="AT410" t="s">
        <v>1806</v>
      </c>
      <c r="AU410">
        <v>10</v>
      </c>
      <c r="AV410">
        <v>18120</v>
      </c>
      <c r="AX410">
        <v>0</v>
      </c>
    </row>
    <row r="411" spans="1:50" x14ac:dyDescent="0.3">
      <c r="A411">
        <v>413</v>
      </c>
      <c r="B411" t="s">
        <v>8985</v>
      </c>
      <c r="C411" t="s">
        <v>8986</v>
      </c>
      <c r="D411">
        <v>5</v>
      </c>
      <c r="E411">
        <v>3</v>
      </c>
      <c r="F411">
        <v>20</v>
      </c>
      <c r="G411" s="1" t="s">
        <v>376</v>
      </c>
      <c r="H411" s="1" t="s">
        <v>328</v>
      </c>
      <c r="I411" s="1" t="s">
        <v>8987</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8988</v>
      </c>
      <c r="AL411" s="1" t="s">
        <v>8989</v>
      </c>
      <c r="AM411" s="1">
        <v>0.3</v>
      </c>
      <c r="AN411" s="1">
        <v>0.25</v>
      </c>
      <c r="AO411" s="1">
        <v>0.12</v>
      </c>
      <c r="AP411" s="1">
        <v>0.38</v>
      </c>
      <c r="AQ411" s="1">
        <v>3</v>
      </c>
      <c r="AR411" t="s">
        <v>1757</v>
      </c>
      <c r="AS411">
        <v>0</v>
      </c>
      <c r="AT411" t="s">
        <v>8990</v>
      </c>
      <c r="AU411">
        <v>10</v>
      </c>
      <c r="AV411">
        <v>20089</v>
      </c>
      <c r="AX411">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1"/>
  <sheetViews>
    <sheetView workbookViewId="0">
      <pane ySplit="1" topLeftCell="A608" activePane="bottomLeft" state="frozen"/>
      <selection activeCell="AG403" sqref="AG403:AG407"/>
      <selection pane="bottomLeft" activeCell="AG403" sqref="AG403:AG407"/>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8746</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8581</v>
      </c>
      <c r="C618" s="208" t="s">
        <v>8626</v>
      </c>
      <c r="D618" t="s">
        <v>8582</v>
      </c>
      <c r="E618" t="s">
        <v>8577</v>
      </c>
      <c r="F618" t="s">
        <v>8578</v>
      </c>
      <c r="G618" t="s">
        <v>8583</v>
      </c>
      <c r="H618" t="s">
        <v>8584</v>
      </c>
      <c r="I618" t="s">
        <v>8585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8586</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8587</v>
      </c>
      <c r="C619" s="208" t="s">
        <v>8627</v>
      </c>
      <c r="D619" t="s">
        <v>8588</v>
      </c>
      <c r="E619" t="s">
        <v>328</v>
      </c>
      <c r="F619" t="s">
        <v>328</v>
      </c>
      <c r="G619" t="s">
        <v>8589</v>
      </c>
      <c r="H619" t="s">
        <v>8590</v>
      </c>
      <c r="I619" t="s">
        <v>8591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8592</v>
      </c>
      <c r="AK619" t="s">
        <v>8593</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8594</v>
      </c>
      <c r="C620" s="208" t="s">
        <v>8595</v>
      </c>
      <c r="D620" t="s">
        <v>8595</v>
      </c>
      <c r="E620" t="s">
        <v>8579</v>
      </c>
      <c r="F620" t="s">
        <v>328</v>
      </c>
      <c r="G620" t="s">
        <v>8596</v>
      </c>
      <c r="H620" t="s">
        <v>8597</v>
      </c>
      <c r="I620" t="s">
        <v>8598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8599</v>
      </c>
      <c r="AK620" t="s">
        <v>1267</v>
      </c>
      <c r="AL620">
        <v>13</v>
      </c>
      <c r="AM620" t="s">
        <v>4762</v>
      </c>
      <c r="AN620" t="s">
        <v>4884</v>
      </c>
      <c r="AO620" t="s">
        <v>4832</v>
      </c>
      <c r="AP620">
        <v>0</v>
      </c>
      <c r="AQ620" t="s">
        <v>1746</v>
      </c>
      <c r="AR620" t="s">
        <v>1141</v>
      </c>
      <c r="AS620" t="s">
        <v>8576</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8600</v>
      </c>
      <c r="C621" s="208" t="s">
        <v>8601</v>
      </c>
      <c r="D621" t="s">
        <v>8601</v>
      </c>
      <c r="E621" t="s">
        <v>8580</v>
      </c>
      <c r="F621" t="s">
        <v>328</v>
      </c>
      <c r="G621" t="s">
        <v>8602</v>
      </c>
      <c r="H621" t="s">
        <v>8603</v>
      </c>
      <c r="I621" t="s">
        <v>8604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8605</v>
      </c>
      <c r="AK621" t="s">
        <v>8606</v>
      </c>
      <c r="AL621">
        <v>13</v>
      </c>
      <c r="AM621" t="s">
        <v>4719</v>
      </c>
      <c r="AN621" t="s">
        <v>4834</v>
      </c>
      <c r="AO621" t="s">
        <v>8607</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8628</v>
      </c>
      <c r="C622" s="208" t="s">
        <v>8629</v>
      </c>
      <c r="D622" t="s">
        <v>8629</v>
      </c>
      <c r="E622" t="s">
        <v>328</v>
      </c>
      <c r="F622" t="s">
        <v>328</v>
      </c>
      <c r="G622" t="s">
        <v>8630</v>
      </c>
      <c r="H622" t="s">
        <v>8631</v>
      </c>
      <c r="I622" t="s">
        <v>8632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8633</v>
      </c>
      <c r="AK622" t="s">
        <v>8634</v>
      </c>
      <c r="AL622">
        <v>17</v>
      </c>
      <c r="AM622" t="s">
        <v>1806</v>
      </c>
      <c r="AN622" t="s">
        <v>8635</v>
      </c>
      <c r="AO622" t="s">
        <v>4875</v>
      </c>
      <c r="AP622">
        <v>0</v>
      </c>
      <c r="AQ622" t="s">
        <v>4742</v>
      </c>
      <c r="AR622" t="s">
        <v>1119</v>
      </c>
      <c r="AS622" t="s">
        <v>1120</v>
      </c>
      <c r="AT622" t="s">
        <v>328</v>
      </c>
      <c r="AU622">
        <v>96</v>
      </c>
      <c r="AV622">
        <v>0</v>
      </c>
      <c r="AW622" t="s">
        <v>8636</v>
      </c>
      <c r="AX622" t="s">
        <v>8637</v>
      </c>
      <c r="AY622">
        <v>5</v>
      </c>
      <c r="AZ622">
        <v>0</v>
      </c>
      <c r="BA622" t="s">
        <v>328</v>
      </c>
      <c r="BB622" t="s">
        <v>328</v>
      </c>
      <c r="BC622" t="s">
        <v>4769</v>
      </c>
      <c r="BD622">
        <v>10402</v>
      </c>
      <c r="BE622">
        <v>0</v>
      </c>
    </row>
    <row r="623" spans="1:57" x14ac:dyDescent="0.3">
      <c r="A623">
        <v>1042</v>
      </c>
      <c r="B623" t="s">
        <v>8651</v>
      </c>
      <c r="C623" s="208" t="s">
        <v>8652</v>
      </c>
      <c r="D623" t="s">
        <v>8652</v>
      </c>
      <c r="E623" t="s">
        <v>328</v>
      </c>
      <c r="F623" t="s">
        <v>328</v>
      </c>
      <c r="G623" t="s">
        <v>8653</v>
      </c>
      <c r="H623" t="s">
        <v>8654</v>
      </c>
      <c r="I623" t="s">
        <v>8655</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8656</v>
      </c>
      <c r="AK623" t="s">
        <v>8657</v>
      </c>
      <c r="AL623">
        <v>13</v>
      </c>
      <c r="AM623" t="s">
        <v>1806</v>
      </c>
      <c r="AN623" t="s">
        <v>6980</v>
      </c>
      <c r="AO623" t="s">
        <v>4751</v>
      </c>
      <c r="AP623">
        <v>0</v>
      </c>
      <c r="AQ623" t="s">
        <v>1118</v>
      </c>
      <c r="AR623" t="s">
        <v>1119</v>
      </c>
      <c r="AS623" t="s">
        <v>4761</v>
      </c>
      <c r="AT623" t="s">
        <v>328</v>
      </c>
      <c r="AU623">
        <v>1035</v>
      </c>
      <c r="AV623">
        <v>1</v>
      </c>
      <c r="AW623" t="s">
        <v>8658</v>
      </c>
      <c r="AX623" t="s">
        <v>6940</v>
      </c>
      <c r="AY623">
        <v>7</v>
      </c>
      <c r="AZ623">
        <v>0</v>
      </c>
      <c r="BA623" t="s">
        <v>328</v>
      </c>
      <c r="BB623" t="s">
        <v>328</v>
      </c>
      <c r="BC623" t="s">
        <v>5386</v>
      </c>
      <c r="BD623">
        <v>0</v>
      </c>
      <c r="BE623">
        <v>0</v>
      </c>
    </row>
    <row r="624" spans="1:57" x14ac:dyDescent="0.3">
      <c r="A624">
        <v>1043</v>
      </c>
      <c r="B624" t="s">
        <v>8659</v>
      </c>
      <c r="C624" s="208" t="s">
        <v>8660</v>
      </c>
      <c r="D624" t="s">
        <v>8660</v>
      </c>
      <c r="E624" t="s">
        <v>328</v>
      </c>
      <c r="F624" t="s">
        <v>328</v>
      </c>
      <c r="G624" t="s">
        <v>8661</v>
      </c>
      <c r="H624" t="s">
        <v>8662</v>
      </c>
      <c r="I624" t="s">
        <v>8663</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8664</v>
      </c>
      <c r="AK624" t="s">
        <v>8665</v>
      </c>
      <c r="AL624">
        <v>13</v>
      </c>
      <c r="AM624" t="s">
        <v>398</v>
      </c>
      <c r="AN624" t="s">
        <v>5384</v>
      </c>
      <c r="AO624" t="s">
        <v>5258</v>
      </c>
      <c r="AP624">
        <v>0</v>
      </c>
      <c r="AQ624" t="s">
        <v>1130</v>
      </c>
      <c r="AR624" t="s">
        <v>1154</v>
      </c>
      <c r="AS624" t="s">
        <v>1744</v>
      </c>
      <c r="AT624" t="s">
        <v>328</v>
      </c>
      <c r="AU624">
        <v>1007</v>
      </c>
      <c r="AV624">
        <v>1</v>
      </c>
      <c r="AW624" t="s">
        <v>8658</v>
      </c>
      <c r="AX624" t="s">
        <v>8666</v>
      </c>
      <c r="AY624">
        <v>7</v>
      </c>
      <c r="AZ624">
        <v>0</v>
      </c>
      <c r="BA624" t="s">
        <v>328</v>
      </c>
      <c r="BB624" t="s">
        <v>328</v>
      </c>
      <c r="BC624" t="s">
        <v>5386</v>
      </c>
      <c r="BD624">
        <v>0</v>
      </c>
      <c r="BE624">
        <v>0</v>
      </c>
    </row>
    <row r="625" spans="1:57" x14ac:dyDescent="0.3">
      <c r="A625">
        <v>1044</v>
      </c>
      <c r="B625" t="s">
        <v>8667</v>
      </c>
      <c r="C625" s="208" t="s">
        <v>8691</v>
      </c>
      <c r="D625" t="s">
        <v>8668</v>
      </c>
      <c r="E625" t="s">
        <v>328</v>
      </c>
      <c r="F625" t="s">
        <v>328</v>
      </c>
      <c r="G625" t="s">
        <v>8669</v>
      </c>
      <c r="H625" t="s">
        <v>8670</v>
      </c>
      <c r="I625" t="s">
        <v>8671</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8672</v>
      </c>
      <c r="AK625" t="s">
        <v>8673</v>
      </c>
      <c r="AL625">
        <v>18</v>
      </c>
      <c r="AM625" t="s">
        <v>4858</v>
      </c>
      <c r="AN625" t="s">
        <v>4937</v>
      </c>
      <c r="AO625" t="s">
        <v>5155</v>
      </c>
      <c r="AP625">
        <v>0</v>
      </c>
      <c r="AQ625" t="s">
        <v>1167</v>
      </c>
      <c r="AR625" t="s">
        <v>4911</v>
      </c>
      <c r="AS625" t="s">
        <v>6971</v>
      </c>
      <c r="AT625" t="s">
        <v>328</v>
      </c>
      <c r="AU625">
        <v>1026</v>
      </c>
      <c r="AV625">
        <v>1</v>
      </c>
      <c r="AW625" t="s">
        <v>8658</v>
      </c>
      <c r="AX625" t="s">
        <v>6756</v>
      </c>
      <c r="AY625">
        <v>7</v>
      </c>
      <c r="AZ625">
        <v>0</v>
      </c>
      <c r="BA625" t="s">
        <v>328</v>
      </c>
      <c r="BB625" t="s">
        <v>328</v>
      </c>
      <c r="BC625" t="s">
        <v>5386</v>
      </c>
      <c r="BD625">
        <v>0</v>
      </c>
      <c r="BE625">
        <v>0</v>
      </c>
    </row>
    <row r="626" spans="1:57" x14ac:dyDescent="0.3">
      <c r="A626">
        <v>20127</v>
      </c>
      <c r="B626" t="s">
        <v>8729</v>
      </c>
      <c r="C626" s="208" t="s">
        <v>8747</v>
      </c>
      <c r="D626" t="s">
        <v>8730</v>
      </c>
      <c r="E626" t="s">
        <v>8727</v>
      </c>
      <c r="F626" t="s">
        <v>8728</v>
      </c>
      <c r="G626" t="s">
        <v>8731</v>
      </c>
      <c r="H626" t="s">
        <v>8732</v>
      </c>
      <c r="I626" t="s">
        <v>8733</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8734</v>
      </c>
      <c r="AK626" t="s">
        <v>8735</v>
      </c>
      <c r="AL626">
        <v>13</v>
      </c>
      <c r="AM626" t="s">
        <v>4790</v>
      </c>
      <c r="AN626" t="s">
        <v>4795</v>
      </c>
      <c r="AO626" t="s">
        <v>8736</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8872</v>
      </c>
      <c r="C627" s="208" t="s">
        <v>8897</v>
      </c>
      <c r="D627" t="s">
        <v>8873</v>
      </c>
      <c r="E627" t="s">
        <v>328</v>
      </c>
      <c r="F627" t="s">
        <v>328</v>
      </c>
      <c r="G627" t="s">
        <v>8874</v>
      </c>
      <c r="H627" t="s">
        <v>8875</v>
      </c>
      <c r="I627" t="s">
        <v>8876</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8877</v>
      </c>
      <c r="AK627" t="s">
        <v>8878</v>
      </c>
      <c r="AL627">
        <v>13</v>
      </c>
      <c r="AM627" t="s">
        <v>1806</v>
      </c>
      <c r="AN627" t="s">
        <v>4780</v>
      </c>
      <c r="AO627" t="s">
        <v>8879</v>
      </c>
      <c r="AP627">
        <v>0</v>
      </c>
      <c r="AQ627" t="s">
        <v>1118</v>
      </c>
      <c r="AR627" t="s">
        <v>1119</v>
      </c>
      <c r="AS627" t="s">
        <v>1120</v>
      </c>
      <c r="AT627" t="s">
        <v>328</v>
      </c>
      <c r="AU627">
        <v>4</v>
      </c>
      <c r="AV627">
        <v>0</v>
      </c>
      <c r="AW627" t="s">
        <v>8880</v>
      </c>
      <c r="AX627" t="s">
        <v>4762</v>
      </c>
      <c r="AY627">
        <v>5</v>
      </c>
      <c r="AZ627">
        <v>0</v>
      </c>
      <c r="BA627" t="s">
        <v>328</v>
      </c>
      <c r="BB627" t="s">
        <v>328</v>
      </c>
      <c r="BC627" t="s">
        <v>4720</v>
      </c>
      <c r="BD627">
        <v>10303</v>
      </c>
      <c r="BE627">
        <v>0</v>
      </c>
    </row>
    <row r="628" spans="1:57" x14ac:dyDescent="0.3">
      <c r="A628">
        <v>401</v>
      </c>
      <c r="B628" t="s">
        <v>8881</v>
      </c>
      <c r="C628" s="208" t="s">
        <v>8882</v>
      </c>
      <c r="D628" t="s">
        <v>8882</v>
      </c>
      <c r="E628" t="s">
        <v>328</v>
      </c>
      <c r="F628" t="s">
        <v>328</v>
      </c>
      <c r="G628" t="s">
        <v>8883</v>
      </c>
      <c r="H628" t="s">
        <v>8884</v>
      </c>
      <c r="I628" t="s">
        <v>8885</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8886</v>
      </c>
      <c r="AK628" t="s">
        <v>8887</v>
      </c>
      <c r="AL628">
        <v>12</v>
      </c>
      <c r="AM628" t="s">
        <v>4790</v>
      </c>
      <c r="AN628" t="s">
        <v>5198</v>
      </c>
      <c r="AO628" t="s">
        <v>8888</v>
      </c>
      <c r="AP628">
        <v>0</v>
      </c>
      <c r="AQ628" t="s">
        <v>1129</v>
      </c>
      <c r="AR628" t="s">
        <v>1119</v>
      </c>
      <c r="AS628" t="s">
        <v>1130</v>
      </c>
      <c r="AT628" t="s">
        <v>328</v>
      </c>
      <c r="AU628">
        <v>150</v>
      </c>
      <c r="AV628">
        <v>0</v>
      </c>
      <c r="AW628" t="s">
        <v>8880</v>
      </c>
      <c r="AX628" t="s">
        <v>331</v>
      </c>
      <c r="AY628">
        <v>5</v>
      </c>
      <c r="AZ628">
        <v>0</v>
      </c>
      <c r="BA628" t="s">
        <v>328</v>
      </c>
      <c r="BB628" t="s">
        <v>328</v>
      </c>
      <c r="BC628" t="s">
        <v>4720</v>
      </c>
      <c r="BD628">
        <v>10402</v>
      </c>
      <c r="BE628">
        <v>0</v>
      </c>
    </row>
    <row r="629" spans="1:57" x14ac:dyDescent="0.3">
      <c r="A629">
        <v>402</v>
      </c>
      <c r="B629" t="s">
        <v>8889</v>
      </c>
      <c r="C629" s="208" t="s">
        <v>8890</v>
      </c>
      <c r="D629" t="s">
        <v>8890</v>
      </c>
      <c r="E629" t="s">
        <v>328</v>
      </c>
      <c r="F629" t="s">
        <v>328</v>
      </c>
      <c r="G629" t="s">
        <v>8891</v>
      </c>
      <c r="H629" t="s">
        <v>8892</v>
      </c>
      <c r="I629" t="s">
        <v>8893</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8894</v>
      </c>
      <c r="AK629" t="s">
        <v>328</v>
      </c>
      <c r="AL629">
        <v>14</v>
      </c>
      <c r="AM629" t="s">
        <v>470</v>
      </c>
      <c r="AN629" t="s">
        <v>8895</v>
      </c>
      <c r="AO629" t="s">
        <v>8896</v>
      </c>
      <c r="AP629">
        <v>0</v>
      </c>
      <c r="AQ629" t="s">
        <v>1140</v>
      </c>
      <c r="AR629" t="s">
        <v>1141</v>
      </c>
      <c r="AS629" t="s">
        <v>1142</v>
      </c>
      <c r="AT629" t="s">
        <v>328</v>
      </c>
      <c r="AU629">
        <v>241</v>
      </c>
      <c r="AV629">
        <v>0</v>
      </c>
      <c r="AW629" t="s">
        <v>8880</v>
      </c>
      <c r="AX629" t="s">
        <v>331</v>
      </c>
      <c r="AY629">
        <v>5</v>
      </c>
      <c r="AZ629">
        <v>0</v>
      </c>
      <c r="BA629" t="s">
        <v>328</v>
      </c>
      <c r="BB629" t="s">
        <v>328</v>
      </c>
      <c r="BC629" t="s">
        <v>328</v>
      </c>
      <c r="BD629">
        <v>10501</v>
      </c>
      <c r="BE629">
        <v>0</v>
      </c>
    </row>
    <row r="630" spans="1:57" x14ac:dyDescent="0.3">
      <c r="A630">
        <v>9118</v>
      </c>
      <c r="B630" t="s">
        <v>8927</v>
      </c>
      <c r="C630" s="208" t="s">
        <v>98</v>
      </c>
      <c r="D630" t="s">
        <v>8928</v>
      </c>
      <c r="E630" t="s">
        <v>328</v>
      </c>
      <c r="F630" t="s">
        <v>328</v>
      </c>
      <c r="G630" t="s">
        <v>8929</v>
      </c>
      <c r="H630" t="s">
        <v>8930</v>
      </c>
      <c r="I630" t="s">
        <v>8931</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8932</v>
      </c>
      <c r="C631" s="208" t="s">
        <v>8964</v>
      </c>
      <c r="D631" t="s">
        <v>8933</v>
      </c>
      <c r="E631" t="s">
        <v>328</v>
      </c>
      <c r="F631" t="s">
        <v>328</v>
      </c>
      <c r="G631" t="s">
        <v>8934</v>
      </c>
      <c r="H631" t="s">
        <v>8935</v>
      </c>
      <c r="I631" t="s">
        <v>8936</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8926</v>
      </c>
      <c r="AK631" t="s">
        <v>328</v>
      </c>
      <c r="AL631">
        <v>12</v>
      </c>
      <c r="AM631" t="s">
        <v>1806</v>
      </c>
      <c r="AN631" t="s">
        <v>8937</v>
      </c>
      <c r="AO631" t="s">
        <v>8938</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1003</v>
      </c>
      <c r="B14" t="s">
        <v>4556</v>
      </c>
      <c r="C14" t="s">
        <v>976</v>
      </c>
      <c r="D14" t="s">
        <v>976</v>
      </c>
      <c r="E14" t="s">
        <v>4557</v>
      </c>
      <c r="G14" t="s">
        <v>4485</v>
      </c>
      <c r="H14" t="s">
        <v>4558</v>
      </c>
      <c r="I14">
        <v>1</v>
      </c>
      <c r="J14">
        <v>1</v>
      </c>
      <c r="K14" t="s">
        <v>972</v>
      </c>
      <c r="L14">
        <v>1</v>
      </c>
      <c r="M14">
        <v>103</v>
      </c>
      <c r="N14" t="s">
        <v>973</v>
      </c>
      <c r="O14">
        <v>10</v>
      </c>
      <c r="P14">
        <v>0</v>
      </c>
      <c r="Q14">
        <v>5</v>
      </c>
      <c r="R14">
        <v>900592</v>
      </c>
      <c r="S14">
        <v>1</v>
      </c>
      <c r="T14">
        <v>900594</v>
      </c>
      <c r="U14">
        <v>900596</v>
      </c>
      <c r="V14">
        <v>900597</v>
      </c>
      <c r="W14" t="s">
        <v>4559</v>
      </c>
      <c r="X14" t="s">
        <v>328</v>
      </c>
      <c r="Y14" t="s">
        <v>4560</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4561</v>
      </c>
      <c r="AV14" t="s">
        <v>4491</v>
      </c>
      <c r="AW14" t="s">
        <v>4491</v>
      </c>
      <c r="AX14" t="s">
        <v>4491</v>
      </c>
      <c r="AY14">
        <v>11</v>
      </c>
      <c r="AZ14">
        <v>11002</v>
      </c>
      <c r="BA14">
        <v>1</v>
      </c>
      <c r="BB14" t="s">
        <v>4492</v>
      </c>
      <c r="BC14" t="s">
        <v>1806</v>
      </c>
      <c r="BD14">
        <v>930003</v>
      </c>
      <c r="BE14" t="s">
        <v>4493</v>
      </c>
      <c r="BF14" t="s">
        <v>4494</v>
      </c>
      <c r="BG14">
        <v>100</v>
      </c>
      <c r="BH14">
        <v>10602</v>
      </c>
    </row>
    <row r="15" spans="1:61" x14ac:dyDescent="0.3">
      <c r="A15">
        <v>1018</v>
      </c>
      <c r="B15" t="s">
        <v>6349</v>
      </c>
      <c r="C15" t="s">
        <v>6350</v>
      </c>
      <c r="D15" t="s">
        <v>6350</v>
      </c>
      <c r="E15" t="s">
        <v>6351</v>
      </c>
      <c r="G15" t="s">
        <v>4485</v>
      </c>
      <c r="H15" t="s">
        <v>6352</v>
      </c>
      <c r="I15">
        <v>1</v>
      </c>
      <c r="J15">
        <v>1</v>
      </c>
      <c r="K15" t="s">
        <v>972</v>
      </c>
      <c r="L15">
        <v>1</v>
      </c>
      <c r="M15">
        <v>118</v>
      </c>
      <c r="N15" t="s">
        <v>973</v>
      </c>
      <c r="O15">
        <v>10</v>
      </c>
      <c r="P15">
        <v>0</v>
      </c>
      <c r="Q15">
        <v>5</v>
      </c>
      <c r="R15">
        <v>750363</v>
      </c>
      <c r="S15">
        <v>1</v>
      </c>
      <c r="T15">
        <v>750365</v>
      </c>
      <c r="U15">
        <v>750366</v>
      </c>
      <c r="V15">
        <v>750367</v>
      </c>
      <c r="W15" t="s">
        <v>6353</v>
      </c>
      <c r="X15" t="s">
        <v>6354</v>
      </c>
      <c r="Y15" t="s">
        <v>6355</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6356</v>
      </c>
      <c r="AV15" t="s">
        <v>4491</v>
      </c>
      <c r="AW15" t="s">
        <v>4491</v>
      </c>
      <c r="AX15" t="s">
        <v>4491</v>
      </c>
      <c r="AY15">
        <v>157</v>
      </c>
      <c r="AZ15">
        <v>11002</v>
      </c>
      <c r="BA15">
        <v>1</v>
      </c>
      <c r="BB15" t="s">
        <v>4492</v>
      </c>
      <c r="BC15" t="s">
        <v>1806</v>
      </c>
      <c r="BD15">
        <v>930019</v>
      </c>
      <c r="BE15" t="s">
        <v>4493</v>
      </c>
      <c r="BF15" t="s">
        <v>4494</v>
      </c>
      <c r="BG15">
        <v>100</v>
      </c>
      <c r="BH15">
        <v>10602</v>
      </c>
      <c r="BI15">
        <v>0</v>
      </c>
    </row>
    <row r="16" spans="1:61" x14ac:dyDescent="0.3">
      <c r="A16">
        <v>1004</v>
      </c>
      <c r="B16" t="s">
        <v>4562</v>
      </c>
      <c r="C16" t="s">
        <v>977</v>
      </c>
      <c r="D16" t="s">
        <v>977</v>
      </c>
      <c r="E16" t="s">
        <v>4563</v>
      </c>
      <c r="G16" t="s">
        <v>4485</v>
      </c>
      <c r="H16" t="s">
        <v>4564</v>
      </c>
      <c r="I16">
        <v>1</v>
      </c>
      <c r="J16">
        <v>1</v>
      </c>
      <c r="K16" t="s">
        <v>972</v>
      </c>
      <c r="L16">
        <v>1</v>
      </c>
      <c r="M16">
        <v>104</v>
      </c>
      <c r="N16" t="s">
        <v>973</v>
      </c>
      <c r="O16">
        <v>10</v>
      </c>
      <c r="P16">
        <v>0</v>
      </c>
      <c r="Q16">
        <v>5</v>
      </c>
      <c r="R16">
        <v>900667</v>
      </c>
      <c r="S16">
        <v>2</v>
      </c>
      <c r="T16">
        <v>30007</v>
      </c>
      <c r="U16">
        <v>900644</v>
      </c>
      <c r="V16">
        <v>900645</v>
      </c>
      <c r="W16" t="s">
        <v>4565</v>
      </c>
      <c r="X16" t="s">
        <v>328</v>
      </c>
      <c r="Y16" t="s">
        <v>328</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4566</v>
      </c>
      <c r="AV16" t="s">
        <v>4491</v>
      </c>
      <c r="AW16" t="s">
        <v>4491</v>
      </c>
      <c r="AX16" t="s">
        <v>4491</v>
      </c>
      <c r="AY16">
        <v>17</v>
      </c>
      <c r="AZ16">
        <v>11002</v>
      </c>
      <c r="BA16">
        <v>1</v>
      </c>
      <c r="BB16" t="s">
        <v>4492</v>
      </c>
      <c r="BC16" t="s">
        <v>1806</v>
      </c>
      <c r="BD16">
        <v>930004</v>
      </c>
      <c r="BE16" t="s">
        <v>4493</v>
      </c>
      <c r="BF16" t="s">
        <v>4494</v>
      </c>
      <c r="BG16">
        <v>100</v>
      </c>
      <c r="BH16">
        <v>10602</v>
      </c>
    </row>
    <row r="17" spans="1:61" x14ac:dyDescent="0.3">
      <c r="A17">
        <v>1016</v>
      </c>
      <c r="B17" t="s">
        <v>4482</v>
      </c>
      <c r="C17" t="s">
        <v>4483</v>
      </c>
      <c r="D17" t="s">
        <v>4483</v>
      </c>
      <c r="E17" t="s">
        <v>4484</v>
      </c>
      <c r="G17" t="s">
        <v>4485</v>
      </c>
      <c r="H17" t="s">
        <v>4486</v>
      </c>
      <c r="I17">
        <v>1</v>
      </c>
      <c r="J17">
        <v>1</v>
      </c>
      <c r="K17" t="s">
        <v>972</v>
      </c>
      <c r="L17">
        <v>1</v>
      </c>
      <c r="M17">
        <v>116</v>
      </c>
      <c r="N17" t="s">
        <v>973</v>
      </c>
      <c r="O17">
        <v>10</v>
      </c>
      <c r="P17">
        <v>0</v>
      </c>
      <c r="Q17">
        <v>5</v>
      </c>
      <c r="R17">
        <v>750126</v>
      </c>
      <c r="S17">
        <v>1</v>
      </c>
      <c r="T17">
        <v>750081</v>
      </c>
      <c r="U17">
        <v>750082</v>
      </c>
      <c r="V17">
        <v>750086</v>
      </c>
      <c r="W17" t="s">
        <v>4487</v>
      </c>
      <c r="X17" t="s">
        <v>4488</v>
      </c>
      <c r="Y17" t="s">
        <v>4489</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4490</v>
      </c>
      <c r="AV17" t="s">
        <v>4491</v>
      </c>
      <c r="AW17" t="s">
        <v>4491</v>
      </c>
      <c r="AX17" t="s">
        <v>4491</v>
      </c>
      <c r="AY17">
        <v>140</v>
      </c>
      <c r="AZ17">
        <v>11002</v>
      </c>
      <c r="BA17">
        <v>1</v>
      </c>
      <c r="BB17" t="s">
        <v>4492</v>
      </c>
      <c r="BC17" t="s">
        <v>1806</v>
      </c>
      <c r="BD17">
        <v>930017</v>
      </c>
      <c r="BE17" t="s">
        <v>4493</v>
      </c>
      <c r="BF17" t="s">
        <v>4494</v>
      </c>
      <c r="BG17">
        <v>100</v>
      </c>
      <c r="BH17">
        <v>10602</v>
      </c>
    </row>
    <row r="18" spans="1:61" x14ac:dyDescent="0.3">
      <c r="A18">
        <v>1011</v>
      </c>
      <c r="B18" t="s">
        <v>4567</v>
      </c>
      <c r="C18" t="s">
        <v>983</v>
      </c>
      <c r="D18" t="s">
        <v>983</v>
      </c>
      <c r="E18" t="s">
        <v>4568</v>
      </c>
      <c r="G18" t="s">
        <v>4485</v>
      </c>
      <c r="H18" t="s">
        <v>4569</v>
      </c>
      <c r="I18">
        <v>1</v>
      </c>
      <c r="J18">
        <v>1</v>
      </c>
      <c r="K18" t="s">
        <v>984</v>
      </c>
      <c r="L18">
        <v>1</v>
      </c>
      <c r="M18">
        <v>111</v>
      </c>
      <c r="N18" t="s">
        <v>973</v>
      </c>
      <c r="O18">
        <v>10</v>
      </c>
      <c r="P18">
        <v>0</v>
      </c>
      <c r="Q18">
        <v>5</v>
      </c>
      <c r="R18">
        <v>901200</v>
      </c>
      <c r="S18">
        <v>2</v>
      </c>
      <c r="T18">
        <v>30009</v>
      </c>
      <c r="U18">
        <v>901225</v>
      </c>
      <c r="V18">
        <v>901226</v>
      </c>
      <c r="W18" t="s">
        <v>4570</v>
      </c>
      <c r="X18" t="s">
        <v>4571</v>
      </c>
      <c r="Y18" t="s">
        <v>4572</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4573</v>
      </c>
      <c r="AV18" t="s">
        <v>4491</v>
      </c>
      <c r="AW18" t="s">
        <v>4491</v>
      </c>
      <c r="AX18" t="s">
        <v>4491</v>
      </c>
      <c r="AY18">
        <v>35</v>
      </c>
      <c r="AZ18">
        <v>11002</v>
      </c>
      <c r="BA18">
        <v>1</v>
      </c>
      <c r="BB18" t="s">
        <v>4492</v>
      </c>
      <c r="BC18" t="s">
        <v>1806</v>
      </c>
      <c r="BD18">
        <v>930011</v>
      </c>
      <c r="BE18" t="s">
        <v>4493</v>
      </c>
      <c r="BF18" t="s">
        <v>4494</v>
      </c>
      <c r="BG18">
        <v>100</v>
      </c>
      <c r="BH18">
        <v>10604</v>
      </c>
    </row>
    <row r="19" spans="1:61" x14ac:dyDescent="0.3">
      <c r="A19">
        <v>1025</v>
      </c>
      <c r="B19" t="s">
        <v>8128</v>
      </c>
      <c r="C19" t="s">
        <v>8129</v>
      </c>
      <c r="D19" t="s">
        <v>8130</v>
      </c>
      <c r="E19" t="s">
        <v>8131</v>
      </c>
      <c r="F19" t="s">
        <v>6784</v>
      </c>
      <c r="G19" t="s">
        <v>4485</v>
      </c>
      <c r="H19" t="s">
        <v>8132</v>
      </c>
      <c r="I19">
        <v>3</v>
      </c>
      <c r="J19">
        <v>1</v>
      </c>
      <c r="K19" t="s">
        <v>972</v>
      </c>
      <c r="L19">
        <v>1</v>
      </c>
      <c r="M19">
        <v>125</v>
      </c>
      <c r="N19" t="s">
        <v>973</v>
      </c>
      <c r="O19">
        <v>10</v>
      </c>
      <c r="P19">
        <v>0</v>
      </c>
      <c r="Q19">
        <v>5</v>
      </c>
      <c r="R19">
        <v>750870</v>
      </c>
      <c r="S19">
        <v>1</v>
      </c>
      <c r="T19">
        <v>750872</v>
      </c>
      <c r="U19">
        <v>750873</v>
      </c>
      <c r="V19">
        <v>750874</v>
      </c>
      <c r="W19" t="s">
        <v>8133</v>
      </c>
      <c r="X19" t="s">
        <v>8134</v>
      </c>
      <c r="Y19" t="s">
        <v>8135</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8136</v>
      </c>
      <c r="AV19" t="s">
        <v>4491</v>
      </c>
      <c r="AW19" t="s">
        <v>4491</v>
      </c>
      <c r="AX19" t="s">
        <v>4491</v>
      </c>
      <c r="AY19">
        <v>215</v>
      </c>
      <c r="AZ19">
        <v>11002</v>
      </c>
      <c r="BA19">
        <v>1</v>
      </c>
      <c r="BB19" t="s">
        <v>4492</v>
      </c>
      <c r="BC19" t="s">
        <v>1806</v>
      </c>
      <c r="BD19">
        <v>930026</v>
      </c>
      <c r="BE19" t="s">
        <v>4493</v>
      </c>
      <c r="BF19" t="s">
        <v>4494</v>
      </c>
      <c r="BG19">
        <v>100</v>
      </c>
      <c r="BH19">
        <v>10603</v>
      </c>
      <c r="BI19">
        <v>0</v>
      </c>
    </row>
    <row r="20" spans="1:61" x14ac:dyDescent="0.3">
      <c r="A20">
        <v>1013</v>
      </c>
      <c r="B20" t="s">
        <v>4574</v>
      </c>
      <c r="C20" t="s">
        <v>986</v>
      </c>
      <c r="D20" t="s">
        <v>986</v>
      </c>
      <c r="E20" t="s">
        <v>4575</v>
      </c>
      <c r="G20" t="s">
        <v>4485</v>
      </c>
      <c r="H20" t="s">
        <v>4576</v>
      </c>
      <c r="I20">
        <v>3</v>
      </c>
      <c r="J20">
        <v>1</v>
      </c>
      <c r="K20" t="s">
        <v>972</v>
      </c>
      <c r="L20">
        <v>1</v>
      </c>
      <c r="M20">
        <v>113</v>
      </c>
      <c r="N20" t="s">
        <v>973</v>
      </c>
      <c r="O20">
        <v>8</v>
      </c>
      <c r="P20">
        <v>0</v>
      </c>
      <c r="Q20">
        <v>5</v>
      </c>
      <c r="R20">
        <v>902356</v>
      </c>
      <c r="S20">
        <v>3</v>
      </c>
      <c r="T20">
        <v>1013</v>
      </c>
      <c r="U20">
        <v>902358</v>
      </c>
      <c r="V20">
        <v>902359</v>
      </c>
      <c r="W20" t="s">
        <v>4577</v>
      </c>
      <c r="X20" t="s">
        <v>328</v>
      </c>
      <c r="Y20" t="s">
        <v>4578</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4579</v>
      </c>
      <c r="AV20" t="s">
        <v>4491</v>
      </c>
      <c r="AW20" t="s">
        <v>4491</v>
      </c>
      <c r="AX20" t="s">
        <v>4491</v>
      </c>
      <c r="AY20">
        <v>50</v>
      </c>
      <c r="AZ20">
        <v>11002</v>
      </c>
      <c r="BA20">
        <v>1</v>
      </c>
      <c r="BB20" t="s">
        <v>4492</v>
      </c>
      <c r="BC20" t="s">
        <v>1806</v>
      </c>
      <c r="BD20">
        <v>930013</v>
      </c>
      <c r="BE20" t="s">
        <v>4493</v>
      </c>
      <c r="BF20" t="s">
        <v>4494</v>
      </c>
      <c r="BG20">
        <v>100</v>
      </c>
      <c r="BH20">
        <v>10603</v>
      </c>
    </row>
    <row r="21" spans="1:61" x14ac:dyDescent="0.3">
      <c r="A21">
        <v>1022</v>
      </c>
      <c r="B21" t="s">
        <v>6921</v>
      </c>
      <c r="C21" t="s">
        <v>6922</v>
      </c>
      <c r="D21" t="s">
        <v>6922</v>
      </c>
      <c r="E21" t="s">
        <v>6923</v>
      </c>
      <c r="F21" t="s">
        <v>6784</v>
      </c>
      <c r="G21" t="s">
        <v>4485</v>
      </c>
      <c r="H21" t="s">
        <v>6924</v>
      </c>
      <c r="I21">
        <v>3</v>
      </c>
      <c r="J21">
        <v>1</v>
      </c>
      <c r="K21" t="s">
        <v>984</v>
      </c>
      <c r="L21">
        <v>1</v>
      </c>
      <c r="M21">
        <v>122</v>
      </c>
      <c r="N21" t="s">
        <v>973</v>
      </c>
      <c r="O21">
        <v>10</v>
      </c>
      <c r="P21">
        <v>0</v>
      </c>
      <c r="Q21">
        <v>5</v>
      </c>
      <c r="R21">
        <v>750622</v>
      </c>
      <c r="S21">
        <v>3</v>
      </c>
      <c r="T21">
        <v>1018</v>
      </c>
      <c r="U21">
        <v>750625</v>
      </c>
      <c r="V21">
        <v>750626</v>
      </c>
      <c r="W21" t="s">
        <v>6925</v>
      </c>
      <c r="X21" t="s">
        <v>6926</v>
      </c>
      <c r="Y21" t="s">
        <v>6927</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6928</v>
      </c>
      <c r="AV21" t="s">
        <v>4491</v>
      </c>
      <c r="AW21" t="s">
        <v>4491</v>
      </c>
      <c r="AX21" t="s">
        <v>4491</v>
      </c>
      <c r="AY21">
        <v>176</v>
      </c>
      <c r="AZ21">
        <v>11002</v>
      </c>
      <c r="BA21">
        <v>1</v>
      </c>
      <c r="BB21" t="s">
        <v>4492</v>
      </c>
      <c r="BC21" t="s">
        <v>1806</v>
      </c>
      <c r="BD21">
        <v>930023</v>
      </c>
      <c r="BE21" t="s">
        <v>4493</v>
      </c>
      <c r="BF21" t="s">
        <v>4494</v>
      </c>
      <c r="BG21">
        <v>100</v>
      </c>
      <c r="BH21">
        <v>10603</v>
      </c>
      <c r="BI21">
        <v>0</v>
      </c>
    </row>
    <row r="22" spans="1:61" x14ac:dyDescent="0.3">
      <c r="A22">
        <v>1014</v>
      </c>
      <c r="B22" t="s">
        <v>4580</v>
      </c>
      <c r="C22" t="s">
        <v>987</v>
      </c>
      <c r="D22" t="s">
        <v>987</v>
      </c>
      <c r="E22" t="s">
        <v>4581</v>
      </c>
      <c r="G22" t="s">
        <v>4485</v>
      </c>
      <c r="H22" t="s">
        <v>4582</v>
      </c>
      <c r="I22">
        <v>3</v>
      </c>
      <c r="J22">
        <v>1</v>
      </c>
      <c r="K22" t="s">
        <v>975</v>
      </c>
      <c r="L22">
        <v>1</v>
      </c>
      <c r="M22">
        <v>114</v>
      </c>
      <c r="N22" t="s">
        <v>973</v>
      </c>
      <c r="O22">
        <v>8</v>
      </c>
      <c r="P22">
        <v>0</v>
      </c>
      <c r="Q22">
        <v>5</v>
      </c>
      <c r="R22">
        <v>902431</v>
      </c>
      <c r="S22">
        <v>3</v>
      </c>
      <c r="T22">
        <v>1014</v>
      </c>
      <c r="U22">
        <v>902433</v>
      </c>
      <c r="V22">
        <v>902434</v>
      </c>
      <c r="W22" t="s">
        <v>4583</v>
      </c>
      <c r="X22" t="s">
        <v>4584</v>
      </c>
      <c r="Y22" t="s">
        <v>4585</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4586</v>
      </c>
      <c r="AV22" t="s">
        <v>4491</v>
      </c>
      <c r="AW22" t="s">
        <v>4491</v>
      </c>
      <c r="AX22" t="s">
        <v>4491</v>
      </c>
      <c r="AY22">
        <v>51</v>
      </c>
      <c r="AZ22">
        <v>11002</v>
      </c>
      <c r="BA22">
        <v>1</v>
      </c>
      <c r="BB22" t="s">
        <v>4492</v>
      </c>
      <c r="BC22" t="s">
        <v>1806</v>
      </c>
      <c r="BD22">
        <v>930014</v>
      </c>
      <c r="BE22" t="s">
        <v>4493</v>
      </c>
      <c r="BF22" t="s">
        <v>4494</v>
      </c>
      <c r="BG22">
        <v>100</v>
      </c>
      <c r="BH22">
        <v>10603</v>
      </c>
    </row>
    <row r="23" spans="1:61" x14ac:dyDescent="0.3">
      <c r="A23">
        <v>1020</v>
      </c>
      <c r="B23" t="s">
        <v>6525</v>
      </c>
      <c r="C23" t="s">
        <v>6526</v>
      </c>
      <c r="D23" t="s">
        <v>6526</v>
      </c>
      <c r="E23" t="s">
        <v>6527</v>
      </c>
      <c r="G23" t="s">
        <v>4485</v>
      </c>
      <c r="H23" t="s">
        <v>6528</v>
      </c>
      <c r="I23">
        <v>3</v>
      </c>
      <c r="J23">
        <v>1</v>
      </c>
      <c r="K23" t="s">
        <v>975</v>
      </c>
      <c r="L23">
        <v>1</v>
      </c>
      <c r="M23">
        <v>120</v>
      </c>
      <c r="N23" t="s">
        <v>973</v>
      </c>
      <c r="O23">
        <v>8</v>
      </c>
      <c r="P23">
        <v>0</v>
      </c>
      <c r="Q23">
        <v>5</v>
      </c>
      <c r="R23">
        <v>750409</v>
      </c>
      <c r="S23">
        <v>1</v>
      </c>
      <c r="T23">
        <v>750411</v>
      </c>
      <c r="U23">
        <v>750412</v>
      </c>
      <c r="V23">
        <v>750413</v>
      </c>
      <c r="W23" t="s">
        <v>6529</v>
      </c>
      <c r="X23" t="s">
        <v>6530</v>
      </c>
      <c r="Y23" t="s">
        <v>6531</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6532</v>
      </c>
      <c r="AV23" t="s">
        <v>4491</v>
      </c>
      <c r="AW23" t="s">
        <v>4491</v>
      </c>
      <c r="AX23" t="s">
        <v>4491</v>
      </c>
      <c r="AY23">
        <v>166</v>
      </c>
      <c r="AZ23">
        <v>11002</v>
      </c>
      <c r="BA23">
        <v>1</v>
      </c>
      <c r="BB23" t="s">
        <v>4492</v>
      </c>
      <c r="BC23" t="s">
        <v>1806</v>
      </c>
      <c r="BD23">
        <v>930021</v>
      </c>
      <c r="BE23" t="s">
        <v>4493</v>
      </c>
      <c r="BF23" t="s">
        <v>4494</v>
      </c>
      <c r="BG23">
        <v>100</v>
      </c>
      <c r="BH23">
        <v>10603</v>
      </c>
      <c r="BI23">
        <v>0</v>
      </c>
    </row>
    <row r="24" spans="1:61" x14ac:dyDescent="0.3">
      <c r="A24">
        <v>1024</v>
      </c>
      <c r="B24" t="s">
        <v>7990</v>
      </c>
      <c r="C24" t="s">
        <v>7991</v>
      </c>
      <c r="D24" t="s">
        <v>7992</v>
      </c>
      <c r="E24" t="s">
        <v>7993</v>
      </c>
      <c r="F24" t="s">
        <v>6784</v>
      </c>
      <c r="G24" t="s">
        <v>4485</v>
      </c>
      <c r="H24" t="s">
        <v>7994</v>
      </c>
      <c r="I24">
        <v>3</v>
      </c>
      <c r="J24">
        <v>1</v>
      </c>
      <c r="K24" t="s">
        <v>984</v>
      </c>
      <c r="L24">
        <v>1</v>
      </c>
      <c r="M24">
        <v>124</v>
      </c>
      <c r="N24" t="s">
        <v>973</v>
      </c>
      <c r="O24">
        <v>10</v>
      </c>
      <c r="P24">
        <v>0</v>
      </c>
      <c r="Q24">
        <v>5</v>
      </c>
      <c r="R24">
        <v>750783</v>
      </c>
      <c r="S24">
        <v>1</v>
      </c>
      <c r="T24">
        <v>750785</v>
      </c>
      <c r="U24">
        <v>750786</v>
      </c>
      <c r="V24">
        <v>750787</v>
      </c>
      <c r="W24" t="s">
        <v>7995</v>
      </c>
      <c r="X24" t="s">
        <v>7996</v>
      </c>
      <c r="Y24" t="s">
        <v>7997</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7998</v>
      </c>
      <c r="AV24" t="s">
        <v>4491</v>
      </c>
      <c r="AW24" t="s">
        <v>4491</v>
      </c>
      <c r="AX24" t="s">
        <v>4491</v>
      </c>
      <c r="AY24">
        <v>214</v>
      </c>
      <c r="AZ24">
        <v>11002</v>
      </c>
      <c r="BA24">
        <v>1</v>
      </c>
      <c r="BB24" t="s">
        <v>4492</v>
      </c>
      <c r="BC24" t="s">
        <v>1806</v>
      </c>
      <c r="BD24">
        <v>930025</v>
      </c>
      <c r="BE24" t="s">
        <v>4493</v>
      </c>
      <c r="BF24" t="s">
        <v>4494</v>
      </c>
      <c r="BG24">
        <v>100</v>
      </c>
      <c r="BH24">
        <v>10604</v>
      </c>
      <c r="BI24">
        <v>0</v>
      </c>
    </row>
    <row r="25" spans="1:61" x14ac:dyDescent="0.3">
      <c r="A25">
        <v>1001</v>
      </c>
      <c r="B25" t="s">
        <v>4587</v>
      </c>
      <c r="C25" t="s">
        <v>971</v>
      </c>
      <c r="D25" t="s">
        <v>971</v>
      </c>
      <c r="E25" t="s">
        <v>4588</v>
      </c>
      <c r="G25" t="s">
        <v>4485</v>
      </c>
      <c r="H25" t="s">
        <v>4589</v>
      </c>
      <c r="I25">
        <v>1</v>
      </c>
      <c r="J25">
        <v>1</v>
      </c>
      <c r="K25" t="s">
        <v>972</v>
      </c>
      <c r="L25">
        <v>1</v>
      </c>
      <c r="M25">
        <v>101</v>
      </c>
      <c r="N25" t="s">
        <v>973</v>
      </c>
      <c r="O25">
        <v>10</v>
      </c>
      <c r="P25">
        <v>0</v>
      </c>
      <c r="Q25">
        <v>5</v>
      </c>
      <c r="R25">
        <v>900515</v>
      </c>
      <c r="S25">
        <v>2</v>
      </c>
      <c r="T25">
        <v>30006</v>
      </c>
      <c r="U25">
        <v>900511</v>
      </c>
      <c r="V25">
        <v>900512</v>
      </c>
      <c r="W25" t="s">
        <v>4590</v>
      </c>
      <c r="X25" t="s">
        <v>328</v>
      </c>
      <c r="Y25" t="s">
        <v>4591</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4592</v>
      </c>
      <c r="AV25" t="s">
        <v>4491</v>
      </c>
      <c r="AW25" t="s">
        <v>4491</v>
      </c>
      <c r="AX25" t="s">
        <v>4491</v>
      </c>
      <c r="AY25">
        <v>5</v>
      </c>
      <c r="AZ25">
        <v>11001</v>
      </c>
      <c r="BA25">
        <v>1</v>
      </c>
      <c r="BB25" t="s">
        <v>4492</v>
      </c>
      <c r="BC25" t="s">
        <v>1806</v>
      </c>
      <c r="BD25">
        <v>930001</v>
      </c>
      <c r="BE25" t="s">
        <v>4493</v>
      </c>
      <c r="BF25" t="s">
        <v>4494</v>
      </c>
      <c r="BG25">
        <v>100</v>
      </c>
      <c r="BH25">
        <v>10604</v>
      </c>
    </row>
    <row r="26" spans="1:61" x14ac:dyDescent="0.3">
      <c r="A26">
        <v>1023</v>
      </c>
      <c r="B26" t="s">
        <v>6962</v>
      </c>
      <c r="C26" t="s">
        <v>6963</v>
      </c>
      <c r="D26" t="s">
        <v>6963</v>
      </c>
      <c r="E26" t="s">
        <v>6964</v>
      </c>
      <c r="F26" t="s">
        <v>6784</v>
      </c>
      <c r="G26" t="s">
        <v>4485</v>
      </c>
      <c r="H26" t="s">
        <v>6965</v>
      </c>
      <c r="I26">
        <v>1</v>
      </c>
      <c r="J26">
        <v>1</v>
      </c>
      <c r="K26" t="s">
        <v>972</v>
      </c>
      <c r="L26">
        <v>1</v>
      </c>
      <c r="M26">
        <v>123</v>
      </c>
      <c r="N26" t="s">
        <v>973</v>
      </c>
      <c r="O26">
        <v>10</v>
      </c>
      <c r="P26">
        <v>0</v>
      </c>
      <c r="Q26">
        <v>5</v>
      </c>
      <c r="R26">
        <v>750700</v>
      </c>
      <c r="S26">
        <v>1</v>
      </c>
      <c r="T26">
        <v>750702</v>
      </c>
      <c r="U26">
        <v>750703</v>
      </c>
      <c r="V26">
        <v>750704</v>
      </c>
      <c r="W26" t="s">
        <v>6966</v>
      </c>
      <c r="X26" t="s">
        <v>6967</v>
      </c>
      <c r="Y26" t="s">
        <v>328</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6968</v>
      </c>
      <c r="AV26" t="s">
        <v>4491</v>
      </c>
      <c r="AW26" t="s">
        <v>4491</v>
      </c>
      <c r="AX26" t="s">
        <v>4491</v>
      </c>
      <c r="AY26">
        <v>181</v>
      </c>
      <c r="AZ26">
        <v>11002</v>
      </c>
      <c r="BA26">
        <v>1</v>
      </c>
      <c r="BB26" t="s">
        <v>6969</v>
      </c>
      <c r="BC26" t="s">
        <v>1806</v>
      </c>
      <c r="BD26">
        <v>930024</v>
      </c>
      <c r="BE26" t="s">
        <v>4493</v>
      </c>
      <c r="BF26" t="s">
        <v>4494</v>
      </c>
      <c r="BG26">
        <v>100</v>
      </c>
      <c r="BH26">
        <v>10604</v>
      </c>
      <c r="BI26">
        <v>0</v>
      </c>
    </row>
    <row r="27" spans="1:61" x14ac:dyDescent="0.3">
      <c r="A27">
        <v>1007</v>
      </c>
      <c r="B27" t="s">
        <v>4593</v>
      </c>
      <c r="C27" t="s">
        <v>979</v>
      </c>
      <c r="D27" t="s">
        <v>979</v>
      </c>
      <c r="E27" t="s">
        <v>4594</v>
      </c>
      <c r="G27" t="s">
        <v>4485</v>
      </c>
      <c r="H27" t="s">
        <v>4595</v>
      </c>
      <c r="I27">
        <v>1</v>
      </c>
      <c r="J27">
        <v>1</v>
      </c>
      <c r="K27" t="s">
        <v>972</v>
      </c>
      <c r="L27">
        <v>1</v>
      </c>
      <c r="M27">
        <v>107</v>
      </c>
      <c r="N27" t="s">
        <v>973</v>
      </c>
      <c r="O27">
        <v>10</v>
      </c>
      <c r="P27">
        <v>0</v>
      </c>
      <c r="Q27">
        <v>5</v>
      </c>
      <c r="R27">
        <v>900833</v>
      </c>
      <c r="S27">
        <v>2</v>
      </c>
      <c r="T27">
        <v>30008</v>
      </c>
      <c r="U27">
        <v>900831</v>
      </c>
      <c r="V27">
        <v>900832</v>
      </c>
      <c r="W27" t="s">
        <v>4596</v>
      </c>
      <c r="X27" t="s">
        <v>328</v>
      </c>
      <c r="Y27" t="s">
        <v>4597</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4598</v>
      </c>
      <c r="AV27" t="s">
        <v>4491</v>
      </c>
      <c r="AW27" t="s">
        <v>4491</v>
      </c>
      <c r="AX27" t="s">
        <v>4491</v>
      </c>
      <c r="AY27">
        <v>21</v>
      </c>
      <c r="AZ27">
        <v>11002</v>
      </c>
      <c r="BA27">
        <v>1</v>
      </c>
      <c r="BB27" t="s">
        <v>4492</v>
      </c>
      <c r="BC27" t="s">
        <v>1806</v>
      </c>
      <c r="BD27">
        <v>930007</v>
      </c>
      <c r="BE27" t="s">
        <v>4493</v>
      </c>
      <c r="BF27" t="s">
        <v>4494</v>
      </c>
      <c r="BG27">
        <v>88</v>
      </c>
      <c r="BH27">
        <v>10603</v>
      </c>
    </row>
    <row r="28" spans="1:61" x14ac:dyDescent="0.3">
      <c r="A28">
        <v>2003</v>
      </c>
      <c r="B28" t="s">
        <v>4599</v>
      </c>
      <c r="C28" t="s">
        <v>990</v>
      </c>
      <c r="D28" t="s">
        <v>990</v>
      </c>
      <c r="E28" t="s">
        <v>4600</v>
      </c>
      <c r="G28" t="s">
        <v>4485</v>
      </c>
      <c r="H28" t="s">
        <v>4601</v>
      </c>
      <c r="I28">
        <v>1</v>
      </c>
      <c r="J28">
        <v>2</v>
      </c>
      <c r="K28" t="s">
        <v>991</v>
      </c>
      <c r="L28">
        <v>5</v>
      </c>
      <c r="M28">
        <v>203</v>
      </c>
      <c r="N28" t="s">
        <v>973</v>
      </c>
      <c r="O28">
        <v>6</v>
      </c>
      <c r="P28">
        <v>0</v>
      </c>
      <c r="Q28">
        <v>4</v>
      </c>
      <c r="R28">
        <v>0</v>
      </c>
      <c r="S28">
        <v>1</v>
      </c>
      <c r="T28">
        <v>0</v>
      </c>
      <c r="U28">
        <v>600701</v>
      </c>
      <c r="V28">
        <v>600703</v>
      </c>
      <c r="W28" t="s">
        <v>1806</v>
      </c>
      <c r="X28" t="s">
        <v>4499</v>
      </c>
      <c r="Y28" t="s">
        <v>4602</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328</v>
      </c>
      <c r="AV28" t="s">
        <v>328</v>
      </c>
      <c r="AW28" t="s">
        <v>328</v>
      </c>
      <c r="AX28" t="s">
        <v>328</v>
      </c>
      <c r="AY28">
        <v>15</v>
      </c>
      <c r="AZ28">
        <v>3045</v>
      </c>
      <c r="BA28">
        <v>9</v>
      </c>
      <c r="BB28" t="s">
        <v>4492</v>
      </c>
      <c r="BC28" t="s">
        <v>1806</v>
      </c>
      <c r="BD28">
        <v>910015</v>
      </c>
      <c r="BE28" t="s">
        <v>4493</v>
      </c>
      <c r="BF28" t="s">
        <v>4494</v>
      </c>
      <c r="BG28">
        <v>100</v>
      </c>
      <c r="BH28">
        <v>0</v>
      </c>
    </row>
    <row r="29" spans="1:61" x14ac:dyDescent="0.3">
      <c r="A29">
        <v>2014</v>
      </c>
      <c r="B29" t="s">
        <v>4603</v>
      </c>
      <c r="C29" t="s">
        <v>1004</v>
      </c>
      <c r="D29" t="s">
        <v>1004</v>
      </c>
      <c r="E29" t="s">
        <v>4604</v>
      </c>
      <c r="G29" t="s">
        <v>4485</v>
      </c>
      <c r="H29" t="s">
        <v>4605</v>
      </c>
      <c r="I29">
        <v>1</v>
      </c>
      <c r="J29">
        <v>2</v>
      </c>
      <c r="K29" t="s">
        <v>991</v>
      </c>
      <c r="L29">
        <v>5</v>
      </c>
      <c r="M29">
        <v>214</v>
      </c>
      <c r="N29" t="s">
        <v>973</v>
      </c>
      <c r="O29">
        <v>6</v>
      </c>
      <c r="P29">
        <v>0</v>
      </c>
      <c r="Q29">
        <v>4</v>
      </c>
      <c r="R29">
        <v>0</v>
      </c>
      <c r="S29">
        <v>1</v>
      </c>
      <c r="T29">
        <v>0</v>
      </c>
      <c r="U29">
        <v>902200</v>
      </c>
      <c r="V29">
        <v>902201</v>
      </c>
      <c r="W29" t="s">
        <v>1806</v>
      </c>
      <c r="X29" t="s">
        <v>4499</v>
      </c>
      <c r="Y29" t="s">
        <v>328</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328</v>
      </c>
      <c r="AV29" t="s">
        <v>328</v>
      </c>
      <c r="AW29" t="s">
        <v>328</v>
      </c>
      <c r="AX29" t="s">
        <v>328</v>
      </c>
      <c r="AY29">
        <v>60</v>
      </c>
      <c r="AZ29">
        <v>3045</v>
      </c>
      <c r="BA29">
        <v>9</v>
      </c>
      <c r="BB29" t="s">
        <v>4492</v>
      </c>
      <c r="BC29" t="s">
        <v>1806</v>
      </c>
      <c r="BD29">
        <v>911011</v>
      </c>
      <c r="BE29" t="s">
        <v>4493</v>
      </c>
      <c r="BF29" t="s">
        <v>4494</v>
      </c>
      <c r="BG29">
        <v>95</v>
      </c>
      <c r="BH29">
        <v>0</v>
      </c>
    </row>
    <row r="30" spans="1:61" x14ac:dyDescent="0.3">
      <c r="A30">
        <v>2001</v>
      </c>
      <c r="B30" t="s">
        <v>4606</v>
      </c>
      <c r="C30" t="s">
        <v>988</v>
      </c>
      <c r="D30" t="s">
        <v>988</v>
      </c>
      <c r="E30" t="s">
        <v>4607</v>
      </c>
      <c r="G30" t="s">
        <v>4485</v>
      </c>
      <c r="H30" t="s">
        <v>4608</v>
      </c>
      <c r="I30">
        <v>1</v>
      </c>
      <c r="J30">
        <v>2</v>
      </c>
      <c r="K30" t="s">
        <v>975</v>
      </c>
      <c r="L30">
        <v>5</v>
      </c>
      <c r="M30">
        <v>201</v>
      </c>
      <c r="N30" t="s">
        <v>973</v>
      </c>
      <c r="O30">
        <v>4</v>
      </c>
      <c r="P30">
        <v>0</v>
      </c>
      <c r="Q30">
        <v>4</v>
      </c>
      <c r="R30">
        <v>0</v>
      </c>
      <c r="S30">
        <v>1</v>
      </c>
      <c r="T30">
        <v>0</v>
      </c>
      <c r="U30">
        <v>900578</v>
      </c>
      <c r="V30">
        <v>900579</v>
      </c>
      <c r="W30" t="s">
        <v>1806</v>
      </c>
      <c r="X30" t="s">
        <v>4499</v>
      </c>
      <c r="Y30" t="s">
        <v>4609</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328</v>
      </c>
      <c r="AV30" t="s">
        <v>328</v>
      </c>
      <c r="AW30" t="s">
        <v>328</v>
      </c>
      <c r="AX30" t="s">
        <v>328</v>
      </c>
      <c r="AY30">
        <v>28</v>
      </c>
      <c r="AZ30">
        <v>3045</v>
      </c>
      <c r="BA30">
        <v>7</v>
      </c>
      <c r="BB30" t="s">
        <v>4492</v>
      </c>
      <c r="BC30" t="s">
        <v>1806</v>
      </c>
      <c r="BD30">
        <v>910017</v>
      </c>
      <c r="BE30" t="s">
        <v>4493</v>
      </c>
      <c r="BF30" t="s">
        <v>4494</v>
      </c>
      <c r="BG30">
        <v>75</v>
      </c>
      <c r="BH30">
        <v>0</v>
      </c>
    </row>
    <row r="31" spans="1:61" x14ac:dyDescent="0.3">
      <c r="A31">
        <v>2002</v>
      </c>
      <c r="B31" t="s">
        <v>4610</v>
      </c>
      <c r="C31" t="s">
        <v>989</v>
      </c>
      <c r="D31" t="s">
        <v>989</v>
      </c>
      <c r="E31" t="s">
        <v>4611</v>
      </c>
      <c r="G31" t="s">
        <v>4485</v>
      </c>
      <c r="H31" t="s">
        <v>4612</v>
      </c>
      <c r="I31">
        <v>1</v>
      </c>
      <c r="J31">
        <v>2</v>
      </c>
      <c r="K31" t="s">
        <v>975</v>
      </c>
      <c r="L31">
        <v>5</v>
      </c>
      <c r="M31">
        <v>202</v>
      </c>
      <c r="N31" t="s">
        <v>973</v>
      </c>
      <c r="O31">
        <v>6</v>
      </c>
      <c r="P31">
        <v>0</v>
      </c>
      <c r="Q31">
        <v>4</v>
      </c>
      <c r="R31">
        <v>0</v>
      </c>
      <c r="S31">
        <v>1</v>
      </c>
      <c r="T31">
        <v>0</v>
      </c>
      <c r="U31">
        <v>900520</v>
      </c>
      <c r="V31">
        <v>900527</v>
      </c>
      <c r="W31" t="s">
        <v>1806</v>
      </c>
      <c r="X31" t="s">
        <v>4613</v>
      </c>
      <c r="Y31" t="s">
        <v>328</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328</v>
      </c>
      <c r="AV31" t="s">
        <v>328</v>
      </c>
      <c r="AW31" t="s">
        <v>328</v>
      </c>
      <c r="AX31" t="s">
        <v>328</v>
      </c>
      <c r="AY31">
        <v>12</v>
      </c>
      <c r="AZ31">
        <v>3045</v>
      </c>
      <c r="BA31">
        <v>8</v>
      </c>
      <c r="BB31" t="s">
        <v>4492</v>
      </c>
      <c r="BC31" t="s">
        <v>1806</v>
      </c>
      <c r="BD31">
        <v>910008</v>
      </c>
      <c r="BE31" t="s">
        <v>4493</v>
      </c>
      <c r="BF31" t="s">
        <v>4494</v>
      </c>
      <c r="BG31">
        <v>90</v>
      </c>
      <c r="BH31">
        <v>0</v>
      </c>
    </row>
    <row r="32" spans="1:61" x14ac:dyDescent="0.3">
      <c r="A32">
        <v>2012</v>
      </c>
      <c r="B32" t="s">
        <v>4614</v>
      </c>
      <c r="C32" t="s">
        <v>1002</v>
      </c>
      <c r="D32" t="s">
        <v>1002</v>
      </c>
      <c r="E32" t="s">
        <v>4615</v>
      </c>
      <c r="G32" t="s">
        <v>4485</v>
      </c>
      <c r="H32" t="s">
        <v>4616</v>
      </c>
      <c r="I32">
        <v>1</v>
      </c>
      <c r="J32">
        <v>2</v>
      </c>
      <c r="K32" t="s">
        <v>975</v>
      </c>
      <c r="L32">
        <v>5</v>
      </c>
      <c r="M32">
        <v>212</v>
      </c>
      <c r="N32" t="s">
        <v>973</v>
      </c>
      <c r="O32">
        <v>6</v>
      </c>
      <c r="P32">
        <v>0</v>
      </c>
      <c r="Q32">
        <v>4</v>
      </c>
      <c r="R32">
        <v>0</v>
      </c>
      <c r="S32">
        <v>1</v>
      </c>
      <c r="T32">
        <v>0</v>
      </c>
      <c r="U32">
        <v>900982</v>
      </c>
      <c r="V32">
        <v>900981</v>
      </c>
      <c r="W32" t="s">
        <v>1806</v>
      </c>
      <c r="X32" t="s">
        <v>4499</v>
      </c>
      <c r="Y32" t="s">
        <v>4617</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328</v>
      </c>
      <c r="AV32" t="s">
        <v>328</v>
      </c>
      <c r="AW32" t="s">
        <v>328</v>
      </c>
      <c r="AX32" t="s">
        <v>328</v>
      </c>
      <c r="AY32">
        <v>58</v>
      </c>
      <c r="AZ32">
        <v>3045</v>
      </c>
      <c r="BA32">
        <v>8</v>
      </c>
      <c r="BB32" t="s">
        <v>4492</v>
      </c>
      <c r="BC32" t="s">
        <v>1806</v>
      </c>
      <c r="BD32">
        <v>911008</v>
      </c>
      <c r="BE32" t="s">
        <v>4493</v>
      </c>
      <c r="BF32" t="s">
        <v>4494</v>
      </c>
      <c r="BG32">
        <v>90</v>
      </c>
      <c r="BH32">
        <v>0</v>
      </c>
    </row>
    <row r="33" spans="1:61" x14ac:dyDescent="0.3">
      <c r="A33">
        <v>2016</v>
      </c>
      <c r="B33" t="s">
        <v>5660</v>
      </c>
      <c r="C33" t="s">
        <v>5664</v>
      </c>
      <c r="D33" t="s">
        <v>5661</v>
      </c>
      <c r="E33" t="s">
        <v>5662</v>
      </c>
      <c r="G33" t="s">
        <v>4485</v>
      </c>
      <c r="H33" t="s">
        <v>5663</v>
      </c>
      <c r="I33">
        <v>1</v>
      </c>
      <c r="J33">
        <v>2</v>
      </c>
      <c r="K33" t="s">
        <v>975</v>
      </c>
      <c r="L33">
        <v>5</v>
      </c>
      <c r="M33">
        <v>216</v>
      </c>
      <c r="N33" t="s">
        <v>973</v>
      </c>
      <c r="O33">
        <v>6</v>
      </c>
      <c r="P33">
        <v>0</v>
      </c>
      <c r="Q33">
        <v>4</v>
      </c>
      <c r="R33">
        <v>0</v>
      </c>
      <c r="S33">
        <v>1</v>
      </c>
      <c r="T33">
        <v>0</v>
      </c>
      <c r="U33">
        <v>900746</v>
      </c>
      <c r="V33">
        <v>750298</v>
      </c>
      <c r="W33" t="s">
        <v>1806</v>
      </c>
      <c r="X33" t="s">
        <v>4499</v>
      </c>
      <c r="Y33" t="s">
        <v>4621</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328</v>
      </c>
      <c r="AV33" t="s">
        <v>328</v>
      </c>
      <c r="AW33" t="s">
        <v>328</v>
      </c>
      <c r="AX33" t="s">
        <v>328</v>
      </c>
      <c r="AY33">
        <v>108</v>
      </c>
      <c r="AZ33">
        <v>3045</v>
      </c>
      <c r="BA33">
        <v>8</v>
      </c>
      <c r="BB33" t="s">
        <v>4492</v>
      </c>
      <c r="BC33" t="s">
        <v>1806</v>
      </c>
      <c r="BD33">
        <v>913124</v>
      </c>
      <c r="BE33" t="s">
        <v>4493</v>
      </c>
      <c r="BF33" t="s">
        <v>4494</v>
      </c>
      <c r="BG33">
        <v>95</v>
      </c>
      <c r="BH33">
        <v>0</v>
      </c>
    </row>
    <row r="34" spans="1:61" x14ac:dyDescent="0.3">
      <c r="A34">
        <v>2008</v>
      </c>
      <c r="B34" t="s">
        <v>4618</v>
      </c>
      <c r="C34" t="s">
        <v>997</v>
      </c>
      <c r="D34" t="s">
        <v>997</v>
      </c>
      <c r="E34" t="s">
        <v>4619</v>
      </c>
      <c r="G34" t="s">
        <v>4485</v>
      </c>
      <c r="H34" t="s">
        <v>4620</v>
      </c>
      <c r="I34">
        <v>1</v>
      </c>
      <c r="J34">
        <v>2</v>
      </c>
      <c r="K34" t="s">
        <v>975</v>
      </c>
      <c r="L34">
        <v>5</v>
      </c>
      <c r="M34">
        <v>208</v>
      </c>
      <c r="N34" t="s">
        <v>973</v>
      </c>
      <c r="O34">
        <v>6</v>
      </c>
      <c r="P34">
        <v>0</v>
      </c>
      <c r="Q34">
        <v>4</v>
      </c>
      <c r="R34">
        <v>0</v>
      </c>
      <c r="S34">
        <v>1</v>
      </c>
      <c r="T34">
        <v>0</v>
      </c>
      <c r="U34">
        <v>900746</v>
      </c>
      <c r="V34">
        <v>900744</v>
      </c>
      <c r="W34" t="s">
        <v>1806</v>
      </c>
      <c r="X34" t="s">
        <v>4499</v>
      </c>
      <c r="Y34" t="s">
        <v>4621</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328</v>
      </c>
      <c r="AV34" t="s">
        <v>328</v>
      </c>
      <c r="AW34" t="s">
        <v>328</v>
      </c>
      <c r="AX34" t="s">
        <v>328</v>
      </c>
      <c r="AY34">
        <v>57</v>
      </c>
      <c r="AZ34">
        <v>3045</v>
      </c>
      <c r="BA34">
        <v>8</v>
      </c>
      <c r="BB34" t="s">
        <v>4492</v>
      </c>
      <c r="BC34" t="s">
        <v>1806</v>
      </c>
      <c r="BD34">
        <v>911007</v>
      </c>
      <c r="BE34" t="s">
        <v>4493</v>
      </c>
      <c r="BF34" t="s">
        <v>4494</v>
      </c>
      <c r="BG34">
        <v>90</v>
      </c>
      <c r="BH34">
        <v>0</v>
      </c>
    </row>
    <row r="35" spans="1:61" x14ac:dyDescent="0.3">
      <c r="A35">
        <v>2015</v>
      </c>
      <c r="B35" t="s">
        <v>4495</v>
      </c>
      <c r="C35" t="s">
        <v>4496</v>
      </c>
      <c r="D35" t="s">
        <v>4496</v>
      </c>
      <c r="E35" t="s">
        <v>4497</v>
      </c>
      <c r="G35" t="s">
        <v>4485</v>
      </c>
      <c r="H35" t="s">
        <v>4498</v>
      </c>
      <c r="I35">
        <v>1</v>
      </c>
      <c r="J35">
        <v>2</v>
      </c>
      <c r="K35" t="s">
        <v>972</v>
      </c>
      <c r="L35">
        <v>5</v>
      </c>
      <c r="M35">
        <v>215</v>
      </c>
      <c r="N35" t="s">
        <v>973</v>
      </c>
      <c r="O35">
        <v>6</v>
      </c>
      <c r="P35">
        <v>0</v>
      </c>
      <c r="Q35">
        <v>4</v>
      </c>
      <c r="R35">
        <v>0</v>
      </c>
      <c r="S35">
        <v>1</v>
      </c>
      <c r="T35">
        <v>0</v>
      </c>
      <c r="U35">
        <v>750056</v>
      </c>
      <c r="V35">
        <v>750058</v>
      </c>
      <c r="W35" t="s">
        <v>1806</v>
      </c>
      <c r="X35" t="s">
        <v>4499</v>
      </c>
      <c r="Y35" t="s">
        <v>328</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328</v>
      </c>
      <c r="AV35" t="s">
        <v>328</v>
      </c>
      <c r="AW35" t="s">
        <v>328</v>
      </c>
      <c r="AX35" t="s">
        <v>328</v>
      </c>
      <c r="AY35">
        <v>56</v>
      </c>
      <c r="AZ35">
        <v>3045</v>
      </c>
      <c r="BA35">
        <v>17</v>
      </c>
      <c r="BB35" t="s">
        <v>4492</v>
      </c>
      <c r="BC35" t="s">
        <v>1806</v>
      </c>
      <c r="BD35">
        <v>911006</v>
      </c>
      <c r="BE35" t="s">
        <v>4493</v>
      </c>
      <c r="BF35" t="s">
        <v>4494</v>
      </c>
      <c r="BG35">
        <v>95</v>
      </c>
      <c r="BH35">
        <v>0</v>
      </c>
    </row>
    <row r="36" spans="1:61" x14ac:dyDescent="0.3">
      <c r="A36">
        <v>2006</v>
      </c>
      <c r="B36" t="s">
        <v>4622</v>
      </c>
      <c r="C36" t="s">
        <v>996</v>
      </c>
      <c r="D36" t="s">
        <v>996</v>
      </c>
      <c r="E36" t="s">
        <v>4623</v>
      </c>
      <c r="G36" t="s">
        <v>4485</v>
      </c>
      <c r="H36" t="s">
        <v>4624</v>
      </c>
      <c r="I36">
        <v>1</v>
      </c>
      <c r="J36">
        <v>2</v>
      </c>
      <c r="K36" t="s">
        <v>993</v>
      </c>
      <c r="L36">
        <v>1</v>
      </c>
      <c r="M36">
        <v>206</v>
      </c>
      <c r="N36" t="s">
        <v>973</v>
      </c>
      <c r="O36">
        <v>10</v>
      </c>
      <c r="P36">
        <v>0</v>
      </c>
      <c r="Q36">
        <v>4</v>
      </c>
      <c r="R36">
        <v>0</v>
      </c>
      <c r="S36">
        <v>1</v>
      </c>
      <c r="T36">
        <v>0</v>
      </c>
      <c r="U36">
        <v>900617</v>
      </c>
      <c r="V36">
        <v>900618</v>
      </c>
      <c r="W36" t="s">
        <v>1806</v>
      </c>
      <c r="X36" t="s">
        <v>4625</v>
      </c>
      <c r="Y36" t="s">
        <v>4626</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328</v>
      </c>
      <c r="AV36" t="s">
        <v>328</v>
      </c>
      <c r="AW36" t="s">
        <v>328</v>
      </c>
      <c r="AX36" t="s">
        <v>328</v>
      </c>
      <c r="AY36">
        <v>16</v>
      </c>
      <c r="AZ36">
        <v>3045</v>
      </c>
      <c r="BA36">
        <v>9</v>
      </c>
      <c r="BB36" t="s">
        <v>4492</v>
      </c>
      <c r="BC36" t="s">
        <v>1806</v>
      </c>
      <c r="BD36">
        <v>910010</v>
      </c>
      <c r="BE36" t="s">
        <v>4493</v>
      </c>
      <c r="BF36" t="s">
        <v>4494</v>
      </c>
      <c r="BG36">
        <v>100</v>
      </c>
      <c r="BH36">
        <v>0</v>
      </c>
    </row>
    <row r="37" spans="1:61" x14ac:dyDescent="0.3">
      <c r="A37">
        <v>2004</v>
      </c>
      <c r="B37" t="s">
        <v>4627</v>
      </c>
      <c r="C37" t="s">
        <v>992</v>
      </c>
      <c r="D37" t="s">
        <v>992</v>
      </c>
      <c r="E37" t="s">
        <v>4628</v>
      </c>
      <c r="G37" t="s">
        <v>4485</v>
      </c>
      <c r="H37" t="s">
        <v>4629</v>
      </c>
      <c r="I37">
        <v>1</v>
      </c>
      <c r="J37">
        <v>2</v>
      </c>
      <c r="K37" t="s">
        <v>993</v>
      </c>
      <c r="L37">
        <v>5</v>
      </c>
      <c r="M37">
        <v>204</v>
      </c>
      <c r="N37" t="s">
        <v>973</v>
      </c>
      <c r="O37">
        <v>6</v>
      </c>
      <c r="P37">
        <v>0</v>
      </c>
      <c r="Q37">
        <v>4</v>
      </c>
      <c r="R37">
        <v>0</v>
      </c>
      <c r="S37">
        <v>1</v>
      </c>
      <c r="T37">
        <v>0</v>
      </c>
      <c r="U37">
        <v>900612</v>
      </c>
      <c r="V37">
        <v>900613</v>
      </c>
      <c r="W37" t="s">
        <v>1806</v>
      </c>
      <c r="X37" t="s">
        <v>4499</v>
      </c>
      <c r="Y37" t="s">
        <v>328</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328</v>
      </c>
      <c r="AV37" t="s">
        <v>328</v>
      </c>
      <c r="AW37" t="s">
        <v>328</v>
      </c>
      <c r="AX37" t="s">
        <v>328</v>
      </c>
      <c r="AY37">
        <v>14</v>
      </c>
      <c r="AZ37">
        <v>3045</v>
      </c>
      <c r="BA37">
        <v>9</v>
      </c>
      <c r="BB37" t="s">
        <v>4492</v>
      </c>
      <c r="BC37" t="s">
        <v>1806</v>
      </c>
      <c r="BD37">
        <v>910016</v>
      </c>
      <c r="BE37" t="s">
        <v>4493</v>
      </c>
      <c r="BF37" t="s">
        <v>4494</v>
      </c>
      <c r="BG37">
        <v>100</v>
      </c>
      <c r="BH37">
        <v>0</v>
      </c>
    </row>
    <row r="38" spans="1:61" x14ac:dyDescent="0.3">
      <c r="A38">
        <v>2011</v>
      </c>
      <c r="B38" t="s">
        <v>4630</v>
      </c>
      <c r="C38" t="s">
        <v>1000</v>
      </c>
      <c r="D38" t="s">
        <v>1000</v>
      </c>
      <c r="E38" t="s">
        <v>4631</v>
      </c>
      <c r="G38" t="s">
        <v>4485</v>
      </c>
      <c r="H38" t="s">
        <v>4632</v>
      </c>
      <c r="I38">
        <v>1</v>
      </c>
      <c r="J38">
        <v>2</v>
      </c>
      <c r="K38" t="s">
        <v>1001</v>
      </c>
      <c r="L38">
        <v>5</v>
      </c>
      <c r="M38">
        <v>211</v>
      </c>
      <c r="N38" t="s">
        <v>973</v>
      </c>
      <c r="O38">
        <v>4</v>
      </c>
      <c r="P38">
        <v>0</v>
      </c>
      <c r="Q38">
        <v>4</v>
      </c>
      <c r="R38">
        <v>0</v>
      </c>
      <c r="S38">
        <v>1</v>
      </c>
      <c r="T38">
        <v>0</v>
      </c>
      <c r="U38">
        <v>900934</v>
      </c>
      <c r="V38">
        <v>900937</v>
      </c>
      <c r="W38" t="s">
        <v>1806</v>
      </c>
      <c r="X38" t="s">
        <v>4499</v>
      </c>
      <c r="Y38" t="s">
        <v>4633</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328</v>
      </c>
      <c r="AV38" t="s">
        <v>328</v>
      </c>
      <c r="AW38" t="s">
        <v>328</v>
      </c>
      <c r="AX38" t="s">
        <v>328</v>
      </c>
      <c r="AY38">
        <v>55</v>
      </c>
      <c r="AZ38">
        <v>3045</v>
      </c>
      <c r="BA38">
        <v>21</v>
      </c>
      <c r="BB38" t="s">
        <v>4492</v>
      </c>
      <c r="BC38" t="s">
        <v>1806</v>
      </c>
      <c r="BD38">
        <v>911001</v>
      </c>
      <c r="BE38" t="s">
        <v>4493</v>
      </c>
      <c r="BF38" t="s">
        <v>4494</v>
      </c>
      <c r="BG38">
        <v>80</v>
      </c>
      <c r="BH38">
        <v>0</v>
      </c>
    </row>
    <row r="39" spans="1:61" x14ac:dyDescent="0.3">
      <c r="A39">
        <v>2018</v>
      </c>
      <c r="B39" t="s">
        <v>6533</v>
      </c>
      <c r="C39" t="s">
        <v>6541</v>
      </c>
      <c r="D39" t="s">
        <v>6534</v>
      </c>
      <c r="E39" t="s">
        <v>6535</v>
      </c>
      <c r="G39" t="s">
        <v>4485</v>
      </c>
      <c r="H39" t="s">
        <v>6536</v>
      </c>
      <c r="I39">
        <v>1</v>
      </c>
      <c r="J39">
        <v>2</v>
      </c>
      <c r="K39" t="s">
        <v>993</v>
      </c>
      <c r="L39">
        <v>1</v>
      </c>
      <c r="M39">
        <v>218</v>
      </c>
      <c r="N39" t="s">
        <v>6537</v>
      </c>
      <c r="O39">
        <v>8</v>
      </c>
      <c r="P39">
        <v>0</v>
      </c>
      <c r="Q39">
        <v>4</v>
      </c>
      <c r="R39">
        <v>0</v>
      </c>
      <c r="S39">
        <v>1</v>
      </c>
      <c r="T39">
        <v>0</v>
      </c>
      <c r="U39">
        <v>750433</v>
      </c>
      <c r="V39">
        <v>750444</v>
      </c>
      <c r="W39" t="s">
        <v>1806</v>
      </c>
      <c r="X39" t="s">
        <v>6538</v>
      </c>
      <c r="Y39" t="s">
        <v>6539</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328</v>
      </c>
      <c r="AV39" t="s">
        <v>328</v>
      </c>
      <c r="AW39" t="s">
        <v>328</v>
      </c>
      <c r="AX39" t="s">
        <v>328</v>
      </c>
      <c r="AY39">
        <v>123</v>
      </c>
      <c r="AZ39">
        <v>3045</v>
      </c>
      <c r="BA39">
        <v>21</v>
      </c>
      <c r="BB39" t="s">
        <v>4492</v>
      </c>
      <c r="BC39" t="s">
        <v>1806</v>
      </c>
      <c r="BD39">
        <v>913217</v>
      </c>
      <c r="BE39" t="s">
        <v>4493</v>
      </c>
      <c r="BF39" t="s">
        <v>4494</v>
      </c>
      <c r="BG39">
        <v>100</v>
      </c>
      <c r="BH39">
        <v>0</v>
      </c>
      <c r="BI39">
        <v>0</v>
      </c>
    </row>
    <row r="40" spans="1:61" x14ac:dyDescent="0.3">
      <c r="A40">
        <v>2009</v>
      </c>
      <c r="B40" t="s">
        <v>4634</v>
      </c>
      <c r="C40" t="s">
        <v>998</v>
      </c>
      <c r="D40" t="s">
        <v>998</v>
      </c>
      <c r="E40" t="s">
        <v>4635</v>
      </c>
      <c r="G40" t="s">
        <v>4485</v>
      </c>
      <c r="H40" t="s">
        <v>4636</v>
      </c>
      <c r="I40">
        <v>1</v>
      </c>
      <c r="J40">
        <v>2</v>
      </c>
      <c r="K40" t="s">
        <v>972</v>
      </c>
      <c r="L40">
        <v>5</v>
      </c>
      <c r="M40">
        <v>209</v>
      </c>
      <c r="N40" t="s">
        <v>973</v>
      </c>
      <c r="O40">
        <v>6</v>
      </c>
      <c r="P40">
        <v>0</v>
      </c>
      <c r="Q40">
        <v>4</v>
      </c>
      <c r="R40">
        <v>0</v>
      </c>
      <c r="S40">
        <v>1</v>
      </c>
      <c r="T40">
        <v>0</v>
      </c>
      <c r="U40">
        <v>900770</v>
      </c>
      <c r="V40">
        <v>910774</v>
      </c>
      <c r="W40" t="s">
        <v>1806</v>
      </c>
      <c r="X40" t="s">
        <v>4637</v>
      </c>
      <c r="Y40" t="s">
        <v>4638</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328</v>
      </c>
      <c r="AV40" t="s">
        <v>328</v>
      </c>
      <c r="AW40" t="s">
        <v>328</v>
      </c>
      <c r="AX40" t="s">
        <v>328</v>
      </c>
      <c r="AY40">
        <v>86</v>
      </c>
      <c r="AZ40">
        <v>3045</v>
      </c>
      <c r="BA40">
        <v>8</v>
      </c>
      <c r="BB40" t="s">
        <v>4492</v>
      </c>
      <c r="BC40" t="s">
        <v>1806</v>
      </c>
      <c r="BD40">
        <v>911104</v>
      </c>
      <c r="BE40" t="s">
        <v>4493</v>
      </c>
      <c r="BF40" t="s">
        <v>4494</v>
      </c>
      <c r="BG40">
        <v>90</v>
      </c>
      <c r="BH40">
        <v>0</v>
      </c>
    </row>
    <row r="41" spans="1:61" x14ac:dyDescent="0.3">
      <c r="A41">
        <v>2013</v>
      </c>
      <c r="B41" t="s">
        <v>4639</v>
      </c>
      <c r="C41" t="s">
        <v>1003</v>
      </c>
      <c r="D41" t="s">
        <v>1003</v>
      </c>
      <c r="E41" t="s">
        <v>4640</v>
      </c>
      <c r="G41" t="s">
        <v>4485</v>
      </c>
      <c r="H41" t="s">
        <v>4641</v>
      </c>
      <c r="I41">
        <v>1</v>
      </c>
      <c r="J41">
        <v>2</v>
      </c>
      <c r="K41" t="s">
        <v>972</v>
      </c>
      <c r="L41">
        <v>5</v>
      </c>
      <c r="M41">
        <v>213</v>
      </c>
      <c r="N41" t="s">
        <v>973</v>
      </c>
      <c r="O41">
        <v>6</v>
      </c>
      <c r="P41">
        <v>0</v>
      </c>
      <c r="Q41">
        <v>4</v>
      </c>
      <c r="R41">
        <v>0</v>
      </c>
      <c r="S41">
        <v>1</v>
      </c>
      <c r="T41">
        <v>0</v>
      </c>
      <c r="U41">
        <v>901251</v>
      </c>
      <c r="V41">
        <v>901253</v>
      </c>
      <c r="W41" t="s">
        <v>1806</v>
      </c>
      <c r="X41" t="s">
        <v>4642</v>
      </c>
      <c r="Y41" t="s">
        <v>4643</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328</v>
      </c>
      <c r="AV41" t="s">
        <v>328</v>
      </c>
      <c r="AW41" t="s">
        <v>328</v>
      </c>
      <c r="AX41" t="s">
        <v>328</v>
      </c>
      <c r="AY41">
        <v>59</v>
      </c>
      <c r="AZ41">
        <v>3045</v>
      </c>
      <c r="BA41">
        <v>18</v>
      </c>
      <c r="BB41" t="s">
        <v>4492</v>
      </c>
      <c r="BC41" t="s">
        <v>1806</v>
      </c>
      <c r="BD41">
        <v>911012</v>
      </c>
      <c r="BE41" t="s">
        <v>4493</v>
      </c>
      <c r="BF41" t="s">
        <v>4494</v>
      </c>
      <c r="BG41">
        <v>95</v>
      </c>
      <c r="BH41">
        <v>0</v>
      </c>
    </row>
    <row r="42" spans="1:61" x14ac:dyDescent="0.3">
      <c r="A42">
        <v>2005</v>
      </c>
      <c r="B42" t="s">
        <v>4644</v>
      </c>
      <c r="C42" t="s">
        <v>994</v>
      </c>
      <c r="D42" t="s">
        <v>994</v>
      </c>
      <c r="E42" t="s">
        <v>4645</v>
      </c>
      <c r="G42" t="s">
        <v>4485</v>
      </c>
      <c r="H42" t="s">
        <v>4646</v>
      </c>
      <c r="I42">
        <v>1</v>
      </c>
      <c r="J42">
        <v>2</v>
      </c>
      <c r="K42" t="s">
        <v>995</v>
      </c>
      <c r="L42">
        <v>5</v>
      </c>
      <c r="M42">
        <v>205</v>
      </c>
      <c r="N42" t="s">
        <v>973</v>
      </c>
      <c r="O42">
        <v>3</v>
      </c>
      <c r="P42">
        <v>0</v>
      </c>
      <c r="Q42">
        <v>4</v>
      </c>
      <c r="R42">
        <v>0</v>
      </c>
      <c r="S42">
        <v>1</v>
      </c>
      <c r="T42">
        <v>0</v>
      </c>
      <c r="U42">
        <v>900653</v>
      </c>
      <c r="V42">
        <v>900661</v>
      </c>
      <c r="W42" t="s">
        <v>1806</v>
      </c>
      <c r="X42" t="s">
        <v>4647</v>
      </c>
      <c r="Y42" t="s">
        <v>4648</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328</v>
      </c>
      <c r="AV42" t="s">
        <v>328</v>
      </c>
      <c r="AW42" t="s">
        <v>328</v>
      </c>
      <c r="AX42" t="s">
        <v>328</v>
      </c>
      <c r="AY42">
        <v>30</v>
      </c>
      <c r="AZ42">
        <v>3045</v>
      </c>
      <c r="BA42">
        <v>9</v>
      </c>
      <c r="BB42" t="s">
        <v>4492</v>
      </c>
      <c r="BC42" t="s">
        <v>1806</v>
      </c>
      <c r="BD42">
        <v>910018</v>
      </c>
      <c r="BE42" t="s">
        <v>4493</v>
      </c>
      <c r="BF42" t="s">
        <v>4494</v>
      </c>
      <c r="BG42">
        <v>100</v>
      </c>
      <c r="BH42">
        <v>0</v>
      </c>
    </row>
    <row r="43" spans="1:61" x14ac:dyDescent="0.3">
      <c r="A43">
        <v>2017</v>
      </c>
      <c r="B43" t="s">
        <v>6357</v>
      </c>
      <c r="C43" t="s">
        <v>6364</v>
      </c>
      <c r="D43" t="s">
        <v>6358</v>
      </c>
      <c r="E43" t="s">
        <v>6359</v>
      </c>
      <c r="G43" t="s">
        <v>4485</v>
      </c>
      <c r="H43" t="s">
        <v>6360</v>
      </c>
      <c r="I43">
        <v>1</v>
      </c>
      <c r="J43">
        <v>2</v>
      </c>
      <c r="K43" t="s">
        <v>972</v>
      </c>
      <c r="L43">
        <v>5</v>
      </c>
      <c r="M43">
        <v>217</v>
      </c>
      <c r="N43" t="s">
        <v>973</v>
      </c>
      <c r="O43">
        <v>6</v>
      </c>
      <c r="P43">
        <v>0</v>
      </c>
      <c r="Q43">
        <v>4</v>
      </c>
      <c r="R43">
        <v>0</v>
      </c>
      <c r="S43">
        <v>1</v>
      </c>
      <c r="T43">
        <v>0</v>
      </c>
      <c r="U43">
        <v>900841</v>
      </c>
      <c r="V43">
        <v>750377</v>
      </c>
      <c r="W43" t="s">
        <v>1806</v>
      </c>
      <c r="X43" t="s">
        <v>4499</v>
      </c>
      <c r="Y43" t="s">
        <v>328</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328</v>
      </c>
      <c r="AV43" t="s">
        <v>328</v>
      </c>
      <c r="AW43" t="s">
        <v>328</v>
      </c>
      <c r="AX43" t="s">
        <v>328</v>
      </c>
      <c r="AY43">
        <v>121</v>
      </c>
      <c r="AZ43">
        <v>3045</v>
      </c>
      <c r="BA43">
        <v>8</v>
      </c>
      <c r="BB43" t="s">
        <v>4492</v>
      </c>
      <c r="BC43" t="s">
        <v>1806</v>
      </c>
      <c r="BD43">
        <v>913101</v>
      </c>
      <c r="BE43" t="s">
        <v>4493</v>
      </c>
      <c r="BF43" t="s">
        <v>4494</v>
      </c>
      <c r="BG43">
        <v>90</v>
      </c>
      <c r="BH43">
        <v>0</v>
      </c>
      <c r="BI43">
        <v>0</v>
      </c>
    </row>
    <row r="44" spans="1:61" x14ac:dyDescent="0.3">
      <c r="A44">
        <v>2010</v>
      </c>
      <c r="B44" t="s">
        <v>4649</v>
      </c>
      <c r="C44" t="s">
        <v>999</v>
      </c>
      <c r="D44" t="s">
        <v>999</v>
      </c>
      <c r="E44" t="s">
        <v>4650</v>
      </c>
      <c r="G44" t="s">
        <v>4485</v>
      </c>
      <c r="H44" t="s">
        <v>4651</v>
      </c>
      <c r="I44">
        <v>1</v>
      </c>
      <c r="J44">
        <v>2</v>
      </c>
      <c r="K44" t="s">
        <v>972</v>
      </c>
      <c r="L44">
        <v>5</v>
      </c>
      <c r="M44">
        <v>210</v>
      </c>
      <c r="N44" t="s">
        <v>973</v>
      </c>
      <c r="O44">
        <v>6</v>
      </c>
      <c r="P44">
        <v>0</v>
      </c>
      <c r="Q44">
        <v>4</v>
      </c>
      <c r="R44">
        <v>0</v>
      </c>
      <c r="S44">
        <v>1</v>
      </c>
      <c r="T44">
        <v>0</v>
      </c>
      <c r="U44">
        <v>900841</v>
      </c>
      <c r="V44">
        <v>900842</v>
      </c>
      <c r="W44" t="s">
        <v>1806</v>
      </c>
      <c r="X44" t="s">
        <v>4499</v>
      </c>
      <c r="Y44" t="s">
        <v>4652</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328</v>
      </c>
      <c r="AV44" t="s">
        <v>328</v>
      </c>
      <c r="AW44" t="s">
        <v>328</v>
      </c>
      <c r="AX44" t="s">
        <v>328</v>
      </c>
      <c r="AY44">
        <v>94</v>
      </c>
      <c r="AZ44">
        <v>3045</v>
      </c>
      <c r="BA44">
        <v>8</v>
      </c>
      <c r="BB44" t="s">
        <v>4492</v>
      </c>
      <c r="BC44" t="s">
        <v>1806</v>
      </c>
      <c r="BD44">
        <v>911105</v>
      </c>
      <c r="BE44" t="s">
        <v>4493</v>
      </c>
      <c r="BF44" t="s">
        <v>4494</v>
      </c>
      <c r="BG44">
        <v>90</v>
      </c>
      <c r="BH44">
        <v>0</v>
      </c>
    </row>
    <row r="45" spans="1:61" x14ac:dyDescent="0.3">
      <c r="A45">
        <v>3006</v>
      </c>
      <c r="B45" t="s">
        <v>4653</v>
      </c>
      <c r="C45" t="s">
        <v>1010</v>
      </c>
      <c r="D45" t="s">
        <v>1010</v>
      </c>
      <c r="E45" t="s">
        <v>4654</v>
      </c>
      <c r="G45" t="s">
        <v>4485</v>
      </c>
      <c r="H45" t="s">
        <v>4655</v>
      </c>
      <c r="I45">
        <v>1</v>
      </c>
      <c r="J45">
        <v>3</v>
      </c>
      <c r="K45" t="s">
        <v>1001</v>
      </c>
      <c r="L45">
        <v>5</v>
      </c>
      <c r="M45">
        <v>306</v>
      </c>
      <c r="N45" t="s">
        <v>973</v>
      </c>
      <c r="O45">
        <v>2</v>
      </c>
      <c r="P45">
        <v>0</v>
      </c>
      <c r="Q45">
        <v>3</v>
      </c>
      <c r="R45">
        <v>0</v>
      </c>
      <c r="S45">
        <v>1</v>
      </c>
      <c r="T45">
        <v>0</v>
      </c>
      <c r="U45">
        <v>0</v>
      </c>
      <c r="V45">
        <v>900676</v>
      </c>
      <c r="W45" t="s">
        <v>1806</v>
      </c>
      <c r="X45" t="s">
        <v>4647</v>
      </c>
      <c r="Y45" t="s">
        <v>4656</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328</v>
      </c>
      <c r="AV45" t="s">
        <v>328</v>
      </c>
      <c r="AW45" t="s">
        <v>328</v>
      </c>
      <c r="AX45" t="s">
        <v>328</v>
      </c>
      <c r="AY45">
        <v>6</v>
      </c>
      <c r="AZ45">
        <v>3045</v>
      </c>
      <c r="BA45">
        <v>18</v>
      </c>
      <c r="BB45" t="s">
        <v>4492</v>
      </c>
      <c r="BC45" t="s">
        <v>1806</v>
      </c>
      <c r="BD45">
        <v>910003</v>
      </c>
      <c r="BE45" t="s">
        <v>4493</v>
      </c>
      <c r="BF45" t="s">
        <v>4494</v>
      </c>
      <c r="BG45">
        <v>95</v>
      </c>
      <c r="BH45">
        <v>0</v>
      </c>
    </row>
    <row r="46" spans="1:61" x14ac:dyDescent="0.3">
      <c r="A46">
        <v>3010</v>
      </c>
      <c r="B46" t="s">
        <v>4657</v>
      </c>
      <c r="C46" t="s">
        <v>1015</v>
      </c>
      <c r="D46" t="s">
        <v>1015</v>
      </c>
      <c r="E46" t="s">
        <v>4658</v>
      </c>
      <c r="G46" t="s">
        <v>4485</v>
      </c>
      <c r="H46" t="s">
        <v>4659</v>
      </c>
      <c r="I46">
        <v>1</v>
      </c>
      <c r="J46">
        <v>3</v>
      </c>
      <c r="K46" t="s">
        <v>993</v>
      </c>
      <c r="L46">
        <v>1</v>
      </c>
      <c r="M46">
        <v>310</v>
      </c>
      <c r="N46" t="s">
        <v>973</v>
      </c>
      <c r="O46">
        <v>8</v>
      </c>
      <c r="P46">
        <v>0</v>
      </c>
      <c r="Q46">
        <v>3</v>
      </c>
      <c r="R46">
        <v>0</v>
      </c>
      <c r="S46">
        <v>1</v>
      </c>
      <c r="T46">
        <v>0</v>
      </c>
      <c r="U46">
        <v>0</v>
      </c>
      <c r="V46">
        <v>901041</v>
      </c>
      <c r="W46" t="s">
        <v>1806</v>
      </c>
      <c r="X46" t="s">
        <v>4660</v>
      </c>
      <c r="Y46" t="s">
        <v>328</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328</v>
      </c>
      <c r="AV46" t="s">
        <v>328</v>
      </c>
      <c r="AW46" t="s">
        <v>328</v>
      </c>
      <c r="AX46" t="s">
        <v>328</v>
      </c>
      <c r="AY46">
        <v>99</v>
      </c>
      <c r="AZ46">
        <v>3045</v>
      </c>
      <c r="BA46">
        <v>21</v>
      </c>
      <c r="BB46" t="s">
        <v>4492</v>
      </c>
      <c r="BC46" t="s">
        <v>1806</v>
      </c>
      <c r="BD46">
        <v>910021</v>
      </c>
      <c r="BE46" t="s">
        <v>4493</v>
      </c>
      <c r="BF46" t="s">
        <v>4494</v>
      </c>
      <c r="BG46">
        <v>100</v>
      </c>
      <c r="BH46">
        <v>0</v>
      </c>
    </row>
    <row r="47" spans="1:61" x14ac:dyDescent="0.3">
      <c r="A47">
        <v>3003</v>
      </c>
      <c r="B47" t="s">
        <v>4661</v>
      </c>
      <c r="C47" t="s">
        <v>1007</v>
      </c>
      <c r="D47" t="s">
        <v>1007</v>
      </c>
      <c r="E47" t="s">
        <v>4662</v>
      </c>
      <c r="G47" t="s">
        <v>4485</v>
      </c>
      <c r="H47" t="s">
        <v>4663</v>
      </c>
      <c r="I47">
        <v>1</v>
      </c>
      <c r="J47">
        <v>3</v>
      </c>
      <c r="K47" t="s">
        <v>975</v>
      </c>
      <c r="L47">
        <v>5</v>
      </c>
      <c r="M47">
        <v>303</v>
      </c>
      <c r="N47" t="s">
        <v>973</v>
      </c>
      <c r="O47">
        <v>4</v>
      </c>
      <c r="P47">
        <v>0</v>
      </c>
      <c r="Q47">
        <v>3</v>
      </c>
      <c r="R47">
        <v>0</v>
      </c>
      <c r="S47">
        <v>1</v>
      </c>
      <c r="T47">
        <v>0</v>
      </c>
      <c r="U47">
        <v>0</v>
      </c>
      <c r="V47">
        <v>900525</v>
      </c>
      <c r="W47" t="s">
        <v>1806</v>
      </c>
      <c r="X47" t="s">
        <v>4499</v>
      </c>
      <c r="Y47" t="s">
        <v>4664</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328</v>
      </c>
      <c r="AV47" t="s">
        <v>328</v>
      </c>
      <c r="AW47" t="s">
        <v>328</v>
      </c>
      <c r="AX47" t="s">
        <v>328</v>
      </c>
      <c r="AY47">
        <v>10</v>
      </c>
      <c r="AZ47">
        <v>3045</v>
      </c>
      <c r="BA47">
        <v>16</v>
      </c>
      <c r="BB47" t="s">
        <v>4492</v>
      </c>
      <c r="BC47" t="s">
        <v>1806</v>
      </c>
      <c r="BD47">
        <v>910007</v>
      </c>
      <c r="BE47" t="s">
        <v>4493</v>
      </c>
      <c r="BF47" t="s">
        <v>4494</v>
      </c>
      <c r="BG47">
        <v>92</v>
      </c>
      <c r="BH47">
        <v>0</v>
      </c>
    </row>
    <row r="48" spans="1:61" x14ac:dyDescent="0.3">
      <c r="A48">
        <v>3004</v>
      </c>
      <c r="B48" t="s">
        <v>4665</v>
      </c>
      <c r="C48" t="s">
        <v>1008</v>
      </c>
      <c r="D48" t="s">
        <v>1008</v>
      </c>
      <c r="E48" t="s">
        <v>4666</v>
      </c>
      <c r="G48" t="s">
        <v>4485</v>
      </c>
      <c r="H48" t="s">
        <v>4667</v>
      </c>
      <c r="I48">
        <v>1</v>
      </c>
      <c r="J48">
        <v>3</v>
      </c>
      <c r="K48" t="s">
        <v>972</v>
      </c>
      <c r="L48">
        <v>5</v>
      </c>
      <c r="M48">
        <v>304</v>
      </c>
      <c r="N48" t="s">
        <v>973</v>
      </c>
      <c r="O48">
        <v>4</v>
      </c>
      <c r="P48">
        <v>0</v>
      </c>
      <c r="Q48">
        <v>3</v>
      </c>
      <c r="R48">
        <v>0</v>
      </c>
      <c r="S48">
        <v>1</v>
      </c>
      <c r="T48">
        <v>0</v>
      </c>
      <c r="U48">
        <v>0</v>
      </c>
      <c r="V48">
        <v>900523</v>
      </c>
      <c r="W48" t="s">
        <v>1806</v>
      </c>
      <c r="X48" t="s">
        <v>4499</v>
      </c>
      <c r="Y48" t="s">
        <v>328</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328</v>
      </c>
      <c r="AV48" t="s">
        <v>328</v>
      </c>
      <c r="AW48" t="s">
        <v>328</v>
      </c>
      <c r="AX48" t="s">
        <v>328</v>
      </c>
      <c r="AY48">
        <v>9</v>
      </c>
      <c r="AZ48">
        <v>3045</v>
      </c>
      <c r="BA48">
        <v>17</v>
      </c>
      <c r="BB48" t="s">
        <v>4492</v>
      </c>
      <c r="BC48" t="s">
        <v>1806</v>
      </c>
      <c r="BD48">
        <v>910006</v>
      </c>
      <c r="BE48" t="s">
        <v>4493</v>
      </c>
      <c r="BF48" t="s">
        <v>4494</v>
      </c>
      <c r="BG48">
        <v>100</v>
      </c>
      <c r="BH48">
        <v>0</v>
      </c>
    </row>
    <row r="49" spans="1:60" x14ac:dyDescent="0.3">
      <c r="A49">
        <v>3009</v>
      </c>
      <c r="B49" t="s">
        <v>4668</v>
      </c>
      <c r="C49" t="s">
        <v>1013</v>
      </c>
      <c r="D49" t="s">
        <v>1013</v>
      </c>
      <c r="E49" t="s">
        <v>4669</v>
      </c>
      <c r="G49" t="s">
        <v>4485</v>
      </c>
      <c r="H49" t="s">
        <v>4670</v>
      </c>
      <c r="I49">
        <v>1</v>
      </c>
      <c r="J49">
        <v>3</v>
      </c>
      <c r="K49" t="s">
        <v>1014</v>
      </c>
      <c r="L49">
        <v>5</v>
      </c>
      <c r="M49">
        <v>309</v>
      </c>
      <c r="N49" t="s">
        <v>973</v>
      </c>
      <c r="O49">
        <v>4</v>
      </c>
      <c r="P49">
        <v>0</v>
      </c>
      <c r="Q49">
        <v>3</v>
      </c>
      <c r="R49">
        <v>0</v>
      </c>
      <c r="S49">
        <v>1</v>
      </c>
      <c r="T49">
        <v>0</v>
      </c>
      <c r="U49">
        <v>0</v>
      </c>
      <c r="V49">
        <v>900741</v>
      </c>
      <c r="W49" t="s">
        <v>1806</v>
      </c>
      <c r="X49" t="s">
        <v>4499</v>
      </c>
      <c r="Y49" t="s">
        <v>328</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328</v>
      </c>
      <c r="AV49" t="s">
        <v>328</v>
      </c>
      <c r="AW49" t="s">
        <v>328</v>
      </c>
      <c r="AX49" t="s">
        <v>328</v>
      </c>
      <c r="AY49">
        <v>13</v>
      </c>
      <c r="AZ49">
        <v>3045</v>
      </c>
      <c r="BA49">
        <v>21</v>
      </c>
      <c r="BB49" t="s">
        <v>4492</v>
      </c>
      <c r="BC49" t="s">
        <v>1806</v>
      </c>
      <c r="BD49">
        <v>910009</v>
      </c>
      <c r="BE49" t="s">
        <v>4493</v>
      </c>
      <c r="BF49" t="s">
        <v>4494</v>
      </c>
      <c r="BG49">
        <v>80</v>
      </c>
      <c r="BH49">
        <v>0</v>
      </c>
    </row>
    <row r="50" spans="1:60" x14ac:dyDescent="0.3">
      <c r="A50">
        <v>3008</v>
      </c>
      <c r="B50" t="s">
        <v>4671</v>
      </c>
      <c r="C50" t="s">
        <v>1012</v>
      </c>
      <c r="D50" t="s">
        <v>1012</v>
      </c>
      <c r="E50" t="s">
        <v>4672</v>
      </c>
      <c r="G50" t="s">
        <v>4485</v>
      </c>
      <c r="H50" t="s">
        <v>4673</v>
      </c>
      <c r="I50">
        <v>1</v>
      </c>
      <c r="J50">
        <v>3</v>
      </c>
      <c r="K50" t="s">
        <v>1001</v>
      </c>
      <c r="L50">
        <v>5</v>
      </c>
      <c r="M50">
        <v>308</v>
      </c>
      <c r="N50" t="s">
        <v>973</v>
      </c>
      <c r="O50">
        <v>4</v>
      </c>
      <c r="P50">
        <v>0</v>
      </c>
      <c r="Q50">
        <v>3</v>
      </c>
      <c r="R50">
        <v>0</v>
      </c>
      <c r="S50">
        <v>1</v>
      </c>
      <c r="T50">
        <v>0</v>
      </c>
      <c r="U50">
        <v>0</v>
      </c>
      <c r="V50">
        <v>900575</v>
      </c>
      <c r="W50" t="s">
        <v>1806</v>
      </c>
      <c r="X50" t="s">
        <v>4499</v>
      </c>
      <c r="Y50" t="s">
        <v>4674</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328</v>
      </c>
      <c r="AV50" t="s">
        <v>328</v>
      </c>
      <c r="AW50" t="s">
        <v>328</v>
      </c>
      <c r="AX50" t="s">
        <v>328</v>
      </c>
      <c r="AY50">
        <v>2</v>
      </c>
      <c r="AZ50">
        <v>3045</v>
      </c>
      <c r="BA50">
        <v>21</v>
      </c>
      <c r="BB50" t="s">
        <v>4492</v>
      </c>
      <c r="BC50" t="s">
        <v>1806</v>
      </c>
      <c r="BD50">
        <v>910001</v>
      </c>
      <c r="BE50" t="s">
        <v>4493</v>
      </c>
      <c r="BF50" t="s">
        <v>4494</v>
      </c>
      <c r="BG50">
        <v>80</v>
      </c>
      <c r="BH50">
        <v>0</v>
      </c>
    </row>
    <row r="51" spans="1:60" x14ac:dyDescent="0.3">
      <c r="A51">
        <v>3001</v>
      </c>
      <c r="B51" t="s">
        <v>4675</v>
      </c>
      <c r="C51" t="s">
        <v>1005</v>
      </c>
      <c r="D51" t="s">
        <v>1005</v>
      </c>
      <c r="E51" t="s">
        <v>4676</v>
      </c>
      <c r="G51" t="s">
        <v>4485</v>
      </c>
      <c r="H51" t="s">
        <v>4677</v>
      </c>
      <c r="I51">
        <v>1</v>
      </c>
      <c r="J51">
        <v>3</v>
      </c>
      <c r="K51" t="s">
        <v>972</v>
      </c>
      <c r="L51">
        <v>5</v>
      </c>
      <c r="M51">
        <v>301</v>
      </c>
      <c r="N51" t="s">
        <v>973</v>
      </c>
      <c r="O51">
        <v>4</v>
      </c>
      <c r="P51">
        <v>0</v>
      </c>
      <c r="Q51">
        <v>3</v>
      </c>
      <c r="R51">
        <v>0</v>
      </c>
      <c r="S51">
        <v>1</v>
      </c>
      <c r="T51">
        <v>0</v>
      </c>
      <c r="U51">
        <v>0</v>
      </c>
      <c r="V51">
        <v>600501</v>
      </c>
      <c r="W51" t="s">
        <v>1806</v>
      </c>
      <c r="X51" t="s">
        <v>4499</v>
      </c>
      <c r="Y51" t="s">
        <v>4678</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328</v>
      </c>
      <c r="AV51" t="s">
        <v>328</v>
      </c>
      <c r="AW51" t="s">
        <v>328</v>
      </c>
      <c r="AX51" t="s">
        <v>328</v>
      </c>
      <c r="AY51">
        <v>4</v>
      </c>
      <c r="AZ51">
        <v>3045</v>
      </c>
      <c r="BA51">
        <v>14</v>
      </c>
      <c r="BB51" t="s">
        <v>4492</v>
      </c>
      <c r="BC51" t="s">
        <v>1806</v>
      </c>
      <c r="BD51">
        <v>910004</v>
      </c>
      <c r="BE51" t="s">
        <v>4493</v>
      </c>
      <c r="BF51" t="s">
        <v>4494</v>
      </c>
      <c r="BG51">
        <v>95</v>
      </c>
      <c r="BH51">
        <v>0</v>
      </c>
    </row>
    <row r="52" spans="1:60" x14ac:dyDescent="0.3">
      <c r="A52">
        <v>3007</v>
      </c>
      <c r="B52" t="s">
        <v>4679</v>
      </c>
      <c r="C52" t="s">
        <v>1011</v>
      </c>
      <c r="D52" t="s">
        <v>1011</v>
      </c>
      <c r="E52" t="s">
        <v>4680</v>
      </c>
      <c r="G52" t="s">
        <v>4485</v>
      </c>
      <c r="H52" t="s">
        <v>4681</v>
      </c>
      <c r="I52">
        <v>1</v>
      </c>
      <c r="J52">
        <v>3</v>
      </c>
      <c r="K52" t="s">
        <v>1001</v>
      </c>
      <c r="L52">
        <v>5</v>
      </c>
      <c r="M52">
        <v>307</v>
      </c>
      <c r="N52" t="s">
        <v>973</v>
      </c>
      <c r="O52">
        <v>4</v>
      </c>
      <c r="P52">
        <v>0</v>
      </c>
      <c r="Q52">
        <v>3</v>
      </c>
      <c r="R52">
        <v>0</v>
      </c>
      <c r="S52">
        <v>1</v>
      </c>
      <c r="T52">
        <v>0</v>
      </c>
      <c r="U52">
        <v>0</v>
      </c>
      <c r="V52">
        <v>900573</v>
      </c>
      <c r="W52" t="s">
        <v>1806</v>
      </c>
      <c r="X52" t="s">
        <v>4499</v>
      </c>
      <c r="Y52" t="s">
        <v>328</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328</v>
      </c>
      <c r="AV52" t="s">
        <v>328</v>
      </c>
      <c r="AW52" t="s">
        <v>328</v>
      </c>
      <c r="AX52" t="s">
        <v>328</v>
      </c>
      <c r="AY52">
        <v>3</v>
      </c>
      <c r="AZ52">
        <v>3045</v>
      </c>
      <c r="BA52">
        <v>20</v>
      </c>
      <c r="BB52" t="s">
        <v>4492</v>
      </c>
      <c r="BC52" t="s">
        <v>1806</v>
      </c>
      <c r="BD52">
        <v>910002</v>
      </c>
      <c r="BE52" t="s">
        <v>4493</v>
      </c>
      <c r="BF52" t="s">
        <v>4494</v>
      </c>
      <c r="BG52">
        <v>80</v>
      </c>
      <c r="BH52">
        <v>0</v>
      </c>
    </row>
    <row r="53" spans="1:60" x14ac:dyDescent="0.3">
      <c r="A53">
        <v>3005</v>
      </c>
      <c r="B53" t="s">
        <v>4682</v>
      </c>
      <c r="C53" t="s">
        <v>1009</v>
      </c>
      <c r="D53" t="s">
        <v>1009</v>
      </c>
      <c r="E53" t="s">
        <v>4683</v>
      </c>
      <c r="G53" t="s">
        <v>4485</v>
      </c>
      <c r="H53" t="s">
        <v>4684</v>
      </c>
      <c r="I53">
        <v>1</v>
      </c>
      <c r="J53">
        <v>3</v>
      </c>
      <c r="K53" t="s">
        <v>972</v>
      </c>
      <c r="L53">
        <v>5</v>
      </c>
      <c r="M53">
        <v>305</v>
      </c>
      <c r="N53" t="s">
        <v>973</v>
      </c>
      <c r="O53">
        <v>4</v>
      </c>
      <c r="P53">
        <v>0</v>
      </c>
      <c r="Q53">
        <v>3</v>
      </c>
      <c r="R53">
        <v>0</v>
      </c>
      <c r="S53">
        <v>1</v>
      </c>
      <c r="T53">
        <v>0</v>
      </c>
      <c r="U53">
        <v>0</v>
      </c>
      <c r="V53">
        <v>900571</v>
      </c>
      <c r="W53" t="s">
        <v>1806</v>
      </c>
      <c r="X53" t="s">
        <v>4499</v>
      </c>
      <c r="Y53" t="s">
        <v>4685</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328</v>
      </c>
      <c r="AV53" t="s">
        <v>328</v>
      </c>
      <c r="AW53" t="s">
        <v>328</v>
      </c>
      <c r="AX53" t="s">
        <v>328</v>
      </c>
      <c r="AY53">
        <v>29</v>
      </c>
      <c r="AZ53">
        <v>3045</v>
      </c>
      <c r="BA53">
        <v>18</v>
      </c>
      <c r="BB53" t="s">
        <v>4492</v>
      </c>
      <c r="BC53" t="s">
        <v>1806</v>
      </c>
      <c r="BD53">
        <v>910012</v>
      </c>
      <c r="BE53" t="s">
        <v>4493</v>
      </c>
      <c r="BF53" t="s">
        <v>4494</v>
      </c>
      <c r="BG53">
        <v>95</v>
      </c>
      <c r="BH53">
        <v>0</v>
      </c>
    </row>
    <row r="54" spans="1:60" x14ac:dyDescent="0.3">
      <c r="A54">
        <v>3002</v>
      </c>
      <c r="B54" t="s">
        <v>4686</v>
      </c>
      <c r="C54" t="s">
        <v>1006</v>
      </c>
      <c r="D54" t="s">
        <v>1006</v>
      </c>
      <c r="E54" t="s">
        <v>4687</v>
      </c>
      <c r="G54" t="s">
        <v>4485</v>
      </c>
      <c r="H54" t="s">
        <v>4688</v>
      </c>
      <c r="I54">
        <v>1</v>
      </c>
      <c r="J54">
        <v>3</v>
      </c>
      <c r="K54" t="s">
        <v>972</v>
      </c>
      <c r="L54">
        <v>5</v>
      </c>
      <c r="M54">
        <v>302</v>
      </c>
      <c r="N54" t="s">
        <v>973</v>
      </c>
      <c r="O54">
        <v>4</v>
      </c>
      <c r="P54">
        <v>0</v>
      </c>
      <c r="Q54">
        <v>3</v>
      </c>
      <c r="R54">
        <v>0</v>
      </c>
      <c r="S54">
        <v>1</v>
      </c>
      <c r="T54">
        <v>0</v>
      </c>
      <c r="U54">
        <v>0</v>
      </c>
      <c r="V54">
        <v>600601</v>
      </c>
      <c r="W54" t="s">
        <v>1806</v>
      </c>
      <c r="X54" t="s">
        <v>4499</v>
      </c>
      <c r="Y54" t="s">
        <v>328</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328</v>
      </c>
      <c r="AV54" t="s">
        <v>328</v>
      </c>
      <c r="AW54" t="s">
        <v>328</v>
      </c>
      <c r="AX54" t="s">
        <v>328</v>
      </c>
      <c r="AY54">
        <v>7</v>
      </c>
      <c r="AZ54">
        <v>3045</v>
      </c>
      <c r="BA54">
        <v>15</v>
      </c>
      <c r="BB54" t="s">
        <v>4492</v>
      </c>
      <c r="BC54" t="s">
        <v>1806</v>
      </c>
      <c r="BD54">
        <v>910005</v>
      </c>
      <c r="BE54" t="s">
        <v>4493</v>
      </c>
      <c r="BF54" t="s">
        <v>4494</v>
      </c>
      <c r="BG54">
        <v>100</v>
      </c>
      <c r="BH54">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8722</v>
      </c>
      <c r="B1" s="10" t="s">
        <v>8</v>
      </c>
      <c r="C1" s="10">
        <v>3</v>
      </c>
      <c r="D1" s="10">
        <v>4</v>
      </c>
      <c r="E1" s="10">
        <v>5</v>
      </c>
      <c r="G1" s="10" t="s">
        <v>8725</v>
      </c>
      <c r="H1" t="s">
        <v>8250</v>
      </c>
      <c r="I1" t="s">
        <v>8724</v>
      </c>
      <c r="J1" t="s">
        <v>8723</v>
      </c>
      <c r="K1" t="s">
        <v>8251</v>
      </c>
      <c r="L1" t="s">
        <v>8252</v>
      </c>
      <c r="N1" s="10" t="s">
        <v>8726</v>
      </c>
      <c r="O1" t="s">
        <v>8723</v>
      </c>
      <c r="P1" t="s">
        <v>8251</v>
      </c>
      <c r="Q1" t="s">
        <v>8251</v>
      </c>
      <c r="R1" t="s">
        <v>8724</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8857</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8858</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8859</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8860</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8861</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8843</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8845</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8846</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8842</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8847</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8844</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8849</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8852</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8848</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8851</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8855</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8854</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8850</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8856</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8853</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8832</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8833</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8834</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8831</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8830</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8840</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8841</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8839</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8836</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8837</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8838</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8835</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1" max="1" width="9.109375"/>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Data'!B:B,MATCH(Main!$B125,'Strat Buff Data'!$A:$A,0)),"N/A")</f>
        <v>N/A</v>
      </c>
      <c r="H9" s="119" t="str">
        <f>IFERROR(INDEX('Strat Buff Data'!C:C,MATCH(Main!$B125,'Strat Buff Data'!$A:$A,0)),"N/A")</f>
        <v>N/A</v>
      </c>
      <c r="J9" t="s">
        <v>6599</v>
      </c>
      <c r="K9" s="1"/>
      <c r="L9" s="118" t="str">
        <f>IFERROR(INDEX('Strat Buff Data'!F:F,MATCH(Main!$D125,'Strat Buff Data'!$E:$E,0)),"N/A")</f>
        <v>N/A</v>
      </c>
      <c r="M9" s="119" t="str">
        <f>IFERROR(INDEX('Strat Buff Data'!G:G,MATCH(Main!$D125,'Strat Buff Data'!$E:$E,0)),"N/A")</f>
        <v>N/A</v>
      </c>
    </row>
    <row r="10" spans="2:13" x14ac:dyDescent="0.3">
      <c r="B10" t="s">
        <v>947</v>
      </c>
      <c r="C10" t="s">
        <v>6337</v>
      </c>
      <c r="G10" s="118" t="str">
        <f>IFERROR(INDEX('Strat Buff Data'!B:B,MATCH(Main!$B126,'Strat Buff Data'!$A:$A,0)),"N/A")</f>
        <v>N/A</v>
      </c>
      <c r="H10" s="119" t="str">
        <f>IFERROR(INDEX('Strat Buff Data'!C:C,MATCH(Main!$B126,'Strat Buff Data'!$A:$A,0)),"N/A")</f>
        <v>N/A</v>
      </c>
      <c r="J10" t="s">
        <v>6600</v>
      </c>
      <c r="K10" s="1"/>
      <c r="L10" s="118" t="str">
        <f>IFERROR(INDEX('Strat Buff Data'!F:F,MATCH(Main!$D126,'Strat Buff Data'!$E:$E,0)),"N/A")</f>
        <v>N/A</v>
      </c>
      <c r="M10" s="119" t="str">
        <f>IFERROR(INDEX('Strat Buff Data'!G:G,MATCH(Main!$D126,'Strat Buff Data'!$E:$E,0)),"N/A")</f>
        <v>N/A</v>
      </c>
    </row>
    <row r="11" spans="2:13" x14ac:dyDescent="0.3">
      <c r="B11" t="s">
        <v>948</v>
      </c>
      <c r="C11" t="s">
        <v>6338</v>
      </c>
      <c r="G11" s="120" t="str">
        <f>IFERROR(INDEX('Strat Buff Data'!B:B,MATCH(Main!$B127,'Strat Buff Data'!$A:$A,0)),"N/A")</f>
        <v>N/A</v>
      </c>
      <c r="H11" s="121" t="str">
        <f>IFERROR(INDEX('Strat Buff Data'!C:C,MATCH(Main!$B127,'Strat Buff Data'!$A:$A,0)),"N/A")</f>
        <v>N/A</v>
      </c>
      <c r="J11" t="s">
        <v>6601</v>
      </c>
      <c r="L11" s="120" t="str">
        <f>IFERROR(INDEX('Strat Buff Data'!F:F,MATCH(Main!$D127,'Strat Buff Data'!$E:$E,0)),"N/A")</f>
        <v>N/A</v>
      </c>
      <c r="M11" s="121" t="str">
        <f>IFERROR(INDEX('Strat Buff Data'!G:G,MATCH(Main!$D127,'Strat Buff Data'!$E:$E,0)),"N/A")</f>
        <v>N/A</v>
      </c>
    </row>
    <row r="13" spans="2:13" x14ac:dyDescent="0.3">
      <c r="B13" s="10" t="s">
        <v>6596</v>
      </c>
    </row>
    <row r="14" spans="2:13" x14ac:dyDescent="0.3">
      <c r="B14" t="s">
        <v>949</v>
      </c>
      <c r="C14" t="str">
        <f>INDEX($C$8:$C$11,COUNTA(Main!$B$125:$B$127)+1)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INDEX($J$8:$J$11,COUNTA(Main!$D$125:$D$127)+1)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INDEX($F$28:$F$31,COUNTA(Main!$F$125:$F$127)+1)</f>
        <v>"building_info": "{}",</v>
      </c>
      <c r="F28" t="s">
        <v>7095</v>
      </c>
    </row>
    <row r="29" spans="2:11" x14ac:dyDescent="0.3">
      <c r="B29" s="9" t="s">
        <v>7096</v>
      </c>
      <c r="C29" t="str">
        <f>SUBSTITUTE(SUBSTITUTE(C28,"building1",Main!F125),"spot1",Main!G125)</f>
        <v>"building_info": "{}",</v>
      </c>
      <c r="F29" s="9" t="s">
        <v>7099</v>
      </c>
    </row>
    <row r="30" spans="2:11" x14ac:dyDescent="0.3">
      <c r="B30" s="9" t="s">
        <v>7097</v>
      </c>
      <c r="C30" t="str">
        <f>SUBSTITUTE(SUBSTITUTE(C29,"building2",Main!F126),"spot2",Main!G126)</f>
        <v>"building_info": "{}",</v>
      </c>
      <c r="F30" s="9" t="s">
        <v>7100</v>
      </c>
    </row>
    <row r="31" spans="2:11" x14ac:dyDescent="0.3">
      <c r="B31" s="9" t="s">
        <v>7098</v>
      </c>
      <c r="C31" t="str">
        <f>SUBSTITUTE(SUBSTITUTE(C30,"building3",Main!F127),"spot3",Main!G127)</f>
        <v>"building_info": "{}",</v>
      </c>
      <c r="F31" s="9" t="s">
        <v>7101</v>
      </c>
    </row>
    <row r="33" spans="2:6" x14ac:dyDescent="0.3">
      <c r="B33" s="84" t="s">
        <v>8549</v>
      </c>
    </row>
    <row r="34" spans="2:6" x14ac:dyDescent="0.3">
      <c r="B34" s="9" t="s">
        <v>949</v>
      </c>
      <c r="C34" t="str">
        <f>INDEX($F$34:$F$37,COUNTA(Main!$H$125:$H$127)+1)</f>
        <v>"ally_instance_info": "[]",</v>
      </c>
      <c r="F34" t="s">
        <v>8553</v>
      </c>
    </row>
    <row r="35" spans="2:6" x14ac:dyDescent="0.3">
      <c r="B35" s="9" t="s">
        <v>8550</v>
      </c>
      <c r="C35" t="str">
        <f>SUBSTITUTE(C34,"ally1",Main!H125)</f>
        <v>"ally_instance_info": "[]",</v>
      </c>
      <c r="F35" t="s">
        <v>8554</v>
      </c>
    </row>
    <row r="36" spans="2:6" x14ac:dyDescent="0.3">
      <c r="B36" s="9" t="s">
        <v>8551</v>
      </c>
      <c r="C36" t="str">
        <f>SUBSTITUTE(C35,"ally2",Main!H126)</f>
        <v>"ally_instance_info": "[]",</v>
      </c>
      <c r="F36" t="s">
        <v>8555</v>
      </c>
    </row>
    <row r="37" spans="2:6" x14ac:dyDescent="0.3">
      <c r="B37" s="9" t="s">
        <v>8552</v>
      </c>
      <c r="C37" t="str">
        <f>SUBSTITUTE(C36,"ally3",Main!H127)</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C:\Users\danny\Documents\GitHub\GFLBattleSim-JSONGenerator\Preset\battle_day\mission_act_info.json</v>
      </c>
      <c r="D49" t="s">
        <v>6563</v>
      </c>
      <c r="E49" s="130" t="str">
        <f>"Preset\"&amp;IF(DayNight="Day","battle_day\","battle_night_new\")&amp;"mission_act_info.json"</f>
        <v>Preset\battle_day\mission_act_info.json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Q1" workbookViewId="0">
      <pane ySplit="1" topLeftCell="A2" activePane="bottomLeft" state="frozen"/>
      <selection activeCell="AV2" sqref="AV2"/>
      <selection pane="bottomLeft" activeCell="AV2" sqref="AV2"/>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8595</v>
      </c>
      <c r="P2" s="9" t="s">
        <v>174</v>
      </c>
      <c r="Q2" t="s">
        <v>6759</v>
      </c>
      <c r="R2" s="9" t="s">
        <v>1183</v>
      </c>
      <c r="S2" s="9" t="s">
        <v>138</v>
      </c>
      <c r="T2" s="9" t="s">
        <v>716</v>
      </c>
      <c r="U2" s="9" t="s">
        <v>837</v>
      </c>
      <c r="V2" t="s">
        <v>5745</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100</v>
      </c>
    </row>
    <row r="3" spans="1:73" x14ac:dyDescent="0.3">
      <c r="A3" s="9">
        <v>3</v>
      </c>
      <c r="B3" t="s">
        <v>7</v>
      </c>
      <c r="C3" s="9" t="s">
        <v>1173</v>
      </c>
      <c r="D3" s="9" t="s">
        <v>72</v>
      </c>
      <c r="E3" s="9" t="s">
        <v>1726</v>
      </c>
      <c r="F3" s="9" t="s">
        <v>195</v>
      </c>
      <c r="G3" t="s">
        <v>8627</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5729</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3">
      <c r="A4" s="9">
        <v>4</v>
      </c>
      <c r="B4" t="s">
        <v>6</v>
      </c>
      <c r="C4" s="9" t="s">
        <v>65</v>
      </c>
      <c r="D4" s="9" t="s">
        <v>177</v>
      </c>
      <c r="E4" s="9" t="s">
        <v>815</v>
      </c>
      <c r="F4" t="s">
        <v>8897</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s="9" t="s">
        <v>1447</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258</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3">
      <c r="A6" s="9">
        <v>6</v>
      </c>
      <c r="B6" t="s">
        <v>4</v>
      </c>
      <c r="C6" s="9" t="s">
        <v>1618</v>
      </c>
      <c r="D6" s="9" t="s">
        <v>1644</v>
      </c>
      <c r="E6" s="9" t="s">
        <v>192</v>
      </c>
      <c r="F6" s="9" t="s">
        <v>161</v>
      </c>
      <c r="H6" s="9" t="s">
        <v>80</v>
      </c>
      <c r="I6" s="9" t="s">
        <v>1609</v>
      </c>
      <c r="J6" t="s">
        <v>8626</v>
      </c>
      <c r="K6" s="9" t="s">
        <v>1641</v>
      </c>
      <c r="L6" t="s">
        <v>8747</v>
      </c>
      <c r="M6" s="9" t="s">
        <v>97</v>
      </c>
      <c r="N6" s="9" t="s">
        <v>86</v>
      </c>
      <c r="O6" s="9" t="s">
        <v>191</v>
      </c>
      <c r="P6" s="9" t="s">
        <v>171</v>
      </c>
      <c r="R6" s="9" t="s">
        <v>744</v>
      </c>
      <c r="S6" s="9" t="s">
        <v>5490</v>
      </c>
      <c r="T6" s="9" t="s">
        <v>1708</v>
      </c>
      <c r="U6" s="9" t="s">
        <v>1689</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8721</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8691</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3">
      <c r="A18" s="9"/>
      <c r="C18" s="9"/>
      <c r="D18" s="9" t="s">
        <v>1650</v>
      </c>
      <c r="E18" s="9" t="s">
        <v>6466</v>
      </c>
      <c r="F18" t="s">
        <v>6642</v>
      </c>
      <c r="G18" s="9"/>
      <c r="I18" s="9" t="s">
        <v>181</v>
      </c>
      <c r="J18" t="s">
        <v>8081</v>
      </c>
      <c r="K18" s="9" t="s">
        <v>8882</v>
      </c>
      <c r="N18" s="9" t="s">
        <v>1656</v>
      </c>
      <c r="O18" s="9" t="s">
        <v>87</v>
      </c>
      <c r="P18" s="9" t="s">
        <v>201</v>
      </c>
      <c r="S18" s="9" t="s">
        <v>796</v>
      </c>
      <c r="T18" s="9" t="s">
        <v>1427</v>
      </c>
      <c r="U18" t="s">
        <v>8601</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8660</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3">
      <c r="A20" s="9"/>
      <c r="C20" s="9"/>
      <c r="D20" s="9" t="s">
        <v>224</v>
      </c>
      <c r="E20" s="9" t="s">
        <v>802</v>
      </c>
      <c r="F20" t="s">
        <v>8652</v>
      </c>
      <c r="G20" s="9"/>
      <c r="I20" s="9" t="s">
        <v>1622</v>
      </c>
      <c r="J20" s="9" t="s">
        <v>225</v>
      </c>
      <c r="K20" s="9" t="s">
        <v>1645</v>
      </c>
      <c r="N20" s="9" t="s">
        <v>1603</v>
      </c>
      <c r="O20" s="9" t="s">
        <v>832</v>
      </c>
      <c r="P20" s="9" t="s">
        <v>132</v>
      </c>
      <c r="T20" s="9" t="s">
        <v>98</v>
      </c>
      <c r="U20" s="9" t="s">
        <v>124</v>
      </c>
      <c r="Z20" s="9" t="s">
        <v>1662</v>
      </c>
      <c r="AE20" s="9" t="s">
        <v>824</v>
      </c>
      <c r="AU20" t="s">
        <v>5669</v>
      </c>
      <c r="AV20" t="s">
        <v>5745</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3">
      <c r="A21" s="9"/>
      <c r="C21" s="9"/>
      <c r="D21" s="9" t="s">
        <v>73</v>
      </c>
      <c r="E21" s="9" t="s">
        <v>19</v>
      </c>
      <c r="F21" s="9" t="s">
        <v>193</v>
      </c>
      <c r="G21" s="9"/>
      <c r="J21" s="9" t="s">
        <v>1611</v>
      </c>
      <c r="K21" s="9" t="s">
        <v>1652</v>
      </c>
      <c r="N21" s="9" t="s">
        <v>119</v>
      </c>
      <c r="O21" s="9" t="s">
        <v>1680</v>
      </c>
      <c r="P21" t="s">
        <v>8890</v>
      </c>
      <c r="T21" s="9" t="s">
        <v>99</v>
      </c>
      <c r="U21" s="9" t="s">
        <v>1186</v>
      </c>
      <c r="Z21" s="9" t="s">
        <v>1677</v>
      </c>
      <c r="AE21" t="s">
        <v>6565</v>
      </c>
      <c r="AU21" t="s">
        <v>5668</v>
      </c>
      <c r="AV21" t="s">
        <v>707</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8499</v>
      </c>
      <c r="AU22" t="s">
        <v>6841</v>
      </c>
      <c r="AV22" t="s">
        <v>708</v>
      </c>
      <c r="AZ22" s="1" t="str">
        <f t="shared" si="2"/>
        <v>G11</v>
      </c>
      <c r="BA22" s="1" t="str">
        <f t="shared" si="3"/>
        <v>Noel</v>
      </c>
      <c r="BB22" s="1" t="str">
        <f t="shared" si="4"/>
        <v/>
      </c>
      <c r="BC22" s="1" t="str">
        <f t="shared" si="5"/>
        <v>Noel</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3">
      <c r="A23" s="9"/>
      <c r="C23" s="9"/>
      <c r="D23" s="9" t="s">
        <v>801</v>
      </c>
      <c r="E23" s="9" t="s">
        <v>1619</v>
      </c>
      <c r="F23" s="9" t="s">
        <v>8629</v>
      </c>
      <c r="J23" s="9" t="s">
        <v>5774</v>
      </c>
      <c r="K23" s="9" t="s">
        <v>141</v>
      </c>
      <c r="N23" s="9" t="s">
        <v>218</v>
      </c>
      <c r="O23" s="9" t="s">
        <v>1638</v>
      </c>
      <c r="P23" s="9" t="s">
        <v>1679</v>
      </c>
      <c r="T23" s="9" t="s">
        <v>795</v>
      </c>
      <c r="U23" s="9" t="s">
        <v>734</v>
      </c>
      <c r="Z23" t="s">
        <v>1690</v>
      </c>
      <c r="AE23" t="s">
        <v>8505</v>
      </c>
      <c r="AU23" t="s">
        <v>6935</v>
      </c>
      <c r="AV23" t="s">
        <v>709</v>
      </c>
      <c r="AZ23" s="1" t="str">
        <f t="shared" si="2"/>
        <v>G36Mod</v>
      </c>
      <c r="BA23" s="1" t="str">
        <f t="shared" si="3"/>
        <v>NZ75</v>
      </c>
      <c r="BB23" s="1" t="str">
        <f t="shared" si="4"/>
        <v/>
      </c>
      <c r="BC23" s="1" t="str">
        <f t="shared" si="5"/>
        <v>NZ75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7232</v>
      </c>
      <c r="AQ24" s="9"/>
      <c r="AU24" t="s">
        <v>6936</v>
      </c>
      <c r="AV24" t="s">
        <v>230</v>
      </c>
      <c r="AZ24" s="1" t="str">
        <f t="shared" si="2"/>
        <v>G41</v>
      </c>
      <c r="BA24" s="1" t="str">
        <f t="shared" si="3"/>
        <v>P2000</v>
      </c>
      <c r="BB24" s="1" t="str">
        <f t="shared" si="4"/>
        <v/>
      </c>
      <c r="BC24" s="1" t="str">
        <f t="shared" si="5"/>
        <v>P2000</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s="9" t="s">
        <v>249</v>
      </c>
      <c r="AQ25" s="9"/>
      <c r="AU25" t="s">
        <v>6937</v>
      </c>
      <c r="AV25" t="s">
        <v>737</v>
      </c>
      <c r="AZ25" s="1" t="str">
        <f t="shared" si="2"/>
        <v>Himeko</v>
      </c>
      <c r="BA25" s="1" t="str">
        <f t="shared" si="3"/>
        <v>P22</v>
      </c>
      <c r="BB25" s="1" t="str">
        <f t="shared" si="4"/>
        <v/>
      </c>
      <c r="BC25" s="1" t="str">
        <f t="shared" si="5"/>
        <v>P22</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3">
      <c r="A26" s="9"/>
      <c r="B26" s="9"/>
      <c r="C26" s="9"/>
      <c r="D26" s="9"/>
      <c r="E26" s="9" t="s">
        <v>6758</v>
      </c>
      <c r="F26" s="9" t="s">
        <v>186</v>
      </c>
      <c r="J26" s="9" t="s">
        <v>828</v>
      </c>
      <c r="K26" s="9" t="s">
        <v>1626</v>
      </c>
      <c r="O26" s="9" t="s">
        <v>242</v>
      </c>
      <c r="P26" t="s">
        <v>8002</v>
      </c>
      <c r="T26" s="9" t="s">
        <v>1648</v>
      </c>
      <c r="U26" t="s">
        <v>8021</v>
      </c>
      <c r="AE26" s="9" t="s">
        <v>733</v>
      </c>
      <c r="AQ26" s="9"/>
      <c r="AV26" t="s">
        <v>162</v>
      </c>
      <c r="AZ26" s="1" t="str">
        <f t="shared" si="2"/>
        <v>HK416</v>
      </c>
      <c r="BA26" s="1" t="str">
        <f t="shared" si="3"/>
        <v>PA15</v>
      </c>
      <c r="BB26" s="1" t="str">
        <f t="shared" si="4"/>
        <v/>
      </c>
      <c r="BC26" s="1" t="str">
        <f t="shared" si="5"/>
        <v>PA15</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3">
      <c r="A27" s="9"/>
      <c r="B27" s="9"/>
      <c r="C27" s="9"/>
      <c r="D27" s="9"/>
      <c r="E27" s="9" t="s">
        <v>7198</v>
      </c>
      <c r="F27" s="9" t="s">
        <v>64</v>
      </c>
      <c r="J27" s="9" t="s">
        <v>740</v>
      </c>
      <c r="K27" s="9" t="s">
        <v>5690</v>
      </c>
      <c r="O27" s="9" t="s">
        <v>829</v>
      </c>
      <c r="P27" s="9" t="s">
        <v>1654</v>
      </c>
      <c r="T27" s="9" t="s">
        <v>1615</v>
      </c>
      <c r="U27" s="9" t="s">
        <v>7008</v>
      </c>
      <c r="AQ27" s="9"/>
      <c r="AV27" t="s">
        <v>5729</v>
      </c>
      <c r="AZ27" s="1" t="str">
        <f t="shared" si="2"/>
        <v>HK433</v>
      </c>
      <c r="BA27" s="1" t="str">
        <f t="shared" si="3"/>
        <v>Px4 Storm</v>
      </c>
      <c r="BB27" s="1" t="str">
        <f t="shared" si="4"/>
        <v/>
      </c>
      <c r="BC27" s="1" t="str">
        <f t="shared" si="5"/>
        <v>Px4 Storm</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3">
      <c r="A28" s="9"/>
      <c r="B28" s="9"/>
      <c r="C28" s="9"/>
      <c r="D28" s="9"/>
      <c r="E28" s="9" t="s">
        <v>5491</v>
      </c>
      <c r="F28" t="s">
        <v>8964</v>
      </c>
      <c r="J28" s="9" t="s">
        <v>24</v>
      </c>
      <c r="K28" s="9" t="s">
        <v>127</v>
      </c>
      <c r="O28" s="9" t="s">
        <v>838</v>
      </c>
      <c r="P28" s="9" t="s">
        <v>207</v>
      </c>
      <c r="T28" s="9" t="s">
        <v>830</v>
      </c>
      <c r="U28" s="9" t="s">
        <v>188</v>
      </c>
      <c r="AV28" t="s">
        <v>251</v>
      </c>
      <c r="AZ28" s="1" t="str">
        <f t="shared" si="2"/>
        <v>Junko</v>
      </c>
      <c r="BA28" s="1" t="str">
        <f t="shared" si="3"/>
        <v>Python</v>
      </c>
      <c r="BB28" s="1" t="str">
        <f t="shared" si="4"/>
        <v/>
      </c>
      <c r="BC28" s="1" t="str">
        <f t="shared" si="5"/>
        <v>Python</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3">
      <c r="A29" s="9"/>
      <c r="C29" s="9"/>
      <c r="D29" s="9"/>
      <c r="E29" s="9"/>
      <c r="F29" t="s">
        <v>5673</v>
      </c>
      <c r="J29" s="9" t="s">
        <v>23</v>
      </c>
      <c r="K29" s="9" t="s">
        <v>76</v>
      </c>
      <c r="O29" s="9" t="s">
        <v>172</v>
      </c>
      <c r="P29" s="9" t="s">
        <v>248</v>
      </c>
      <c r="T29" s="9" t="s">
        <v>738</v>
      </c>
      <c r="U29" s="9" t="s">
        <v>168</v>
      </c>
      <c r="AV29" t="s">
        <v>137</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3">
      <c r="A30" s="9"/>
      <c r="C30" s="9"/>
      <c r="D30" s="9"/>
      <c r="E30" s="9"/>
      <c r="F30" s="9" t="s">
        <v>266</v>
      </c>
      <c r="J30" s="9" t="s">
        <v>123</v>
      </c>
      <c r="K30" s="9" t="s">
        <v>8746</v>
      </c>
      <c r="P30" t="s">
        <v>235</v>
      </c>
      <c r="T30" s="9" t="s">
        <v>6761</v>
      </c>
      <c r="U30" s="9" t="s">
        <v>1705</v>
      </c>
      <c r="AV30" t="s">
        <v>1625</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3">
      <c r="A31" s="9"/>
      <c r="C31" s="9"/>
      <c r="D31" s="9"/>
      <c r="E31" s="9"/>
      <c r="F31" s="9" t="s">
        <v>731</v>
      </c>
      <c r="J31" t="s">
        <v>5478</v>
      </c>
      <c r="K31" s="9" t="s">
        <v>8101</v>
      </c>
      <c r="P31" s="9" t="s">
        <v>817</v>
      </c>
      <c r="T31" s="9" t="s">
        <v>180</v>
      </c>
      <c r="U31" s="9" t="s">
        <v>256</v>
      </c>
      <c r="AV31" t="s">
        <v>101</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3">
      <c r="A32" s="9"/>
      <c r="C32" s="9"/>
      <c r="D32" s="9"/>
      <c r="E32" s="9"/>
      <c r="F32" s="9" t="s">
        <v>739</v>
      </c>
      <c r="K32" s="9" t="s">
        <v>264</v>
      </c>
      <c r="P32" s="9" t="s">
        <v>6897</v>
      </c>
      <c r="U32" s="9" t="s">
        <v>255</v>
      </c>
      <c r="AV32" t="s">
        <v>257</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6974</v>
      </c>
      <c r="K33" s="9" t="s">
        <v>263</v>
      </c>
      <c r="P33" s="9" t="s">
        <v>794</v>
      </c>
      <c r="U33" s="9" t="s">
        <v>179</v>
      </c>
      <c r="AV33" t="s">
        <v>74</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3">
      <c r="A34" s="9"/>
      <c r="C34" s="9"/>
      <c r="D34" s="9"/>
      <c r="E34" s="9"/>
      <c r="F34" s="9" t="s">
        <v>822</v>
      </c>
      <c r="K34" s="9" t="s">
        <v>79</v>
      </c>
      <c r="P34" s="9" t="s">
        <v>736</v>
      </c>
      <c r="U34" t="s">
        <v>1396</v>
      </c>
      <c r="AV34" t="s">
        <v>104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3">
      <c r="A35" s="9"/>
      <c r="C35" s="9"/>
      <c r="D35" s="9"/>
      <c r="E35" s="9"/>
      <c r="F35" s="9" t="s">
        <v>792</v>
      </c>
      <c r="K35" s="9" t="s">
        <v>816</v>
      </c>
      <c r="P35" s="9" t="s">
        <v>813</v>
      </c>
      <c r="U35" s="9" t="s">
        <v>1624</v>
      </c>
      <c r="AV35" t="s">
        <v>743</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3">
      <c r="A36" s="9"/>
      <c r="C36" s="9"/>
      <c r="D36" s="9"/>
      <c r="E36" s="9"/>
      <c r="F36" s="9" t="s">
        <v>835</v>
      </c>
      <c r="K36" s="9" t="s">
        <v>198</v>
      </c>
      <c r="P36" s="9" t="s">
        <v>1237</v>
      </c>
      <c r="U36" t="s">
        <v>5707</v>
      </c>
      <c r="AV36" t="s">
        <v>8720</v>
      </c>
      <c r="AZ36" s="1" t="str">
        <f t="shared" si="2"/>
        <v>OTs14</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3">
      <c r="A37" s="9"/>
      <c r="C37" s="9"/>
      <c r="D37" s="9"/>
      <c r="E37" s="9"/>
      <c r="P37" s="9" t="s">
        <v>1668</v>
      </c>
      <c r="U37" s="9" t="s">
        <v>790</v>
      </c>
      <c r="AV37" t="s">
        <v>3213</v>
      </c>
      <c r="AZ37" s="1" t="str">
        <f t="shared" si="2"/>
        <v>QBZ191</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3">
      <c r="A38" s="9"/>
      <c r="C38" s="9"/>
      <c r="D38" s="9"/>
      <c r="E38" s="9"/>
      <c r="P38" s="9" t="s">
        <v>95</v>
      </c>
      <c r="U38" s="9" t="s">
        <v>229</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3">
      <c r="A39" s="9"/>
      <c r="C39" s="9"/>
      <c r="D39" s="9"/>
      <c r="E39" s="9"/>
      <c r="P39" s="9" t="s">
        <v>928</v>
      </c>
      <c r="U39" t="s">
        <v>1754</v>
      </c>
      <c r="AV39" t="s">
        <v>745</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3">
      <c r="A40" s="9"/>
      <c r="C40" s="9"/>
      <c r="D40" s="9"/>
      <c r="E40" s="9"/>
      <c r="U40" s="9" t="s">
        <v>1669</v>
      </c>
      <c r="AV40" t="s">
        <v>793</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3">
      <c r="A41" s="9"/>
      <c r="C41" s="9"/>
      <c r="D41" s="9"/>
      <c r="E41" s="9"/>
      <c r="U41" s="9" t="s">
        <v>6905</v>
      </c>
      <c r="AV41" t="s">
        <v>747</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3">
      <c r="A42" s="9"/>
      <c r="C42" s="9"/>
      <c r="D42" s="9"/>
      <c r="U42" s="9" t="s">
        <v>6399</v>
      </c>
      <c r="AV42" t="s">
        <v>746</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3">
      <c r="A43" s="9"/>
      <c r="C43" s="9"/>
      <c r="D43" s="9"/>
      <c r="U43" s="9" t="s">
        <v>890</v>
      </c>
      <c r="AV43" t="s">
        <v>748</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3">
      <c r="A44" s="9"/>
      <c r="C44" s="9"/>
      <c r="D44" s="9"/>
      <c r="U44" s="9" t="s">
        <v>245</v>
      </c>
      <c r="AV44" t="s">
        <v>717</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3">
      <c r="A45" s="9"/>
      <c r="C45" s="9"/>
      <c r="D45" s="9"/>
      <c r="U45" s="9" t="s">
        <v>1682</v>
      </c>
      <c r="AV45" t="s">
        <v>1641</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3">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3">
      <c r="A47" s="9"/>
      <c r="C47" s="9"/>
      <c r="D47" s="9"/>
      <c r="U47" t="s">
        <v>1678</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3">
      <c r="A48" s="9"/>
      <c r="C48" s="9"/>
      <c r="D48" s="9"/>
      <c r="U48" t="s">
        <v>6762</v>
      </c>
      <c r="AV48" t="s">
        <v>735</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3">
      <c r="A49" s="9"/>
      <c r="C49" s="9"/>
      <c r="D49" s="9"/>
      <c r="U49" s="9" t="s">
        <v>791</v>
      </c>
      <c r="AV49" t="s">
        <v>1604</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3">
      <c r="A50" s="9"/>
      <c r="C50" s="9"/>
      <c r="D50" s="9"/>
      <c r="U50" s="9" t="s">
        <v>133</v>
      </c>
      <c r="AV50" t="s">
        <v>721</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3">
      <c r="A51" s="9"/>
      <c r="C51" s="9"/>
      <c r="D51" s="9"/>
      <c r="U51" s="9" t="s">
        <v>134</v>
      </c>
      <c r="AV51" t="s">
        <v>7167</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3">
      <c r="A52" s="9"/>
      <c r="C52" s="9"/>
      <c r="D52" s="9"/>
      <c r="U52" s="9" t="s">
        <v>806</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3">
      <c r="A53" s="9"/>
      <c r="C53" s="9"/>
      <c r="D53" s="9"/>
      <c r="U53" t="s">
        <v>7215</v>
      </c>
      <c r="AV53" t="s">
        <v>1637</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3">
      <c r="A54" s="9"/>
      <c r="C54" s="9"/>
      <c r="D54" s="9"/>
      <c r="U54" t="s">
        <v>5736</v>
      </c>
      <c r="AV54" t="s">
        <v>8601</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DSR50</v>
      </c>
      <c r="BP54" s="1" t="str">
        <f t="shared" si="18"/>
        <v/>
      </c>
      <c r="BQ54" s="1" t="str">
        <f t="shared" si="19"/>
        <v/>
      </c>
      <c r="BR54" s="1" t="str">
        <f t="shared" si="20"/>
        <v/>
      </c>
      <c r="BS54" s="1" t="str">
        <f t="shared" si="21"/>
        <v/>
      </c>
    </row>
    <row r="55" spans="1:73" x14ac:dyDescent="0.3">
      <c r="A55" s="9"/>
      <c r="C55" s="9"/>
      <c r="D55" s="9"/>
      <c r="U55" s="9" t="s">
        <v>169</v>
      </c>
      <c r="AV55" t="s">
        <v>8626</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EM2Mod</v>
      </c>
      <c r="BP55" s="1" t="str">
        <f t="shared" si="18"/>
        <v/>
      </c>
      <c r="BQ55" s="1" t="str">
        <f t="shared" si="19"/>
        <v/>
      </c>
      <c r="BR55" s="1" t="str">
        <f t="shared" si="20"/>
        <v/>
      </c>
      <c r="BS55" s="1" t="str">
        <f t="shared" si="21"/>
        <v/>
      </c>
    </row>
    <row r="56" spans="1:73" x14ac:dyDescent="0.3">
      <c r="A56" s="9"/>
      <c r="C56" s="9"/>
      <c r="D56" s="9"/>
      <c r="AV56" t="s">
        <v>3178</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 3Mod</v>
      </c>
      <c r="BP56" s="1" t="str">
        <f t="shared" si="18"/>
        <v/>
      </c>
      <c r="BQ56" s="1" t="str">
        <f t="shared" si="19"/>
        <v/>
      </c>
      <c r="BR56" s="1" t="str">
        <f t="shared" si="20"/>
        <v/>
      </c>
      <c r="BS56" s="1" t="str">
        <f t="shared" si="21"/>
        <v/>
      </c>
    </row>
    <row r="57" spans="1:73" x14ac:dyDescent="0.3">
      <c r="A57" s="9"/>
      <c r="C57" s="9"/>
      <c r="D57" s="9"/>
      <c r="AV57" t="s">
        <v>8660</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EVO3</v>
      </c>
      <c r="BP57" s="1" t="str">
        <f t="shared" si="18"/>
        <v/>
      </c>
      <c r="BQ57" s="1" t="str">
        <f t="shared" si="19"/>
        <v/>
      </c>
      <c r="BR57" s="1" t="str">
        <f t="shared" si="20"/>
        <v/>
      </c>
      <c r="BS57" s="1" t="str">
        <f t="shared" si="21"/>
        <v/>
      </c>
    </row>
    <row r="58" spans="1:73" x14ac:dyDescent="0.3">
      <c r="A58" s="9"/>
      <c r="C58" s="9"/>
      <c r="D58" s="9"/>
      <c r="AV58" t="s">
        <v>826</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Ezaki</v>
      </c>
      <c r="BP58" s="1" t="str">
        <f t="shared" si="18"/>
        <v/>
      </c>
      <c r="BQ58" s="1" t="str">
        <f t="shared" si="19"/>
        <v/>
      </c>
      <c r="BR58" s="1" t="str">
        <f t="shared" si="20"/>
        <v/>
      </c>
      <c r="BS58" s="1" t="str">
        <f t="shared" si="21"/>
        <v/>
      </c>
    </row>
    <row r="59" spans="1:73" x14ac:dyDescent="0.3">
      <c r="A59" s="9"/>
      <c r="C59" s="9"/>
      <c r="D59" s="9"/>
      <c r="AV59" t="s">
        <v>1183</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F1Mod</v>
      </c>
      <c r="BP59" s="1" t="str">
        <f t="shared" si="18"/>
        <v/>
      </c>
      <c r="BQ59" s="1" t="str">
        <f t="shared" si="19"/>
        <v/>
      </c>
      <c r="BR59" s="1" t="str">
        <f t="shared" si="20"/>
        <v/>
      </c>
      <c r="BS59" s="1" t="str">
        <f t="shared" si="21"/>
        <v/>
      </c>
    </row>
    <row r="60" spans="1:73" x14ac:dyDescent="0.3">
      <c r="A60" s="9"/>
      <c r="C60" s="9"/>
      <c r="D60" s="9"/>
      <c r="AV60" t="s">
        <v>718</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F2000</v>
      </c>
      <c r="BP60" s="1" t="str">
        <f t="shared" si="18"/>
        <v/>
      </c>
      <c r="BQ60" s="1" t="str">
        <f t="shared" si="19"/>
        <v/>
      </c>
      <c r="BR60" s="1" t="str">
        <f t="shared" si="20"/>
        <v/>
      </c>
      <c r="BS60" s="1" t="str">
        <f t="shared" si="21"/>
        <v/>
      </c>
    </row>
    <row r="61" spans="1:73" x14ac:dyDescent="0.3">
      <c r="A61" s="9"/>
      <c r="C61" s="9"/>
      <c r="D61" s="9"/>
      <c r="AV61" t="s">
        <v>8595</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Fail</v>
      </c>
      <c r="BP61" s="1" t="str">
        <f t="shared" si="18"/>
        <v/>
      </c>
      <c r="BQ61" s="1" t="str">
        <f t="shared" si="19"/>
        <v/>
      </c>
      <c r="BR61" s="1" t="str">
        <f t="shared" si="20"/>
        <v/>
      </c>
      <c r="BS61" s="1" t="str">
        <f t="shared" si="21"/>
        <v/>
      </c>
    </row>
    <row r="62" spans="1:73" x14ac:dyDescent="0.3">
      <c r="A62" s="9"/>
      <c r="C62" s="9"/>
      <c r="D62" s="9"/>
      <c r="AV62" t="s">
        <v>710</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FalconMod</v>
      </c>
      <c r="BP62" s="1" t="str">
        <f t="shared" si="18"/>
        <v/>
      </c>
      <c r="BQ62" s="1" t="str">
        <f t="shared" si="19"/>
        <v/>
      </c>
      <c r="BR62" s="1" t="str">
        <f t="shared" si="20"/>
        <v/>
      </c>
      <c r="BS62" s="1" t="str">
        <f t="shared" si="21"/>
        <v/>
      </c>
    </row>
    <row r="63" spans="1:73" x14ac:dyDescent="0.3">
      <c r="A63" s="9"/>
      <c r="C63" s="9"/>
      <c r="D63" s="9"/>
      <c r="AV63" t="s">
        <v>125</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FAMAS</v>
      </c>
      <c r="BP63" s="1" t="str">
        <f t="shared" si="18"/>
        <v/>
      </c>
      <c r="BQ63" s="1" t="str">
        <f t="shared" si="19"/>
        <v/>
      </c>
      <c r="BR63" s="1" t="str">
        <f t="shared" si="20"/>
        <v/>
      </c>
      <c r="BS63" s="1" t="str">
        <f t="shared" si="21"/>
        <v/>
      </c>
    </row>
    <row r="64" spans="1:73" x14ac:dyDescent="0.3">
      <c r="C64" s="9"/>
      <c r="D64" s="9"/>
      <c r="AV64" t="s">
        <v>1628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FG42</v>
      </c>
      <c r="BP64" s="1" t="str">
        <f t="shared" si="18"/>
        <v/>
      </c>
      <c r="BQ64" s="1" t="str">
        <f t="shared" si="19"/>
        <v/>
      </c>
      <c r="BR64" s="1" t="str">
        <f t="shared" si="20"/>
        <v/>
      </c>
      <c r="BS64" s="1" t="str">
        <f t="shared" si="21"/>
        <v/>
      </c>
    </row>
    <row r="65" spans="3:71" x14ac:dyDescent="0.3">
      <c r="C65" s="9"/>
      <c r="D65" s="9"/>
      <c r="AV65" t="s">
        <v>1417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Fiveseven</v>
      </c>
      <c r="BP65" s="1" t="str">
        <f t="shared" si="18"/>
        <v/>
      </c>
      <c r="BQ65" s="1" t="str">
        <f t="shared" si="19"/>
        <v/>
      </c>
      <c r="BR65" s="1" t="str">
        <f t="shared" si="20"/>
        <v/>
      </c>
      <c r="BS65" s="1" t="str">
        <f t="shared" si="21"/>
        <v/>
      </c>
    </row>
    <row r="66" spans="3:71" x14ac:dyDescent="0.3">
      <c r="C66" s="9"/>
      <c r="D66" s="9"/>
      <c r="AV66" t="s">
        <v>1636</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FN49Mod</v>
      </c>
      <c r="BP66" s="1" t="str">
        <f t="shared" si="18"/>
        <v/>
      </c>
      <c r="BQ66" s="1" t="str">
        <f t="shared" si="19"/>
        <v/>
      </c>
      <c r="BR66" s="1" t="str">
        <f t="shared" si="20"/>
        <v/>
      </c>
      <c r="BS66" s="1" t="str">
        <f t="shared" si="21"/>
        <v/>
      </c>
    </row>
    <row r="67" spans="3:71" x14ac:dyDescent="0.3">
      <c r="C67" s="9"/>
      <c r="D67" s="9"/>
      <c r="AV67" t="s">
        <v>1447</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FP6</v>
      </c>
      <c r="BP67" s="1" t="str">
        <f t="shared" si="18"/>
        <v/>
      </c>
      <c r="BQ67" s="1" t="str">
        <f t="shared" si="19"/>
        <v/>
      </c>
      <c r="BR67" s="1" t="str">
        <f t="shared" si="20"/>
        <v/>
      </c>
      <c r="BS67" s="1" t="str">
        <f t="shared" si="21"/>
        <v/>
      </c>
    </row>
    <row r="68" spans="3:71" x14ac:dyDescent="0.3">
      <c r="D68" s="9"/>
      <c r="AV68" t="s">
        <v>75</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G11Mod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1748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G17</v>
      </c>
      <c r="BP69" s="1" t="str">
        <f t="shared" si="38"/>
        <v/>
      </c>
      <c r="BQ69" s="1" t="str">
        <f t="shared" si="39"/>
        <v/>
      </c>
      <c r="BR69" s="1" t="str">
        <f t="shared" si="40"/>
        <v/>
      </c>
      <c r="BS69" s="1" t="str">
        <f t="shared" si="41"/>
        <v/>
      </c>
    </row>
    <row r="70" spans="3:71" x14ac:dyDescent="0.3">
      <c r="D70" s="9"/>
      <c r="AV70" t="s">
        <v>1429</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G36CMod</v>
      </c>
      <c r="BP70" s="1" t="str">
        <f t="shared" si="38"/>
        <v/>
      </c>
      <c r="BQ70" s="1" t="str">
        <f t="shared" si="39"/>
        <v/>
      </c>
      <c r="BR70" s="1" t="str">
        <f t="shared" si="40"/>
        <v/>
      </c>
      <c r="BS70" s="1" t="str">
        <f t="shared" si="41"/>
        <v/>
      </c>
    </row>
    <row r="71" spans="3:71" x14ac:dyDescent="0.3">
      <c r="AV71" t="s">
        <v>8703</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v>
      </c>
      <c r="BP71" s="1" t="str">
        <f t="shared" si="38"/>
        <v/>
      </c>
      <c r="BQ71" s="1" t="str">
        <f t="shared" si="39"/>
        <v/>
      </c>
      <c r="BR71" s="1" t="str">
        <f t="shared" si="40"/>
        <v/>
      </c>
      <c r="BS71" s="1" t="str">
        <f t="shared" si="41"/>
        <v/>
      </c>
    </row>
    <row r="72" spans="3:71" x14ac:dyDescent="0.3">
      <c r="AV72" t="s">
        <v>1427</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G36ModGZ</v>
      </c>
      <c r="BP72" s="1" t="str">
        <f t="shared" si="38"/>
        <v/>
      </c>
      <c r="BQ72" s="1" t="str">
        <f t="shared" si="39"/>
        <v/>
      </c>
      <c r="BR72" s="1" t="str">
        <f t="shared" si="40"/>
        <v/>
      </c>
      <c r="BS72" s="1" t="str">
        <f t="shared" si="41"/>
        <v/>
      </c>
    </row>
    <row r="73" spans="3:71" x14ac:dyDescent="0.3">
      <c r="AV73" t="s">
        <v>8544</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v>
      </c>
      <c r="BP73" s="1" t="str">
        <f t="shared" si="38"/>
        <v/>
      </c>
      <c r="BQ73" s="1" t="str">
        <f t="shared" si="39"/>
        <v/>
      </c>
      <c r="BR73" s="1" t="str">
        <f t="shared" si="40"/>
        <v/>
      </c>
      <c r="BS73" s="1" t="str">
        <f t="shared" si="41"/>
        <v/>
      </c>
    </row>
    <row r="74" spans="3:71" x14ac:dyDescent="0.3">
      <c r="AV74" t="s">
        <v>734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G3ModGZ</v>
      </c>
      <c r="BP74" s="1" t="str">
        <f t="shared" si="38"/>
        <v/>
      </c>
      <c r="BQ74" s="1" t="str">
        <f t="shared" si="39"/>
        <v/>
      </c>
      <c r="BR74" s="1" t="str">
        <f t="shared" si="40"/>
        <v/>
      </c>
      <c r="BS74" s="1" t="str">
        <f t="shared" si="41"/>
        <v/>
      </c>
    </row>
    <row r="75" spans="3:71" x14ac:dyDescent="0.3">
      <c r="AV75" t="s">
        <v>94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G41</v>
      </c>
      <c r="BP75" s="1" t="str">
        <f t="shared" si="38"/>
        <v/>
      </c>
      <c r="BQ75" s="1" t="str">
        <f t="shared" si="39"/>
        <v/>
      </c>
      <c r="BR75" s="1" t="str">
        <f t="shared" si="40"/>
        <v/>
      </c>
      <c r="BS75" s="1" t="str">
        <f t="shared" si="41"/>
        <v/>
      </c>
    </row>
    <row r="76" spans="3:71" x14ac:dyDescent="0.3">
      <c r="AV76" t="s">
        <v>831</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G43</v>
      </c>
      <c r="BP76" s="1" t="str">
        <f t="shared" si="38"/>
        <v/>
      </c>
      <c r="BQ76" s="1" t="str">
        <f t="shared" si="39"/>
        <v/>
      </c>
      <c r="BR76" s="1" t="str">
        <f t="shared" si="40"/>
        <v/>
      </c>
      <c r="BS76" s="1" t="str">
        <f t="shared" si="41"/>
        <v/>
      </c>
    </row>
    <row r="77" spans="3:71" x14ac:dyDescent="0.3">
      <c r="AV77" t="s">
        <v>1755</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Galil Mod</v>
      </c>
      <c r="BP77" s="1" t="str">
        <f t="shared" si="38"/>
        <v/>
      </c>
      <c r="BQ77" s="1" t="str">
        <f t="shared" si="39"/>
        <v/>
      </c>
      <c r="BR77" s="1" t="str">
        <f t="shared" si="40"/>
        <v/>
      </c>
      <c r="BS77" s="1" t="str">
        <f t="shared" si="41"/>
        <v/>
      </c>
    </row>
    <row r="78" spans="3:71" x14ac:dyDescent="0.3">
      <c r="AV78" t="s">
        <v>120</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Gepard M1Mod</v>
      </c>
      <c r="BP78" s="1" t="str">
        <f t="shared" si="38"/>
        <v/>
      </c>
      <c r="BQ78" s="1" t="str">
        <f t="shared" si="39"/>
        <v/>
      </c>
      <c r="BR78" s="1" t="str">
        <f t="shared" si="40"/>
        <v/>
      </c>
      <c r="BS78" s="1" t="str">
        <f t="shared" si="41"/>
        <v/>
      </c>
    </row>
    <row r="79" spans="3:71" x14ac:dyDescent="0.3">
      <c r="AV79" t="s">
        <v>1685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Grizzly</v>
      </c>
      <c r="BP79" s="1" t="str">
        <f t="shared" si="38"/>
        <v/>
      </c>
      <c r="BQ79" s="1" t="str">
        <f t="shared" si="39"/>
        <v/>
      </c>
      <c r="BR79" s="1" t="str">
        <f t="shared" si="40"/>
        <v/>
      </c>
      <c r="BS79" s="1" t="str">
        <f t="shared" si="41"/>
        <v/>
      </c>
    </row>
    <row r="80" spans="3:71" x14ac:dyDescent="0.3">
      <c r="AV80" t="s">
        <v>247</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GSh18Mod</v>
      </c>
      <c r="BP80" s="1" t="str">
        <f t="shared" si="38"/>
        <v/>
      </c>
      <c r="BQ80" s="1" t="str">
        <f t="shared" si="39"/>
        <v/>
      </c>
      <c r="BR80" s="1" t="str">
        <f t="shared" si="40"/>
        <v/>
      </c>
      <c r="BS80" s="1" t="str">
        <f t="shared" si="41"/>
        <v/>
      </c>
    </row>
    <row r="81" spans="48:71" x14ac:dyDescent="0.3">
      <c r="AV81" t="s">
        <v>206</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Henrietta</v>
      </c>
      <c r="BP81" s="1" t="str">
        <f t="shared" si="38"/>
        <v/>
      </c>
      <c r="BQ81" s="1" t="str">
        <f t="shared" si="39"/>
        <v/>
      </c>
      <c r="BR81" s="1" t="str">
        <f t="shared" si="40"/>
        <v/>
      </c>
      <c r="BS81" s="1" t="str">
        <f t="shared" si="41"/>
        <v/>
      </c>
    </row>
    <row r="82" spans="48:71" x14ac:dyDescent="0.3">
      <c r="AV82" t="s">
        <v>223</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HK33</v>
      </c>
      <c r="BP82" s="1" t="str">
        <f t="shared" si="38"/>
        <v/>
      </c>
      <c r="BQ82" s="1" t="str">
        <f t="shared" si="39"/>
        <v/>
      </c>
      <c r="BR82" s="1" t="str">
        <f t="shared" si="40"/>
        <v/>
      </c>
      <c r="BS82" s="1" t="str">
        <f t="shared" si="41"/>
        <v/>
      </c>
    </row>
    <row r="83" spans="48:71" x14ac:dyDescent="0.3">
      <c r="AV83" t="s">
        <v>258</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v>
      </c>
      <c r="BP83" s="1" t="str">
        <f t="shared" si="38"/>
        <v/>
      </c>
      <c r="BQ83" s="1" t="str">
        <f t="shared" si="39"/>
        <v/>
      </c>
      <c r="BR83" s="1" t="str">
        <f t="shared" si="40"/>
        <v/>
      </c>
      <c r="BS83" s="1" t="str">
        <f t="shared" si="41"/>
        <v/>
      </c>
    </row>
    <row r="84" spans="48:71" x14ac:dyDescent="0.3">
      <c r="AV84" t="s">
        <v>8118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HK416Mod</v>
      </c>
      <c r="BP84" s="1" t="str">
        <f t="shared" si="38"/>
        <v/>
      </c>
      <c r="BQ84" s="1" t="str">
        <f t="shared" si="39"/>
        <v/>
      </c>
      <c r="BR84" s="1" t="str">
        <f t="shared" si="40"/>
        <v/>
      </c>
      <c r="BS84" s="1" t="str">
        <f t="shared" si="41"/>
        <v/>
      </c>
    </row>
    <row r="85" spans="48:71" x14ac:dyDescent="0.3">
      <c r="AV85" t="s">
        <v>1719</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HK416ModGZ</v>
      </c>
      <c r="BP85" s="1" t="str">
        <f t="shared" si="38"/>
        <v/>
      </c>
      <c r="BQ85" s="1" t="str">
        <f t="shared" si="39"/>
        <v/>
      </c>
      <c r="BR85" s="1" t="str">
        <f t="shared" si="40"/>
        <v/>
      </c>
      <c r="BS85" s="1" t="str">
        <f t="shared" si="41"/>
        <v/>
      </c>
    </row>
    <row r="86" spans="48:71" x14ac:dyDescent="0.3">
      <c r="AV86" t="s">
        <v>261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Honey Badger</v>
      </c>
      <c r="BP86" s="1" t="str">
        <f t="shared" si="38"/>
        <v/>
      </c>
      <c r="BQ86" s="1" t="str">
        <f t="shared" si="39"/>
        <v/>
      </c>
      <c r="BR86" s="1" t="str">
        <f t="shared" si="40"/>
        <v/>
      </c>
      <c r="BS86" s="1" t="str">
        <f t="shared" si="41"/>
        <v/>
      </c>
    </row>
    <row r="87" spans="48:71" x14ac:dyDescent="0.3">
      <c r="AV87" t="s">
        <v>78</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IDWMod</v>
      </c>
      <c r="BP87" s="1" t="str">
        <f t="shared" si="38"/>
        <v/>
      </c>
      <c r="BQ87" s="1" t="str">
        <f t="shared" si="39"/>
        <v/>
      </c>
      <c r="BR87" s="1" t="str">
        <f t="shared" si="40"/>
        <v/>
      </c>
      <c r="BS87" s="1" t="str">
        <f t="shared" si="41"/>
        <v/>
      </c>
    </row>
    <row r="88" spans="48:71" x14ac:dyDescent="0.3">
      <c r="AV88" t="s">
        <v>1691</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Ingram</v>
      </c>
      <c r="BP88" s="1" t="str">
        <f t="shared" si="38"/>
        <v/>
      </c>
      <c r="BQ88" s="1" t="str">
        <f t="shared" si="39"/>
        <v/>
      </c>
      <c r="BR88" s="1" t="str">
        <f t="shared" si="40"/>
        <v/>
      </c>
      <c r="BS88" s="1" t="str">
        <f t="shared" si="41"/>
        <v/>
      </c>
    </row>
    <row r="89" spans="48:71" x14ac:dyDescent="0.3">
      <c r="AV89" t="s">
        <v>192</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Jashin</v>
      </c>
      <c r="BP89" s="1" t="str">
        <f t="shared" si="38"/>
        <v/>
      </c>
      <c r="BQ89" s="1" t="str">
        <f t="shared" si="39"/>
        <v/>
      </c>
      <c r="BR89" s="1" t="str">
        <f t="shared" si="40"/>
        <v/>
      </c>
      <c r="BS89" s="1" t="str">
        <f t="shared" si="41"/>
        <v/>
      </c>
    </row>
    <row r="90" spans="48:71" x14ac:dyDescent="0.3">
      <c r="AV90" t="s">
        <v>755</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Jericho</v>
      </c>
      <c r="BP90" s="1" t="str">
        <f t="shared" si="38"/>
        <v/>
      </c>
      <c r="BQ90" s="1" t="str">
        <f t="shared" si="39"/>
        <v/>
      </c>
      <c r="BR90" s="1" t="str">
        <f t="shared" si="40"/>
        <v/>
      </c>
      <c r="BS90" s="1" t="str">
        <f t="shared" si="41"/>
        <v/>
      </c>
    </row>
    <row r="91" spans="48:71" x14ac:dyDescent="0.3">
      <c r="AV91" t="s">
        <v>758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JillAdelhyde1</v>
      </c>
      <c r="BP91" s="1" t="str">
        <f t="shared" si="38"/>
        <v/>
      </c>
      <c r="BQ91" s="1" t="str">
        <f t="shared" si="39"/>
        <v/>
      </c>
      <c r="BR91" s="1" t="str">
        <f t="shared" si="40"/>
        <v/>
      </c>
      <c r="BS91" s="1" t="str">
        <f t="shared" si="41"/>
        <v/>
      </c>
    </row>
    <row r="92" spans="48:71" x14ac:dyDescent="0.3">
      <c r="AV92" t="s">
        <v>759</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JillAdelhyde2</v>
      </c>
      <c r="BP92" s="1" t="str">
        <f t="shared" si="38"/>
        <v/>
      </c>
      <c r="BQ92" s="1" t="str">
        <f t="shared" si="39"/>
        <v/>
      </c>
      <c r="BR92" s="1" t="str">
        <f t="shared" si="40"/>
        <v/>
      </c>
      <c r="BS92" s="1" t="str">
        <f t="shared" si="41"/>
        <v/>
      </c>
    </row>
    <row r="93" spans="48:71" x14ac:dyDescent="0.3">
      <c r="AV93" t="s">
        <v>756</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JillBronsonExtract</v>
      </c>
      <c r="BP93" s="1" t="str">
        <f t="shared" si="38"/>
        <v/>
      </c>
      <c r="BQ93" s="1" t="str">
        <f t="shared" si="39"/>
        <v/>
      </c>
      <c r="BR93" s="1" t="str">
        <f t="shared" si="40"/>
        <v/>
      </c>
      <c r="BS93" s="1" t="str">
        <f t="shared" si="41"/>
        <v/>
      </c>
    </row>
    <row r="94" spans="48:71" x14ac:dyDescent="0.3">
      <c r="AV94" t="s">
        <v>754</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JillFlanergide</v>
      </c>
      <c r="BP94" s="1" t="str">
        <f t="shared" si="38"/>
        <v/>
      </c>
      <c r="BQ94" s="1" t="str">
        <f t="shared" si="39"/>
        <v/>
      </c>
      <c r="BR94" s="1" t="str">
        <f t="shared" si="40"/>
        <v/>
      </c>
      <c r="BS94" s="1" t="str">
        <f t="shared" si="41"/>
        <v/>
      </c>
    </row>
    <row r="95" spans="48:71" x14ac:dyDescent="0.3">
      <c r="AV95" t="s">
        <v>757</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JillKarmotrine1</v>
      </c>
      <c r="BP95" s="1" t="str">
        <f t="shared" si="38"/>
        <v/>
      </c>
      <c r="BQ95" s="1" t="str">
        <f t="shared" si="39"/>
        <v/>
      </c>
      <c r="BR95" s="1" t="str">
        <f t="shared" si="40"/>
        <v/>
      </c>
      <c r="BS95" s="1" t="str">
        <f t="shared" si="41"/>
        <v/>
      </c>
    </row>
    <row r="96" spans="48:71" x14ac:dyDescent="0.3">
      <c r="AV96" t="s">
        <v>760</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JillKarmotrine2</v>
      </c>
      <c r="BP96" s="1" t="str">
        <f t="shared" si="38"/>
        <v/>
      </c>
      <c r="BQ96" s="1" t="str">
        <f t="shared" si="39"/>
        <v/>
      </c>
      <c r="BR96" s="1" t="str">
        <f t="shared" si="40"/>
        <v/>
      </c>
      <c r="BS96" s="1" t="str">
        <f t="shared" si="41"/>
        <v/>
      </c>
    </row>
    <row r="97" spans="48:71" x14ac:dyDescent="0.3">
      <c r="AV97" t="s">
        <v>841</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JillKarmotrine3</v>
      </c>
      <c r="BP97" s="1" t="str">
        <f t="shared" si="38"/>
        <v/>
      </c>
      <c r="BQ97" s="1" t="str">
        <f t="shared" si="39"/>
        <v/>
      </c>
      <c r="BR97" s="1" t="str">
        <f t="shared" si="40"/>
        <v/>
      </c>
      <c r="BS97" s="1" t="str">
        <f t="shared" si="41"/>
        <v/>
      </c>
    </row>
    <row r="98" spans="48:71" x14ac:dyDescent="0.3">
      <c r="AV98" t="s">
        <v>7008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JillPowderedDelta</v>
      </c>
      <c r="BP98" s="1" t="str">
        <f t="shared" si="38"/>
        <v/>
      </c>
      <c r="BQ98" s="1" t="str">
        <f t="shared" si="39"/>
        <v/>
      </c>
      <c r="BR98" s="1" t="str">
        <f t="shared" si="40"/>
        <v/>
      </c>
      <c r="BS98" s="1" t="str">
        <f t="shared" si="41"/>
        <v/>
      </c>
    </row>
    <row r="99" spans="48:71" x14ac:dyDescent="0.3">
      <c r="AV99" t="s">
        <v>188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Junko</v>
      </c>
      <c r="BP99" s="1" t="str">
        <f t="shared" si="38"/>
        <v/>
      </c>
      <c r="BQ99" s="1" t="str">
        <f t="shared" si="39"/>
        <v/>
      </c>
      <c r="BR99" s="1" t="str">
        <f t="shared" si="40"/>
        <v/>
      </c>
      <c r="BS99" s="1" t="str">
        <f t="shared" si="41"/>
        <v/>
      </c>
    </row>
    <row r="100" spans="48:71" x14ac:dyDescent="0.3">
      <c r="AV100" t="s">
        <v>168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K11</v>
      </c>
      <c r="BP100" s="1" t="str">
        <f t="shared" si="38"/>
        <v/>
      </c>
      <c r="BQ100" s="1" t="str">
        <f t="shared" si="39"/>
        <v/>
      </c>
      <c r="BR100" s="1" t="str">
        <f t="shared" si="40"/>
        <v/>
      </c>
      <c r="BS100" s="1" t="str">
        <f t="shared" si="41"/>
        <v/>
      </c>
    </row>
    <row r="101" spans="48:71" x14ac:dyDescent="0.3">
      <c r="AV101" t="s">
        <v>191</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K2</v>
      </c>
      <c r="BP101" s="1" t="str">
        <f t="shared" si="38"/>
        <v/>
      </c>
      <c r="BQ101" s="1" t="str">
        <f t="shared" si="39"/>
        <v/>
      </c>
      <c r="BR101" s="1" t="str">
        <f t="shared" si="40"/>
        <v/>
      </c>
      <c r="BS101" s="1" t="str">
        <f t="shared" si="41"/>
        <v/>
      </c>
    </row>
    <row r="102" spans="48:71" x14ac:dyDescent="0.3">
      <c r="AV102" t="s">
        <v>7152</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K31</v>
      </c>
      <c r="BP102" s="1" t="str">
        <f t="shared" si="38"/>
        <v/>
      </c>
      <c r="BQ102" s="1" t="str">
        <f t="shared" si="39"/>
        <v/>
      </c>
      <c r="BR102" s="1" t="str">
        <f t="shared" si="40"/>
        <v/>
      </c>
      <c r="BS102" s="1" t="str">
        <f t="shared" si="41"/>
        <v/>
      </c>
    </row>
    <row r="103" spans="48:71" x14ac:dyDescent="0.3">
      <c r="AV103" t="s">
        <v>93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K5Mod</v>
      </c>
      <c r="BP103" s="1" t="str">
        <f t="shared" si="38"/>
        <v/>
      </c>
      <c r="BQ103" s="1" t="str">
        <f t="shared" si="39"/>
        <v/>
      </c>
      <c r="BR103" s="1" t="str">
        <f t="shared" si="40"/>
        <v/>
      </c>
      <c r="BS103" s="1" t="str">
        <f t="shared" si="41"/>
        <v/>
      </c>
    </row>
    <row r="104" spans="48:71" x14ac:dyDescent="0.3">
      <c r="AV104" t="s">
        <v>6759</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Kar98k</v>
      </c>
      <c r="BP104" s="1" t="str">
        <f t="shared" si="38"/>
        <v/>
      </c>
      <c r="BQ104" s="1" t="str">
        <f t="shared" si="39"/>
        <v/>
      </c>
      <c r="BR104" s="1" t="str">
        <f t="shared" si="40"/>
        <v/>
      </c>
      <c r="BS104" s="1" t="str">
        <f t="shared" si="41"/>
        <v/>
      </c>
    </row>
    <row r="105" spans="48:71" x14ac:dyDescent="0.3">
      <c r="AV105" t="s">
        <v>722</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Kar98kmod</v>
      </c>
      <c r="BP105" s="1" t="str">
        <f t="shared" si="38"/>
        <v/>
      </c>
      <c r="BQ105" s="1" t="str">
        <f t="shared" si="39"/>
        <v/>
      </c>
      <c r="BR105" s="1" t="str">
        <f t="shared" si="40"/>
        <v/>
      </c>
      <c r="BS105" s="1" t="str">
        <f t="shared" si="41"/>
        <v/>
      </c>
    </row>
    <row r="106" spans="48:71" x14ac:dyDescent="0.3">
      <c r="AV106" t="s">
        <v>265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KS23</v>
      </c>
      <c r="BP106" s="1" t="str">
        <f t="shared" si="38"/>
        <v/>
      </c>
      <c r="BQ106" s="1" t="str">
        <f t="shared" si="39"/>
        <v/>
      </c>
      <c r="BR106" s="1" t="str">
        <f t="shared" si="40"/>
        <v/>
      </c>
      <c r="BS106" s="1" t="str">
        <f t="shared" si="41"/>
        <v/>
      </c>
    </row>
    <row r="107" spans="48:71" x14ac:dyDescent="0.3">
      <c r="AV107" t="s">
        <v>103</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KSVKMod</v>
      </c>
      <c r="BP107" s="1" t="str">
        <f t="shared" si="38"/>
        <v/>
      </c>
      <c r="BQ107" s="1" t="str">
        <f t="shared" si="39"/>
        <v/>
      </c>
      <c r="BR107" s="1" t="str">
        <f t="shared" si="40"/>
        <v/>
      </c>
      <c r="BS107" s="1" t="str">
        <f t="shared" si="41"/>
        <v/>
      </c>
    </row>
    <row r="108" spans="48:71" x14ac:dyDescent="0.3">
      <c r="AV108" t="s">
        <v>96</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L85A1</v>
      </c>
      <c r="BP108" s="1" t="str">
        <f t="shared" si="38"/>
        <v/>
      </c>
      <c r="BQ108" s="1" t="str">
        <f t="shared" si="39"/>
        <v/>
      </c>
      <c r="BR108" s="1" t="str">
        <f t="shared" si="40"/>
        <v/>
      </c>
      <c r="BS108" s="1" t="str">
        <f t="shared" si="41"/>
        <v/>
      </c>
    </row>
    <row r="109" spans="48:71" x14ac:dyDescent="0.3">
      <c r="AV109" t="s">
        <v>6760</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Lee Enfield</v>
      </c>
      <c r="BP109" s="1" t="str">
        <f t="shared" si="38"/>
        <v/>
      </c>
      <c r="BQ109" s="1" t="str">
        <f t="shared" si="39"/>
        <v/>
      </c>
      <c r="BR109" s="1" t="str">
        <f t="shared" si="40"/>
        <v/>
      </c>
      <c r="BS109" s="1" t="str">
        <f t="shared" si="41"/>
        <v/>
      </c>
    </row>
    <row r="110" spans="48:71" x14ac:dyDescent="0.3">
      <c r="AV110" t="s">
        <v>217</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Lee Enfieldmod</v>
      </c>
      <c r="BP110" s="1" t="str">
        <f t="shared" si="38"/>
        <v/>
      </c>
      <c r="BQ110" s="1" t="str">
        <f t="shared" si="39"/>
        <v/>
      </c>
      <c r="BR110" s="1" t="str">
        <f t="shared" si="40"/>
        <v/>
      </c>
      <c r="BS110" s="1" t="str">
        <f t="shared" si="41"/>
        <v/>
      </c>
    </row>
    <row r="111" spans="48:71" x14ac:dyDescent="0.3">
      <c r="AV111" t="s">
        <v>6984</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Liberator</v>
      </c>
      <c r="BP111" s="1" t="str">
        <f t="shared" si="38"/>
        <v/>
      </c>
      <c r="BQ111" s="1" t="str">
        <f t="shared" si="39"/>
        <v/>
      </c>
      <c r="BR111" s="1" t="str">
        <f t="shared" si="40"/>
        <v/>
      </c>
      <c r="BS111" s="1" t="str">
        <f t="shared" si="41"/>
        <v/>
      </c>
    </row>
    <row r="112" spans="48:71" x14ac:dyDescent="0.3">
      <c r="AV112" t="s">
        <v>260</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Lily</v>
      </c>
      <c r="BP112" s="1" t="str">
        <f t="shared" si="38"/>
        <v/>
      </c>
      <c r="BQ112" s="1" t="str">
        <f t="shared" si="39"/>
        <v/>
      </c>
      <c r="BR112" s="1" t="str">
        <f t="shared" si="40"/>
        <v/>
      </c>
      <c r="BS112" s="1" t="str">
        <f t="shared" si="41"/>
        <v/>
      </c>
    </row>
    <row r="113" spans="48:71" x14ac:dyDescent="0.3">
      <c r="AV113" t="s">
        <v>8650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LWMMGMod</v>
      </c>
      <c r="BP113" s="1" t="str">
        <f t="shared" si="38"/>
        <v/>
      </c>
      <c r="BQ113" s="1" t="str">
        <f t="shared" si="39"/>
        <v/>
      </c>
      <c r="BR113" s="1" t="str">
        <f t="shared" si="40"/>
        <v/>
      </c>
      <c r="BS113" s="1" t="str">
        <f t="shared" si="41"/>
        <v/>
      </c>
    </row>
    <row r="114" spans="48:71" x14ac:dyDescent="0.3">
      <c r="AV114" t="s">
        <v>86</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LWMMGModGZ</v>
      </c>
      <c r="BP114" s="1" t="str">
        <f t="shared" si="38"/>
        <v/>
      </c>
      <c r="BQ114" s="1" t="str">
        <f t="shared" si="39"/>
        <v/>
      </c>
      <c r="BR114" s="1" t="str">
        <f t="shared" si="40"/>
        <v/>
      </c>
      <c r="BS114" s="1" t="str">
        <f t="shared" si="41"/>
        <v/>
      </c>
    </row>
    <row r="115" spans="48:71" x14ac:dyDescent="0.3">
      <c r="AV115" t="s">
        <v>254</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 Garand</v>
      </c>
      <c r="BP115" s="1" t="str">
        <f t="shared" si="38"/>
        <v/>
      </c>
      <c r="BQ115" s="1" t="str">
        <f t="shared" si="39"/>
        <v/>
      </c>
      <c r="BR115" s="1" t="str">
        <f t="shared" si="40"/>
        <v/>
      </c>
      <c r="BS115" s="1" t="str">
        <f t="shared" si="41"/>
        <v/>
      </c>
    </row>
    <row r="116" spans="48:71" x14ac:dyDescent="0.3">
      <c r="AV116" t="s">
        <v>98</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M14Mod</v>
      </c>
      <c r="BP116" s="1" t="str">
        <f t="shared" si="38"/>
        <v/>
      </c>
      <c r="BQ116" s="1" t="str">
        <f t="shared" si="39"/>
        <v/>
      </c>
      <c r="BR116" s="1" t="str">
        <f t="shared" si="40"/>
        <v/>
      </c>
      <c r="BS116" s="1" t="str">
        <f t="shared" si="41"/>
        <v/>
      </c>
    </row>
    <row r="117" spans="48:71" x14ac:dyDescent="0.3">
      <c r="AV117" t="s">
        <v>145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M16A1</v>
      </c>
      <c r="BP117" s="1" t="str">
        <f t="shared" si="38"/>
        <v/>
      </c>
      <c r="BQ117" s="1" t="str">
        <f t="shared" si="39"/>
        <v/>
      </c>
      <c r="BR117" s="1" t="str">
        <f t="shared" si="40"/>
        <v/>
      </c>
      <c r="BS117" s="1" t="str">
        <f t="shared" si="41"/>
        <v/>
      </c>
    </row>
    <row r="118" spans="48:71" x14ac:dyDescent="0.3">
      <c r="AV118" t="s">
        <v>784</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M1887</v>
      </c>
      <c r="BP118" s="1" t="str">
        <f t="shared" si="38"/>
        <v/>
      </c>
      <c r="BQ118" s="1" t="str">
        <f t="shared" si="39"/>
        <v/>
      </c>
      <c r="BR118" s="1" t="str">
        <f t="shared" si="40"/>
        <v/>
      </c>
      <c r="BS118" s="1" t="str">
        <f t="shared" si="41"/>
        <v/>
      </c>
    </row>
    <row r="119" spans="48:71" x14ac:dyDescent="0.3">
      <c r="AV119" t="s">
        <v>724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M1895Mod</v>
      </c>
      <c r="BP119" s="1" t="str">
        <f t="shared" si="38"/>
        <v/>
      </c>
      <c r="BQ119" s="1" t="str">
        <f t="shared" si="39"/>
        <v/>
      </c>
      <c r="BR119" s="1" t="str">
        <f t="shared" si="40"/>
        <v/>
      </c>
      <c r="BS119" s="1" t="str">
        <f t="shared" si="41"/>
        <v/>
      </c>
    </row>
    <row r="120" spans="48:71" x14ac:dyDescent="0.3">
      <c r="AV120" t="s">
        <v>252</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M1897Mod</v>
      </c>
      <c r="BP120" s="1" t="str">
        <f t="shared" si="38"/>
        <v/>
      </c>
      <c r="BQ120" s="1" t="str">
        <f t="shared" si="39"/>
        <v/>
      </c>
      <c r="BR120" s="1" t="str">
        <f t="shared" si="40"/>
        <v/>
      </c>
      <c r="BS120" s="1" t="str">
        <f t="shared" si="41"/>
        <v/>
      </c>
    </row>
    <row r="121" spans="48:71" x14ac:dyDescent="0.3">
      <c r="AV121" t="s">
        <v>8545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M1911Mod</v>
      </c>
      <c r="BP121" s="1" t="str">
        <f t="shared" si="38"/>
        <v/>
      </c>
      <c r="BQ121" s="1" t="str">
        <f t="shared" si="39"/>
        <v/>
      </c>
      <c r="BR121" s="1" t="str">
        <f t="shared" si="40"/>
        <v/>
      </c>
      <c r="BS121" s="1" t="str">
        <f t="shared" si="41"/>
        <v/>
      </c>
    </row>
    <row r="122" spans="48:71" x14ac:dyDescent="0.3">
      <c r="AV122" t="s">
        <v>105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M1911ModGZ</v>
      </c>
      <c r="BP122" s="1" t="str">
        <f t="shared" si="38"/>
        <v/>
      </c>
      <c r="BQ122" s="1" t="str">
        <f t="shared" si="39"/>
        <v/>
      </c>
      <c r="BR122" s="1" t="str">
        <f t="shared" si="40"/>
        <v/>
      </c>
      <c r="BS122" s="1" t="str">
        <f t="shared" si="41"/>
        <v/>
      </c>
    </row>
    <row r="123" spans="48:71" x14ac:dyDescent="0.3">
      <c r="AV123" t="s">
        <v>259</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v>
      </c>
      <c r="BP123" s="1" t="str">
        <f t="shared" si="38"/>
        <v/>
      </c>
      <c r="BQ123" s="1" t="str">
        <f t="shared" si="39"/>
        <v/>
      </c>
      <c r="BR123" s="1" t="str">
        <f t="shared" si="40"/>
        <v/>
      </c>
      <c r="BS123" s="1" t="str">
        <f t="shared" si="41"/>
        <v/>
      </c>
    </row>
    <row r="124" spans="48:71" x14ac:dyDescent="0.3">
      <c r="AV124" t="s">
        <v>7306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M1918Mod</v>
      </c>
      <c r="BP124" s="1" t="str">
        <f t="shared" si="38"/>
        <v/>
      </c>
      <c r="BQ124" s="1" t="str">
        <f t="shared" si="39"/>
        <v/>
      </c>
      <c r="BR124" s="1" t="str">
        <f t="shared" si="40"/>
        <v/>
      </c>
      <c r="BS124" s="1" t="str">
        <f t="shared" si="41"/>
        <v/>
      </c>
    </row>
    <row r="125" spans="48:71" x14ac:dyDescent="0.3">
      <c r="AV125" t="s">
        <v>107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M1918Ranking</v>
      </c>
      <c r="BP125" s="1" t="str">
        <f t="shared" si="38"/>
        <v/>
      </c>
      <c r="BQ125" s="1" t="str">
        <f t="shared" si="39"/>
        <v/>
      </c>
      <c r="BR125" s="1" t="str">
        <f t="shared" si="40"/>
        <v/>
      </c>
      <c r="BS125" s="1" t="str">
        <f t="shared" si="41"/>
        <v/>
      </c>
    </row>
    <row r="126" spans="48:71" x14ac:dyDescent="0.3">
      <c r="AV126" t="s">
        <v>7145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v>
      </c>
      <c r="BP126" s="1" t="str">
        <f t="shared" si="38"/>
        <v/>
      </c>
      <c r="BQ126" s="1" t="str">
        <f t="shared" si="39"/>
        <v/>
      </c>
      <c r="BR126" s="1" t="str">
        <f t="shared" si="40"/>
        <v/>
      </c>
      <c r="BS126" s="1" t="str">
        <f t="shared" si="41"/>
        <v/>
      </c>
    </row>
    <row r="127" spans="48:71" x14ac:dyDescent="0.3">
      <c r="AV127" t="s">
        <v>8304</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M1919A4Mod</v>
      </c>
      <c r="BP127" s="1" t="str">
        <f t="shared" si="38"/>
        <v/>
      </c>
      <c r="BQ127" s="1" t="str">
        <f t="shared" si="39"/>
        <v/>
      </c>
      <c r="BR127" s="1" t="str">
        <f t="shared" si="40"/>
        <v/>
      </c>
      <c r="BS127" s="1" t="str">
        <f t="shared" si="41"/>
        <v/>
      </c>
    </row>
    <row r="128" spans="48:71" x14ac:dyDescent="0.3">
      <c r="AV128" t="s">
        <v>788</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M1919A4ModGZ</v>
      </c>
      <c r="BP128" s="1" t="str">
        <f t="shared" si="38"/>
        <v/>
      </c>
      <c r="BQ128" s="1" t="str">
        <f t="shared" si="39"/>
        <v/>
      </c>
      <c r="BR128" s="1" t="str">
        <f t="shared" si="40"/>
        <v/>
      </c>
      <c r="BS128" s="1" t="str">
        <f t="shared" si="41"/>
        <v/>
      </c>
    </row>
    <row r="129" spans="48:71" x14ac:dyDescent="0.3">
      <c r="AV129" t="s">
        <v>89</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M1A1</v>
      </c>
      <c r="BP129" s="1" t="str">
        <f t="shared" si="38"/>
        <v/>
      </c>
      <c r="BQ129" s="1" t="str">
        <f t="shared" si="39"/>
        <v/>
      </c>
      <c r="BR129" s="1" t="str">
        <f t="shared" si="40"/>
        <v/>
      </c>
      <c r="BS129" s="1" t="str">
        <f t="shared" si="41"/>
        <v/>
      </c>
    </row>
    <row r="130" spans="48:71" x14ac:dyDescent="0.3">
      <c r="AV130" t="s">
        <v>1171</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M21</v>
      </c>
      <c r="BP130" s="1" t="str">
        <f t="shared" si="38"/>
        <v/>
      </c>
      <c r="BQ130" s="1" t="str">
        <f t="shared" si="39"/>
        <v/>
      </c>
      <c r="BR130" s="1" t="str">
        <f t="shared" si="40"/>
        <v/>
      </c>
      <c r="BS130" s="1" t="str">
        <f t="shared" si="41"/>
        <v/>
      </c>
    </row>
    <row r="131" spans="48:71" x14ac:dyDescent="0.3">
      <c r="AV131" t="s">
        <v>789</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M249SAW</v>
      </c>
      <c r="BP131" s="1" t="str">
        <f t="shared" si="38"/>
        <v/>
      </c>
      <c r="BQ131" s="1" t="str">
        <f t="shared" si="39"/>
        <v/>
      </c>
      <c r="BR131" s="1" t="str">
        <f t="shared" si="40"/>
        <v/>
      </c>
      <c r="BS131" s="1" t="str">
        <f t="shared" si="41"/>
        <v/>
      </c>
    </row>
    <row r="132" spans="48:71" x14ac:dyDescent="0.3">
      <c r="AV132" t="s">
        <v>77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M2HB</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147</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M3</v>
      </c>
      <c r="BP133" s="1" t="str">
        <f t="shared" si="58"/>
        <v/>
      </c>
      <c r="BQ133" s="1" t="str">
        <f t="shared" si="59"/>
        <v/>
      </c>
      <c r="BR133" s="1" t="str">
        <f t="shared" si="60"/>
        <v/>
      </c>
      <c r="BS133" s="1" t="str">
        <f t="shared" si="61"/>
        <v/>
      </c>
    </row>
    <row r="134" spans="48:71" x14ac:dyDescent="0.3">
      <c r="AV134" t="s">
        <v>714</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M37</v>
      </c>
      <c r="BP134" s="1" t="str">
        <f t="shared" si="58"/>
        <v/>
      </c>
      <c r="BQ134" s="1" t="str">
        <f t="shared" si="59"/>
        <v/>
      </c>
      <c r="BR134" s="1" t="str">
        <f t="shared" si="60"/>
        <v/>
      </c>
      <c r="BS134" s="1" t="str">
        <f t="shared" si="61"/>
        <v/>
      </c>
    </row>
    <row r="135" spans="48:71" x14ac:dyDescent="0.3">
      <c r="AV135" t="s">
        <v>256</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M38Mod</v>
      </c>
      <c r="BP135" s="1" t="str">
        <f t="shared" si="58"/>
        <v/>
      </c>
      <c r="BQ135" s="1" t="str">
        <f t="shared" si="59"/>
        <v/>
      </c>
      <c r="BR135" s="1" t="str">
        <f t="shared" si="60"/>
        <v/>
      </c>
      <c r="BS135" s="1" t="str">
        <f t="shared" si="61"/>
        <v/>
      </c>
    </row>
    <row r="136" spans="48:71" x14ac:dyDescent="0.3">
      <c r="AV136" t="s">
        <v>255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M4 SOPMOD IIMod</v>
      </c>
      <c r="BP136" s="1" t="str">
        <f t="shared" si="58"/>
        <v/>
      </c>
      <c r="BQ136" s="1" t="str">
        <f t="shared" si="59"/>
        <v/>
      </c>
      <c r="BR136" s="1" t="str">
        <f t="shared" si="60"/>
        <v/>
      </c>
      <c r="BS136" s="1" t="str">
        <f t="shared" si="61"/>
        <v/>
      </c>
    </row>
    <row r="137" spans="48:71" x14ac:dyDescent="0.3">
      <c r="AV137" t="s">
        <v>715</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M4A1Mod</v>
      </c>
      <c r="BP137" s="1" t="str">
        <f t="shared" si="58"/>
        <v/>
      </c>
      <c r="BQ137" s="1" t="str">
        <f t="shared" si="59"/>
        <v/>
      </c>
      <c r="BR137" s="1" t="str">
        <f t="shared" si="60"/>
        <v/>
      </c>
      <c r="BS137" s="1" t="str">
        <f t="shared" si="61"/>
        <v/>
      </c>
    </row>
    <row r="138" spans="48:71" x14ac:dyDescent="0.3">
      <c r="AV138" t="s">
        <v>811</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M500Mod</v>
      </c>
      <c r="BP138" s="1" t="str">
        <f t="shared" si="58"/>
        <v/>
      </c>
      <c r="BQ138" s="1" t="str">
        <f t="shared" si="59"/>
        <v/>
      </c>
      <c r="BR138" s="1" t="str">
        <f t="shared" si="60"/>
        <v/>
      </c>
      <c r="BS138" s="1" t="str">
        <f t="shared" si="61"/>
        <v/>
      </c>
    </row>
    <row r="139" spans="48:71" x14ac:dyDescent="0.3">
      <c r="AV139" t="s">
        <v>185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M6 ASW</v>
      </c>
      <c r="BP139" s="1" t="str">
        <f t="shared" si="58"/>
        <v/>
      </c>
      <c r="BQ139" s="1" t="str">
        <f t="shared" si="59"/>
        <v/>
      </c>
      <c r="BR139" s="1" t="str">
        <f t="shared" si="60"/>
        <v/>
      </c>
      <c r="BS139" s="1" t="str">
        <f t="shared" si="61"/>
        <v/>
      </c>
    </row>
    <row r="140" spans="48:71" x14ac:dyDescent="0.3">
      <c r="AV140" t="s">
        <v>5632</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M82A1</v>
      </c>
      <c r="BP140" s="1" t="str">
        <f t="shared" si="58"/>
        <v/>
      </c>
      <c r="BQ140" s="1" t="str">
        <f t="shared" si="59"/>
        <v/>
      </c>
      <c r="BR140" s="1" t="str">
        <f t="shared" si="60"/>
        <v/>
      </c>
      <c r="BS140" s="1" t="str">
        <f t="shared" si="61"/>
        <v/>
      </c>
    </row>
    <row r="141" spans="48:71" x14ac:dyDescent="0.3">
      <c r="AV141" t="s">
        <v>63</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M870</v>
      </c>
      <c r="BP141" s="1" t="str">
        <f t="shared" si="58"/>
        <v/>
      </c>
      <c r="BQ141" s="1" t="str">
        <f t="shared" si="59"/>
        <v/>
      </c>
      <c r="BR141" s="1" t="str">
        <f t="shared" si="60"/>
        <v/>
      </c>
      <c r="BS141" s="1" t="str">
        <f t="shared" si="61"/>
        <v/>
      </c>
    </row>
    <row r="142" spans="48:71" x14ac:dyDescent="0.3">
      <c r="AV142" t="s">
        <v>262</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M9</v>
      </c>
      <c r="BP142" s="1" t="str">
        <f t="shared" si="58"/>
        <v/>
      </c>
      <c r="BQ142" s="1" t="str">
        <f t="shared" si="59"/>
        <v/>
      </c>
      <c r="BR142" s="1" t="str">
        <f t="shared" si="60"/>
        <v/>
      </c>
      <c r="BS142" s="1" t="str">
        <f t="shared" si="61"/>
        <v/>
      </c>
    </row>
    <row r="143" spans="48:71" x14ac:dyDescent="0.3">
      <c r="AV143" t="s">
        <v>8649</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M950AMod</v>
      </c>
      <c r="BP143" s="1" t="str">
        <f t="shared" si="58"/>
        <v/>
      </c>
      <c r="BQ143" s="1" t="str">
        <f t="shared" si="59"/>
        <v/>
      </c>
      <c r="BR143" s="1" t="str">
        <f t="shared" si="60"/>
        <v/>
      </c>
      <c r="BS143" s="1" t="str">
        <f t="shared" si="61"/>
        <v/>
      </c>
    </row>
    <row r="144" spans="48:71" x14ac:dyDescent="0.3">
      <c r="AV144" t="s">
        <v>68</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M950AModGZ</v>
      </c>
      <c r="BP144" s="1" t="str">
        <f t="shared" si="58"/>
        <v/>
      </c>
      <c r="BQ144" s="1" t="str">
        <f t="shared" si="59"/>
        <v/>
      </c>
      <c r="BR144" s="1" t="str">
        <f t="shared" si="60"/>
        <v/>
      </c>
      <c r="BS144" s="1" t="str">
        <f t="shared" si="61"/>
        <v/>
      </c>
    </row>
    <row r="145" spans="48:71" x14ac:dyDescent="0.3">
      <c r="AV145" t="s">
        <v>937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Makarov</v>
      </c>
      <c r="BP145" s="1" t="str">
        <f t="shared" si="58"/>
        <v/>
      </c>
      <c r="BQ145" s="1" t="str">
        <f t="shared" si="59"/>
        <v/>
      </c>
      <c r="BR145" s="1" t="str">
        <f t="shared" si="60"/>
        <v/>
      </c>
      <c r="BS145" s="1" t="str">
        <f t="shared" si="61"/>
        <v/>
      </c>
    </row>
    <row r="146" spans="48:71" x14ac:dyDescent="0.3">
      <c r="AV146" t="s">
        <v>8127</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MakarovMod</v>
      </c>
      <c r="BP146" s="1" t="str">
        <f t="shared" si="58"/>
        <v/>
      </c>
      <c r="BQ146" s="1" t="str">
        <f t="shared" si="59"/>
        <v/>
      </c>
      <c r="BR146" s="1" t="str">
        <f t="shared" si="60"/>
        <v/>
      </c>
      <c r="BS146" s="1" t="str">
        <f t="shared" si="61"/>
        <v/>
      </c>
    </row>
    <row r="147" spans="48:71" x14ac:dyDescent="0.3">
      <c r="AV147" t="s">
        <v>179</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MakarovModGZ</v>
      </c>
      <c r="BP147" s="1" t="str">
        <f t="shared" si="58"/>
        <v/>
      </c>
      <c r="BQ147" s="1" t="str">
        <f t="shared" si="59"/>
        <v/>
      </c>
      <c r="BR147" s="1" t="str">
        <f t="shared" si="60"/>
        <v/>
      </c>
      <c r="BS147" s="1" t="str">
        <f t="shared" si="61"/>
        <v/>
      </c>
    </row>
    <row r="148" spans="48:71" x14ac:dyDescent="0.3">
      <c r="AV148" t="s">
        <v>1396</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MDR</v>
      </c>
      <c r="BP148" s="1" t="str">
        <f t="shared" si="58"/>
        <v/>
      </c>
      <c r="BQ148" s="1" t="str">
        <f t="shared" si="59"/>
        <v/>
      </c>
      <c r="BR148" s="1" t="str">
        <f t="shared" si="60"/>
        <v/>
      </c>
      <c r="BS148" s="1" t="str">
        <f t="shared" si="61"/>
        <v/>
      </c>
    </row>
    <row r="149" spans="48:71" x14ac:dyDescent="0.3">
      <c r="AV149" t="s">
        <v>114</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Medusa</v>
      </c>
      <c r="BP149" s="1" t="str">
        <f t="shared" si="58"/>
        <v/>
      </c>
      <c r="BQ149" s="1" t="str">
        <f t="shared" si="59"/>
        <v/>
      </c>
      <c r="BR149" s="1" t="str">
        <f t="shared" si="60"/>
        <v/>
      </c>
      <c r="BS149" s="1" t="str">
        <f t="shared" si="61"/>
        <v/>
      </c>
    </row>
    <row r="150" spans="48:71" x14ac:dyDescent="0.3">
      <c r="AV150" t="s">
        <v>113</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MG3</v>
      </c>
      <c r="BP150" s="1" t="str">
        <f t="shared" si="58"/>
        <v/>
      </c>
      <c r="BQ150" s="1" t="str">
        <f t="shared" si="59"/>
        <v/>
      </c>
      <c r="BR150" s="1" t="str">
        <f t="shared" si="60"/>
        <v/>
      </c>
      <c r="BS150" s="1" t="str">
        <f t="shared" si="61"/>
        <v/>
      </c>
    </row>
    <row r="151" spans="48:71" x14ac:dyDescent="0.3">
      <c r="AV151" t="s">
        <v>6474</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MG34</v>
      </c>
      <c r="BP151" s="1" t="str">
        <f t="shared" si="58"/>
        <v/>
      </c>
      <c r="BQ151" s="1" t="str">
        <f t="shared" si="59"/>
        <v/>
      </c>
      <c r="BR151" s="1" t="str">
        <f t="shared" si="60"/>
        <v/>
      </c>
      <c r="BS151" s="1" t="str">
        <f t="shared" si="61"/>
        <v/>
      </c>
    </row>
    <row r="152" spans="48:71" x14ac:dyDescent="0.3">
      <c r="AV152" t="s">
        <v>8352</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MG3Mod</v>
      </c>
      <c r="BP152" s="1" t="str">
        <f t="shared" si="58"/>
        <v/>
      </c>
      <c r="BQ152" s="1" t="str">
        <f t="shared" si="59"/>
        <v/>
      </c>
      <c r="BR152" s="1" t="str">
        <f t="shared" si="60"/>
        <v/>
      </c>
      <c r="BS152" s="1" t="str">
        <f t="shared" si="61"/>
        <v/>
      </c>
    </row>
    <row r="153" spans="48:71" x14ac:dyDescent="0.3">
      <c r="AV153" t="s">
        <v>299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MG3ModGZ</v>
      </c>
      <c r="BP153" s="1" t="str">
        <f t="shared" si="58"/>
        <v/>
      </c>
      <c r="BQ153" s="1" t="str">
        <f t="shared" si="59"/>
        <v/>
      </c>
      <c r="BR153" s="1" t="str">
        <f t="shared" si="60"/>
        <v/>
      </c>
      <c r="BS153" s="1" t="str">
        <f t="shared" si="61"/>
        <v/>
      </c>
    </row>
    <row r="154" spans="48:71" x14ac:dyDescent="0.3">
      <c r="AV154" t="s">
        <v>112</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MG4</v>
      </c>
      <c r="BP154" s="1" t="str">
        <f t="shared" si="58"/>
        <v/>
      </c>
      <c r="BQ154" s="1" t="str">
        <f t="shared" si="59"/>
        <v/>
      </c>
      <c r="BR154" s="1" t="str">
        <f t="shared" si="60"/>
        <v/>
      </c>
      <c r="BS154" s="1" t="str">
        <f t="shared" si="61"/>
        <v/>
      </c>
    </row>
    <row r="155" spans="48:71" x14ac:dyDescent="0.3">
      <c r="AV155" t="s">
        <v>926</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MG42</v>
      </c>
      <c r="BP155" s="1" t="str">
        <f t="shared" si="58"/>
        <v/>
      </c>
      <c r="BQ155" s="1" t="str">
        <f t="shared" si="59"/>
        <v/>
      </c>
      <c r="BR155" s="1" t="str">
        <f t="shared" si="60"/>
        <v/>
      </c>
      <c r="BS155" s="1" t="str">
        <f t="shared" si="61"/>
        <v/>
      </c>
    </row>
    <row r="156" spans="48:71" x14ac:dyDescent="0.3">
      <c r="AV156" t="s">
        <v>8126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MG4Mod</v>
      </c>
      <c r="BP156" s="1" t="str">
        <f t="shared" si="58"/>
        <v/>
      </c>
      <c r="BQ156" s="1" t="str">
        <f t="shared" si="59"/>
        <v/>
      </c>
      <c r="BR156" s="1" t="str">
        <f t="shared" si="60"/>
        <v/>
      </c>
      <c r="BS156" s="1" t="str">
        <f t="shared" si="61"/>
        <v/>
      </c>
    </row>
    <row r="157" spans="48:71" x14ac:dyDescent="0.3">
      <c r="AV157" t="s">
        <v>300</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MG4ModGZ</v>
      </c>
      <c r="BP157" s="1" t="str">
        <f t="shared" si="58"/>
        <v/>
      </c>
      <c r="BQ157" s="1" t="str">
        <f t="shared" si="59"/>
        <v/>
      </c>
      <c r="BR157" s="1" t="str">
        <f t="shared" si="60"/>
        <v/>
      </c>
      <c r="BS157" s="1" t="str">
        <f t="shared" si="61"/>
        <v/>
      </c>
    </row>
    <row r="158" spans="48:71" x14ac:dyDescent="0.3">
      <c r="AV158" t="s">
        <v>253</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MG5</v>
      </c>
      <c r="BP158" s="1" t="str">
        <f t="shared" si="58"/>
        <v/>
      </c>
      <c r="BQ158" s="1" t="str">
        <f t="shared" si="59"/>
        <v/>
      </c>
      <c r="BR158" s="1" t="str">
        <f t="shared" si="60"/>
        <v/>
      </c>
      <c r="BS158" s="1" t="str">
        <f t="shared" si="61"/>
        <v/>
      </c>
    </row>
    <row r="159" spans="48:71" x14ac:dyDescent="0.3">
      <c r="AV159" t="s">
        <v>1400</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Micro UziMod</v>
      </c>
      <c r="BP159" s="1" t="str">
        <f t="shared" si="58"/>
        <v/>
      </c>
      <c r="BQ159" s="1" t="str">
        <f t="shared" si="59"/>
        <v/>
      </c>
      <c r="BR159" s="1" t="str">
        <f t="shared" si="60"/>
        <v/>
      </c>
      <c r="BS159" s="1" t="str">
        <f t="shared" si="61"/>
        <v/>
      </c>
    </row>
    <row r="160" spans="48:71" x14ac:dyDescent="0.3">
      <c r="AV160" t="s">
        <v>8691</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Minos</v>
      </c>
      <c r="BP160" s="1" t="str">
        <f t="shared" si="58"/>
        <v/>
      </c>
      <c r="BQ160" s="1" t="str">
        <f t="shared" si="59"/>
        <v/>
      </c>
      <c r="BR160" s="1" t="str">
        <f t="shared" si="60"/>
        <v/>
      </c>
      <c r="BS160" s="1" t="str">
        <f t="shared" si="61"/>
        <v/>
      </c>
    </row>
    <row r="161" spans="48:71" x14ac:dyDescent="0.3">
      <c r="AV161" t="s">
        <v>1178</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Mizukane</v>
      </c>
      <c r="BP161" s="1" t="str">
        <f t="shared" si="58"/>
        <v/>
      </c>
      <c r="BQ161" s="1" t="str">
        <f t="shared" si="59"/>
        <v/>
      </c>
      <c r="BR161" s="1" t="str">
        <f t="shared" si="60"/>
        <v/>
      </c>
      <c r="BS161" s="1" t="str">
        <f t="shared" si="61"/>
        <v/>
      </c>
    </row>
    <row r="162" spans="48:71" x14ac:dyDescent="0.3">
      <c r="AV162" t="s">
        <v>182</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Mk23</v>
      </c>
      <c r="BP162" s="1" t="str">
        <f t="shared" si="58"/>
        <v/>
      </c>
      <c r="BQ162" s="1" t="str">
        <f t="shared" si="59"/>
        <v/>
      </c>
      <c r="BR162" s="1" t="str">
        <f t="shared" si="60"/>
        <v/>
      </c>
      <c r="BS162" s="1" t="str">
        <f t="shared" si="61"/>
        <v/>
      </c>
    </row>
    <row r="163" spans="48:71" x14ac:dyDescent="0.3">
      <c r="AV163" t="s">
        <v>805</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Model L</v>
      </c>
      <c r="BP163" s="1" t="str">
        <f t="shared" si="58"/>
        <v/>
      </c>
      <c r="BQ163" s="1" t="str">
        <f t="shared" si="59"/>
        <v/>
      </c>
      <c r="BR163" s="1" t="str">
        <f t="shared" si="60"/>
        <v/>
      </c>
      <c r="BS163" s="1" t="str">
        <f t="shared" si="61"/>
        <v/>
      </c>
    </row>
    <row r="164" spans="48:71" x14ac:dyDescent="0.3">
      <c r="AV164" t="s">
        <v>728</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MondragonM1908</v>
      </c>
      <c r="BP164" s="1" t="str">
        <f t="shared" si="58"/>
        <v/>
      </c>
      <c r="BQ164" s="1" t="str">
        <f t="shared" si="59"/>
        <v/>
      </c>
      <c r="BR164" s="1" t="str">
        <f t="shared" si="60"/>
        <v/>
      </c>
      <c r="BS164" s="1" t="str">
        <f t="shared" si="61"/>
        <v/>
      </c>
    </row>
    <row r="165" spans="48:71" x14ac:dyDescent="0.3">
      <c r="AV165" t="s">
        <v>1679</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MosinNagant</v>
      </c>
      <c r="BP165" s="1" t="str">
        <f t="shared" si="58"/>
        <v/>
      </c>
      <c r="BQ165" s="1" t="str">
        <f t="shared" si="59"/>
        <v/>
      </c>
      <c r="BR165" s="1" t="str">
        <f t="shared" si="60"/>
        <v/>
      </c>
      <c r="BS165" s="1" t="str">
        <f t="shared" si="61"/>
        <v/>
      </c>
    </row>
    <row r="166" spans="48:71" x14ac:dyDescent="0.3">
      <c r="AV166" t="s">
        <v>8121</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MosinNagantMod</v>
      </c>
      <c r="BP166" s="1" t="str">
        <f t="shared" si="58"/>
        <v/>
      </c>
      <c r="BQ166" s="1" t="str">
        <f t="shared" si="59"/>
        <v/>
      </c>
      <c r="BR166" s="1" t="str">
        <f t="shared" si="60"/>
        <v/>
      </c>
      <c r="BS166" s="1" t="str">
        <f t="shared" si="61"/>
        <v/>
      </c>
    </row>
    <row r="167" spans="48:71" x14ac:dyDescent="0.3">
      <c r="AV167" t="s">
        <v>8652</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MosinNagantModGZ</v>
      </c>
      <c r="BP167" s="1" t="str">
        <f t="shared" si="58"/>
        <v/>
      </c>
      <c r="BQ167" s="1" t="str">
        <f t="shared" si="59"/>
        <v/>
      </c>
      <c r="BR167" s="1" t="str">
        <f t="shared" si="60"/>
        <v/>
      </c>
      <c r="BS167" s="1" t="str">
        <f t="shared" si="61"/>
        <v/>
      </c>
    </row>
    <row r="168" spans="48:71" x14ac:dyDescent="0.3">
      <c r="AV168" t="s">
        <v>1753</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Motoko</v>
      </c>
      <c r="BP168" s="1" t="str">
        <f t="shared" si="58"/>
        <v/>
      </c>
      <c r="BQ168" s="1" t="str">
        <f t="shared" si="59"/>
        <v/>
      </c>
      <c r="BR168" s="1" t="str">
        <f t="shared" si="60"/>
        <v/>
      </c>
      <c r="BS168" s="1" t="str">
        <f t="shared" si="61"/>
        <v/>
      </c>
    </row>
    <row r="169" spans="48:71" x14ac:dyDescent="0.3">
      <c r="AV169" t="s">
        <v>1683</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MP443Mod</v>
      </c>
      <c r="BP169" s="1" t="str">
        <f t="shared" si="58"/>
        <v/>
      </c>
      <c r="BQ169" s="1" t="str">
        <f t="shared" si="59"/>
        <v/>
      </c>
      <c r="BR169" s="1" t="str">
        <f t="shared" si="60"/>
        <v/>
      </c>
      <c r="BS169" s="1" t="str">
        <f t="shared" si="61"/>
        <v/>
      </c>
    </row>
    <row r="170" spans="48:71" x14ac:dyDescent="0.3">
      <c r="AV170" t="s">
        <v>729</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MP446Mod</v>
      </c>
      <c r="BP170" s="1" t="str">
        <f t="shared" si="58"/>
        <v/>
      </c>
      <c r="BQ170" s="1" t="str">
        <f t="shared" si="59"/>
        <v/>
      </c>
      <c r="BR170" s="1" t="str">
        <f t="shared" si="60"/>
        <v/>
      </c>
      <c r="BS170" s="1" t="str">
        <f t="shared" si="61"/>
        <v/>
      </c>
    </row>
    <row r="171" spans="48:71" x14ac:dyDescent="0.3">
      <c r="AV171" t="s">
        <v>1409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MP5</v>
      </c>
      <c r="BP171" s="1" t="str">
        <f t="shared" si="58"/>
        <v/>
      </c>
      <c r="BQ171" s="1" t="str">
        <f t="shared" si="59"/>
        <v/>
      </c>
      <c r="BR171" s="1" t="str">
        <f t="shared" si="60"/>
        <v/>
      </c>
      <c r="BS171" s="1" t="str">
        <f t="shared" si="61"/>
        <v/>
      </c>
    </row>
    <row r="172" spans="48:71" x14ac:dyDescent="0.3">
      <c r="AV172" t="s">
        <v>8125</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MP5Mod</v>
      </c>
      <c r="BP172" s="1" t="str">
        <f t="shared" si="58"/>
        <v/>
      </c>
      <c r="BQ172" s="1" t="str">
        <f t="shared" si="59"/>
        <v/>
      </c>
      <c r="BR172" s="1" t="str">
        <f t="shared" si="60"/>
        <v/>
      </c>
      <c r="BS172" s="1" t="str">
        <f t="shared" si="61"/>
        <v/>
      </c>
    </row>
    <row r="173" spans="48:71" x14ac:dyDescent="0.3">
      <c r="AV173" t="s">
        <v>1681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MP5ModGZ</v>
      </c>
      <c r="BP173" s="1" t="str">
        <f t="shared" si="58"/>
        <v/>
      </c>
      <c r="BQ173" s="1" t="str">
        <f t="shared" si="59"/>
        <v/>
      </c>
      <c r="BR173" s="1" t="str">
        <f t="shared" si="60"/>
        <v/>
      </c>
      <c r="BS173" s="1" t="str">
        <f t="shared" si="61"/>
        <v/>
      </c>
    </row>
    <row r="174" spans="48:71" x14ac:dyDescent="0.3">
      <c r="AV174" t="s">
        <v>8528</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NTW20Mod</v>
      </c>
      <c r="BP174" s="1" t="str">
        <f t="shared" si="58"/>
        <v/>
      </c>
      <c r="BQ174" s="1" t="str">
        <f t="shared" si="59"/>
        <v/>
      </c>
      <c r="BR174" s="1" t="str">
        <f t="shared" si="60"/>
        <v/>
      </c>
      <c r="BS174" s="1" t="str">
        <f t="shared" si="61"/>
        <v/>
      </c>
    </row>
    <row r="175" spans="48:71" x14ac:dyDescent="0.3">
      <c r="AV175" t="s">
        <v>131</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NTW20ModGZ</v>
      </c>
      <c r="BP175" s="1" t="str">
        <f t="shared" si="58"/>
        <v/>
      </c>
      <c r="BQ175" s="1" t="str">
        <f t="shared" si="59"/>
        <v/>
      </c>
      <c r="BR175" s="1" t="str">
        <f t="shared" si="60"/>
        <v/>
      </c>
      <c r="BS175" s="1" t="str">
        <f t="shared" si="61"/>
        <v/>
      </c>
    </row>
    <row r="176" spans="48:71" x14ac:dyDescent="0.3">
      <c r="AV176" t="s">
        <v>6487</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NZ75</v>
      </c>
      <c r="BP176" s="1" t="str">
        <f t="shared" si="58"/>
        <v/>
      </c>
      <c r="BQ176" s="1" t="str">
        <f t="shared" si="59"/>
        <v/>
      </c>
      <c r="BR176" s="1" t="str">
        <f t="shared" si="60"/>
        <v/>
      </c>
      <c r="BS176" s="1" t="str">
        <f t="shared" si="61"/>
        <v/>
      </c>
    </row>
    <row r="177" spans="48:71" x14ac:dyDescent="0.3">
      <c r="AV177" t="s">
        <v>1693</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OBRMod</v>
      </c>
      <c r="BP177" s="1" t="str">
        <f t="shared" si="58"/>
        <v/>
      </c>
      <c r="BQ177" s="1" t="str">
        <f t="shared" si="59"/>
        <v/>
      </c>
      <c r="BR177" s="1" t="str">
        <f t="shared" si="60"/>
        <v/>
      </c>
      <c r="BS177" s="1" t="str">
        <f t="shared" si="61"/>
        <v/>
      </c>
    </row>
    <row r="178" spans="48:71" x14ac:dyDescent="0.3">
      <c r="AV178" t="s">
        <v>1624</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Ots12</v>
      </c>
      <c r="BP178" s="1" t="str">
        <f t="shared" si="58"/>
        <v/>
      </c>
      <c r="BQ178" s="1" t="str">
        <f t="shared" si="59"/>
        <v/>
      </c>
      <c r="BR178" s="1" t="str">
        <f t="shared" si="60"/>
        <v/>
      </c>
      <c r="BS178" s="1" t="str">
        <f t="shared" si="61"/>
        <v/>
      </c>
    </row>
    <row r="179" spans="48:71" x14ac:dyDescent="0.3">
      <c r="AV179" t="s">
        <v>1694</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OTs14</v>
      </c>
      <c r="BP179" s="1" t="str">
        <f t="shared" si="58"/>
        <v/>
      </c>
      <c r="BQ179" s="1" t="str">
        <f t="shared" si="59"/>
        <v/>
      </c>
      <c r="BR179" s="1" t="str">
        <f t="shared" si="60"/>
        <v/>
      </c>
      <c r="BS179" s="1" t="str">
        <f t="shared" si="61"/>
        <v/>
      </c>
    </row>
    <row r="180" spans="48:71" x14ac:dyDescent="0.3">
      <c r="AV180" t="s">
        <v>71</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Ots44</v>
      </c>
      <c r="BP180" s="1" t="str">
        <f t="shared" si="58"/>
        <v/>
      </c>
      <c r="BQ180" s="1" t="str">
        <f t="shared" si="59"/>
        <v/>
      </c>
      <c r="BR180" s="1" t="str">
        <f t="shared" si="60"/>
        <v/>
      </c>
      <c r="BS180" s="1" t="str">
        <f t="shared" si="61"/>
        <v/>
      </c>
    </row>
    <row r="181" spans="48:71" x14ac:dyDescent="0.3">
      <c r="AV181" t="s">
        <v>197</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P08</v>
      </c>
      <c r="BP181" s="1" t="str">
        <f t="shared" si="58"/>
        <v/>
      </c>
      <c r="BQ181" s="1" t="str">
        <f t="shared" si="59"/>
        <v/>
      </c>
      <c r="BR181" s="1" t="str">
        <f t="shared" si="60"/>
        <v/>
      </c>
      <c r="BS181" s="1" t="str">
        <f t="shared" si="61"/>
        <v/>
      </c>
    </row>
    <row r="182" spans="48:71" x14ac:dyDescent="0.3">
      <c r="AV182" t="s">
        <v>69</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P22</v>
      </c>
      <c r="BP182" s="1" t="str">
        <f t="shared" si="58"/>
        <v/>
      </c>
      <c r="BQ182" s="1" t="str">
        <f t="shared" si="59"/>
        <v/>
      </c>
      <c r="BR182" s="1" t="str">
        <f t="shared" si="60"/>
        <v/>
      </c>
      <c r="BS182" s="1" t="str">
        <f t="shared" si="61"/>
        <v/>
      </c>
    </row>
    <row r="183" spans="48:71" x14ac:dyDescent="0.3">
      <c r="AV183" t="s">
        <v>122</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P38</v>
      </c>
      <c r="BP183" s="1" t="str">
        <f t="shared" si="58"/>
        <v/>
      </c>
      <c r="BQ183" s="1" t="str">
        <f t="shared" si="59"/>
        <v/>
      </c>
      <c r="BR183" s="1" t="str">
        <f t="shared" si="60"/>
        <v/>
      </c>
      <c r="BS183" s="1" t="str">
        <f t="shared" si="61"/>
        <v/>
      </c>
    </row>
    <row r="184" spans="48:71" x14ac:dyDescent="0.3">
      <c r="AV184" t="s">
        <v>190</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P7</v>
      </c>
      <c r="BP184" s="1" t="str">
        <f t="shared" si="58"/>
        <v/>
      </c>
      <c r="BQ184" s="1" t="str">
        <f t="shared" si="59"/>
        <v/>
      </c>
      <c r="BR184" s="1" t="str">
        <f t="shared" si="60"/>
        <v/>
      </c>
      <c r="BS184" s="1" t="str">
        <f t="shared" si="61"/>
        <v/>
      </c>
    </row>
    <row r="185" spans="48:71" x14ac:dyDescent="0.3">
      <c r="AV185" t="s">
        <v>129</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P90</v>
      </c>
      <c r="BP185" s="1" t="str">
        <f t="shared" si="58"/>
        <v/>
      </c>
      <c r="BQ185" s="1" t="str">
        <f t="shared" si="59"/>
        <v/>
      </c>
      <c r="BR185" s="1" t="str">
        <f t="shared" si="60"/>
        <v/>
      </c>
      <c r="BS185" s="1" t="str">
        <f t="shared" si="61"/>
        <v/>
      </c>
    </row>
    <row r="186" spans="48:71" x14ac:dyDescent="0.3">
      <c r="AV186" t="s">
        <v>1653</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P99</v>
      </c>
      <c r="BP186" s="1" t="str">
        <f t="shared" si="58"/>
        <v/>
      </c>
      <c r="BQ186" s="1" t="str">
        <f t="shared" si="59"/>
        <v/>
      </c>
      <c r="BR186" s="1" t="str">
        <f t="shared" si="60"/>
        <v/>
      </c>
      <c r="BS186" s="1" t="str">
        <f t="shared" si="61"/>
        <v/>
      </c>
    </row>
    <row r="187" spans="48:71" x14ac:dyDescent="0.3">
      <c r="AV187" t="s">
        <v>1393</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PA15</v>
      </c>
      <c r="BP187" s="1" t="str">
        <f t="shared" si="58"/>
        <v/>
      </c>
      <c r="BQ187" s="1" t="str">
        <f t="shared" si="59"/>
        <v/>
      </c>
      <c r="BR187" s="1" t="str">
        <f t="shared" si="60"/>
        <v/>
      </c>
      <c r="BS187" s="1" t="str">
        <f t="shared" si="61"/>
        <v/>
      </c>
    </row>
    <row r="188" spans="48:71" x14ac:dyDescent="0.3">
      <c r="AV188" t="s">
        <v>111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Pekola</v>
      </c>
      <c r="BP188" s="1" t="str">
        <f t="shared" si="58"/>
        <v/>
      </c>
      <c r="BQ188" s="1" t="str">
        <f t="shared" si="59"/>
        <v/>
      </c>
      <c r="BR188" s="1" t="str">
        <f t="shared" si="60"/>
        <v/>
      </c>
      <c r="BS188" s="1" t="str">
        <f t="shared" si="61"/>
        <v/>
      </c>
    </row>
    <row r="189" spans="48:71" x14ac:dyDescent="0.3">
      <c r="AV189" t="s">
        <v>154</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PK</v>
      </c>
      <c r="BP189" s="1" t="str">
        <f t="shared" si="58"/>
        <v/>
      </c>
      <c r="BQ189" s="1" t="str">
        <f t="shared" si="59"/>
        <v/>
      </c>
      <c r="BR189" s="1" t="str">
        <f t="shared" si="60"/>
        <v/>
      </c>
      <c r="BS189" s="1" t="str">
        <f t="shared" si="61"/>
        <v/>
      </c>
    </row>
    <row r="190" spans="48:71" x14ac:dyDescent="0.3">
      <c r="AV190" t="s">
        <v>8908</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PKP</v>
      </c>
      <c r="BP190" s="1" t="str">
        <f t="shared" si="58"/>
        <v/>
      </c>
      <c r="BQ190" s="1" t="str">
        <f t="shared" si="59"/>
        <v/>
      </c>
      <c r="BR190" s="1" t="str">
        <f t="shared" si="60"/>
        <v/>
      </c>
      <c r="BS190" s="1" t="str">
        <f t="shared" si="61"/>
        <v/>
      </c>
    </row>
    <row r="191" spans="48:71" x14ac:dyDescent="0.3">
      <c r="AV191" t="s">
        <v>1684</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PKPGZ</v>
      </c>
      <c r="BP191" s="1" t="str">
        <f t="shared" si="58"/>
        <v/>
      </c>
      <c r="BQ191" s="1" t="str">
        <f t="shared" si="59"/>
        <v/>
      </c>
      <c r="BR191" s="1" t="str">
        <f t="shared" si="60"/>
        <v/>
      </c>
      <c r="BS191" s="1" t="str">
        <f t="shared" si="61"/>
        <v/>
      </c>
    </row>
    <row r="192" spans="48:71" x14ac:dyDescent="0.3">
      <c r="AV192" t="s">
        <v>1133</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PP19Mod</v>
      </c>
      <c r="BP192" s="1" t="str">
        <f t="shared" si="58"/>
        <v/>
      </c>
      <c r="BQ192" s="1" t="str">
        <f t="shared" si="59"/>
        <v/>
      </c>
      <c r="BR192" s="1" t="str">
        <f t="shared" si="60"/>
        <v/>
      </c>
      <c r="BS192" s="1" t="str">
        <f t="shared" si="61"/>
        <v/>
      </c>
    </row>
    <row r="193" spans="48:71" x14ac:dyDescent="0.3">
      <c r="AV193" t="s">
        <v>1611</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PP2000</v>
      </c>
      <c r="BP193" s="1" t="str">
        <f t="shared" si="58"/>
        <v/>
      </c>
      <c r="BQ193" s="1" t="str">
        <f t="shared" si="59"/>
        <v/>
      </c>
      <c r="BR193" s="1" t="str">
        <f t="shared" si="60"/>
        <v/>
      </c>
      <c r="BS193" s="1" t="str">
        <f t="shared" si="61"/>
        <v/>
      </c>
    </row>
    <row r="194" spans="48:71" x14ac:dyDescent="0.3">
      <c r="AV194" t="s">
        <v>70</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PP90</v>
      </c>
      <c r="BP194" s="1" t="str">
        <f t="shared" si="58"/>
        <v/>
      </c>
      <c r="BQ194" s="1" t="str">
        <f t="shared" si="59"/>
        <v/>
      </c>
      <c r="BR194" s="1" t="str">
        <f t="shared" si="60"/>
        <v/>
      </c>
      <c r="BS194" s="1" t="str">
        <f t="shared" si="61"/>
        <v/>
      </c>
    </row>
    <row r="195" spans="48:71" x14ac:dyDescent="0.3">
      <c r="AV195" t="s">
        <v>6466</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PPK</v>
      </c>
      <c r="BP195" s="1" t="str">
        <f t="shared" si="58"/>
        <v/>
      </c>
      <c r="BQ195" s="1" t="str">
        <f t="shared" si="59"/>
        <v/>
      </c>
      <c r="BR195" s="1" t="str">
        <f t="shared" si="60"/>
        <v/>
      </c>
      <c r="BS195" s="1" t="str">
        <f t="shared" si="61"/>
        <v/>
      </c>
    </row>
    <row r="196" spans="48:71" x14ac:dyDescent="0.3">
      <c r="AV196" t="s">
        <v>8119</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PPKMod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904</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PPKModGZ</v>
      </c>
      <c r="BP197" s="1" t="str">
        <f t="shared" si="78"/>
        <v/>
      </c>
      <c r="BQ197" s="1" t="str">
        <f t="shared" si="79"/>
        <v/>
      </c>
      <c r="BR197" s="1" t="str">
        <f t="shared" si="80"/>
        <v/>
      </c>
      <c r="BS197" s="1" t="str">
        <f t="shared" si="81"/>
        <v/>
      </c>
    </row>
    <row r="198" spans="48:71" x14ac:dyDescent="0.3">
      <c r="AV198" t="s">
        <v>5721</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PPSh41</v>
      </c>
      <c r="BP198" s="1" t="str">
        <f t="shared" si="78"/>
        <v/>
      </c>
      <c r="BQ198" s="1" t="str">
        <f t="shared" si="79"/>
        <v/>
      </c>
      <c r="BR198" s="1" t="str">
        <f t="shared" si="80"/>
        <v/>
      </c>
      <c r="BS198" s="1" t="str">
        <f t="shared" si="81"/>
        <v/>
      </c>
    </row>
    <row r="199" spans="48:71" x14ac:dyDescent="0.3">
      <c r="AV199" t="s">
        <v>8120</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PPsh41Mod</v>
      </c>
      <c r="BP199" s="1" t="str">
        <f t="shared" si="78"/>
        <v/>
      </c>
      <c r="BQ199" s="1" t="str">
        <f t="shared" si="79"/>
        <v/>
      </c>
      <c r="BR199" s="1" t="str">
        <f t="shared" si="80"/>
        <v/>
      </c>
      <c r="BS199" s="1" t="str">
        <f t="shared" si="81"/>
        <v/>
      </c>
    </row>
    <row r="200" spans="48:71" x14ac:dyDescent="0.3">
      <c r="AV200" t="s">
        <v>91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PPSh41ModGZ</v>
      </c>
      <c r="BP200" s="1" t="str">
        <f t="shared" si="78"/>
        <v/>
      </c>
      <c r="BQ200" s="1" t="str">
        <f t="shared" si="79"/>
        <v/>
      </c>
      <c r="BR200" s="1" t="str">
        <f t="shared" si="80"/>
        <v/>
      </c>
      <c r="BS200" s="1" t="str">
        <f t="shared" si="81"/>
        <v/>
      </c>
    </row>
    <row r="201" spans="48:71" x14ac:dyDescent="0.3">
      <c r="AV201" t="s">
        <v>186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PTRD</v>
      </c>
      <c r="BP201" s="1" t="str">
        <f t="shared" si="78"/>
        <v/>
      </c>
      <c r="BQ201" s="1" t="str">
        <f t="shared" si="79"/>
        <v/>
      </c>
      <c r="BR201" s="1" t="str">
        <f t="shared" si="80"/>
        <v/>
      </c>
      <c r="BS201" s="1" t="str">
        <f t="shared" si="81"/>
        <v/>
      </c>
    </row>
    <row r="202" spans="48:71" x14ac:dyDescent="0.3">
      <c r="AV202" t="s">
        <v>8627</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Px4 Storm</v>
      </c>
      <c r="BP202" s="1" t="str">
        <f t="shared" si="78"/>
        <v/>
      </c>
      <c r="BQ202" s="1" t="str">
        <f t="shared" si="79"/>
        <v/>
      </c>
      <c r="BR202" s="1" t="str">
        <f t="shared" si="80"/>
        <v/>
      </c>
      <c r="BS202" s="1" t="str">
        <f t="shared" si="81"/>
        <v/>
      </c>
    </row>
    <row r="203" spans="48:71" x14ac:dyDescent="0.3">
      <c r="AV203" t="s">
        <v>64</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Px4 StormMod</v>
      </c>
      <c r="BP203" s="1" t="str">
        <f t="shared" si="78"/>
        <v/>
      </c>
      <c r="BQ203" s="1" t="str">
        <f t="shared" si="79"/>
        <v/>
      </c>
      <c r="BR203" s="1" t="str">
        <f t="shared" si="80"/>
        <v/>
      </c>
      <c r="BS203" s="1" t="str">
        <f t="shared" si="81"/>
        <v/>
      </c>
    </row>
    <row r="204" spans="48:71" x14ac:dyDescent="0.3">
      <c r="AV204" t="s">
        <v>159</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Python</v>
      </c>
      <c r="BP204" s="1" t="str">
        <f t="shared" si="78"/>
        <v/>
      </c>
      <c r="BQ204" s="1" t="str">
        <f t="shared" si="79"/>
        <v/>
      </c>
      <c r="BR204" s="1" t="str">
        <f t="shared" si="80"/>
        <v/>
      </c>
      <c r="BS204" s="1" t="str">
        <f t="shared" si="81"/>
        <v/>
      </c>
    </row>
    <row r="205" spans="48:71" x14ac:dyDescent="0.3">
      <c r="AV205" t="s">
        <v>1654</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PzB39</v>
      </c>
      <c r="BP205" s="1" t="str">
        <f t="shared" si="78"/>
        <v/>
      </c>
      <c r="BQ205" s="1" t="str">
        <f t="shared" si="79"/>
        <v/>
      </c>
      <c r="BR205" s="1" t="str">
        <f t="shared" si="80"/>
        <v/>
      </c>
      <c r="BS205" s="1" t="str">
        <f t="shared" si="81"/>
        <v/>
      </c>
    </row>
    <row r="206" spans="48:71" x14ac:dyDescent="0.3">
      <c r="AV206" t="s">
        <v>8964</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QBU88</v>
      </c>
      <c r="BP206" s="1" t="str">
        <f t="shared" si="78"/>
        <v/>
      </c>
      <c r="BQ206" s="1" t="str">
        <f t="shared" si="79"/>
        <v/>
      </c>
      <c r="BR206" s="1" t="str">
        <f t="shared" si="80"/>
        <v/>
      </c>
      <c r="BS206" s="1" t="str">
        <f t="shared" si="81"/>
        <v/>
      </c>
    </row>
    <row r="207" spans="48:71" x14ac:dyDescent="0.3">
      <c r="AV207" t="s">
        <v>229</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Rex Zero 1Mod</v>
      </c>
      <c r="BP207" s="1" t="str">
        <f t="shared" si="78"/>
        <v/>
      </c>
      <c r="BQ207" s="1" t="str">
        <f t="shared" si="79"/>
        <v/>
      </c>
      <c r="BR207" s="1" t="str">
        <f t="shared" si="80"/>
        <v/>
      </c>
      <c r="BS207" s="1" t="str">
        <f t="shared" si="81"/>
        <v/>
      </c>
    </row>
    <row r="208" spans="48:71" x14ac:dyDescent="0.3">
      <c r="AV208" t="s">
        <v>1754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RFB</v>
      </c>
      <c r="BP208" s="1" t="str">
        <f t="shared" si="78"/>
        <v/>
      </c>
      <c r="BQ208" s="1" t="str">
        <f t="shared" si="79"/>
        <v/>
      </c>
      <c r="BR208" s="1" t="str">
        <f t="shared" si="80"/>
        <v/>
      </c>
      <c r="BS208" s="1" t="str">
        <f t="shared" si="81"/>
        <v/>
      </c>
    </row>
    <row r="209" spans="48:71" x14ac:dyDescent="0.3">
      <c r="AV209" t="s">
        <v>248</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Ribeyrolles1918Mod</v>
      </c>
      <c r="BP209" s="1" t="str">
        <f t="shared" si="78"/>
        <v/>
      </c>
      <c r="BQ209" s="1" t="str">
        <f t="shared" si="79"/>
        <v/>
      </c>
      <c r="BR209" s="1" t="str">
        <f t="shared" si="80"/>
        <v/>
      </c>
      <c r="BS209" s="1" t="str">
        <f t="shared" si="81"/>
        <v/>
      </c>
    </row>
    <row r="210" spans="48:71" x14ac:dyDescent="0.3">
      <c r="AV210" t="s">
        <v>927</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Rico</v>
      </c>
      <c r="BP210" s="1" t="str">
        <f t="shared" si="78"/>
        <v/>
      </c>
      <c r="BQ210" s="1" t="str">
        <f t="shared" si="79"/>
        <v/>
      </c>
      <c r="BR210" s="1" t="str">
        <f t="shared" si="80"/>
        <v/>
      </c>
      <c r="BS210" s="1" t="str">
        <f t="shared" si="81"/>
        <v/>
      </c>
    </row>
    <row r="211" spans="48:71" x14ac:dyDescent="0.3">
      <c r="AV211" t="s">
        <v>825</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RMB93Mod</v>
      </c>
      <c r="BP211" s="1" t="str">
        <f t="shared" si="78"/>
        <v/>
      </c>
      <c r="BQ211" s="1" t="str">
        <f t="shared" si="79"/>
        <v/>
      </c>
      <c r="BR211" s="1" t="str">
        <f t="shared" si="80"/>
        <v/>
      </c>
      <c r="BS211" s="1" t="str">
        <f t="shared" si="81"/>
        <v/>
      </c>
    </row>
    <row r="212" spans="48:71" x14ac:dyDescent="0.3">
      <c r="AV212" t="s">
        <v>8704</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RO635Mod</v>
      </c>
      <c r="BP212" s="1" t="str">
        <f t="shared" si="78"/>
        <v/>
      </c>
      <c r="BQ212" s="1" t="str">
        <f t="shared" si="79"/>
        <v/>
      </c>
      <c r="BR212" s="1" t="str">
        <f t="shared" si="80"/>
        <v/>
      </c>
      <c r="BS212" s="1" t="str">
        <f t="shared" si="81"/>
        <v/>
      </c>
    </row>
    <row r="213" spans="48:71" x14ac:dyDescent="0.3">
      <c r="AV213" t="s">
        <v>110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RO635ModGZ</v>
      </c>
      <c r="BP213" s="1" t="str">
        <f t="shared" si="78"/>
        <v/>
      </c>
      <c r="BQ213" s="1" t="str">
        <f t="shared" si="79"/>
        <v/>
      </c>
      <c r="BR213" s="1" t="str">
        <f t="shared" si="80"/>
        <v/>
      </c>
      <c r="BS213" s="1" t="str">
        <f t="shared" si="81"/>
        <v/>
      </c>
    </row>
    <row r="214" spans="48:71" x14ac:dyDescent="0.3">
      <c r="AV214" t="s">
        <v>266</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RPD</v>
      </c>
      <c r="BP214" s="1" t="str">
        <f t="shared" si="78"/>
        <v/>
      </c>
      <c r="BQ214" s="1" t="str">
        <f t="shared" si="79"/>
        <v/>
      </c>
      <c r="BR214" s="1" t="str">
        <f t="shared" si="80"/>
        <v/>
      </c>
      <c r="BS214" s="1" t="str">
        <f t="shared" si="81"/>
        <v/>
      </c>
    </row>
    <row r="215" spans="48:71" x14ac:dyDescent="0.3">
      <c r="AV215" t="s">
        <v>1634</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SAAMod</v>
      </c>
      <c r="BP215" s="1" t="str">
        <f t="shared" si="78"/>
        <v/>
      </c>
      <c r="BQ215" s="1" t="str">
        <f t="shared" si="79"/>
        <v/>
      </c>
      <c r="BR215" s="1" t="str">
        <f t="shared" si="80"/>
        <v/>
      </c>
      <c r="BS215" s="1" t="str">
        <f t="shared" si="81"/>
        <v/>
      </c>
    </row>
    <row r="216" spans="48:71" x14ac:dyDescent="0.3">
      <c r="AV216" t="s">
        <v>7023</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Saiga12</v>
      </c>
      <c r="BP216" s="1" t="str">
        <f t="shared" si="78"/>
        <v/>
      </c>
      <c r="BQ216" s="1" t="str">
        <f t="shared" si="79"/>
        <v/>
      </c>
      <c r="BR216" s="1" t="str">
        <f t="shared" si="80"/>
        <v/>
      </c>
      <c r="BS216" s="1" t="str">
        <f t="shared" si="81"/>
        <v/>
      </c>
    </row>
    <row r="217" spans="48:71" x14ac:dyDescent="0.3">
      <c r="AV217" t="s">
        <v>235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Saki</v>
      </c>
      <c r="BP217" s="1" t="str">
        <f t="shared" si="78"/>
        <v/>
      </c>
      <c r="BQ217" s="1" t="str">
        <f t="shared" si="79"/>
        <v/>
      </c>
      <c r="BR217" s="1" t="str">
        <f t="shared" si="80"/>
        <v/>
      </c>
      <c r="BS217" s="1" t="str">
        <f t="shared" si="81"/>
        <v/>
      </c>
    </row>
    <row r="218" spans="48:71" x14ac:dyDescent="0.3">
      <c r="AV218" t="s">
        <v>6897</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Sakura</v>
      </c>
      <c r="BP218" s="1" t="str">
        <f t="shared" si="78"/>
        <v/>
      </c>
      <c r="BQ218" s="1" t="str">
        <f t="shared" si="79"/>
        <v/>
      </c>
      <c r="BR218" s="1" t="str">
        <f t="shared" si="80"/>
        <v/>
      </c>
      <c r="BS218" s="1" t="str">
        <f t="shared" si="81"/>
        <v/>
      </c>
    </row>
    <row r="219" spans="48:71" x14ac:dyDescent="0.3">
      <c r="AV219" t="s">
        <v>6905</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SCAR-H</v>
      </c>
      <c r="BP219" s="1" t="str">
        <f t="shared" si="78"/>
        <v/>
      </c>
      <c r="BQ219" s="1" t="str">
        <f t="shared" si="79"/>
        <v/>
      </c>
      <c r="BR219" s="1" t="str">
        <f t="shared" si="80"/>
        <v/>
      </c>
      <c r="BS219" s="1" t="str">
        <f t="shared" si="81"/>
        <v/>
      </c>
    </row>
    <row r="220" spans="48:71" x14ac:dyDescent="0.3">
      <c r="AV220" t="s">
        <v>750</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SCAR-L</v>
      </c>
      <c r="BP220" s="1" t="str">
        <f t="shared" si="78"/>
        <v/>
      </c>
      <c r="BQ220" s="1" t="str">
        <f t="shared" si="79"/>
        <v/>
      </c>
      <c r="BR220" s="1" t="str">
        <f t="shared" si="80"/>
        <v/>
      </c>
      <c r="BS220" s="1" t="str">
        <f t="shared" si="81"/>
        <v/>
      </c>
    </row>
    <row r="221" spans="48:71" x14ac:dyDescent="0.3">
      <c r="AV221" t="s">
        <v>731</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SCW</v>
      </c>
      <c r="BP221" s="1" t="str">
        <f t="shared" si="78"/>
        <v/>
      </c>
      <c r="BQ221" s="1" t="str">
        <f t="shared" si="79"/>
        <v/>
      </c>
      <c r="BR221" s="1" t="str">
        <f t="shared" si="80"/>
        <v/>
      </c>
      <c r="BS221" s="1" t="str">
        <f t="shared" si="81"/>
        <v/>
      </c>
    </row>
    <row r="222" spans="48:71" x14ac:dyDescent="0.3">
      <c r="AV222" t="s">
        <v>749</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Sei</v>
      </c>
      <c r="BP222" s="1" t="str">
        <f t="shared" si="78"/>
        <v/>
      </c>
      <c r="BQ222" s="1" t="str">
        <f t="shared" si="79"/>
        <v/>
      </c>
      <c r="BR222" s="1" t="str">
        <f t="shared" si="80"/>
        <v/>
      </c>
      <c r="BS222" s="1" t="str">
        <f t="shared" si="81"/>
        <v/>
      </c>
    </row>
    <row r="223" spans="48:71" x14ac:dyDescent="0.3">
      <c r="AV223" t="s">
        <v>144</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Serdyukov</v>
      </c>
      <c r="BP223" s="1" t="str">
        <f t="shared" si="78"/>
        <v/>
      </c>
      <c r="BQ223" s="1" t="str">
        <f t="shared" si="79"/>
        <v/>
      </c>
      <c r="BR223" s="1" t="str">
        <f t="shared" si="80"/>
        <v/>
      </c>
      <c r="BS223" s="1" t="str">
        <f t="shared" si="81"/>
        <v/>
      </c>
    </row>
    <row r="224" spans="48:71" x14ac:dyDescent="0.3">
      <c r="AV224" t="s">
        <v>744</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Shipka</v>
      </c>
      <c r="BP224" s="1" t="str">
        <f t="shared" si="78"/>
        <v/>
      </c>
      <c r="BQ224" s="1" t="str">
        <f t="shared" si="79"/>
        <v/>
      </c>
      <c r="BR224" s="1" t="str">
        <f t="shared" si="80"/>
        <v/>
      </c>
      <c r="BS224" s="1" t="str">
        <f t="shared" si="81"/>
        <v/>
      </c>
    </row>
    <row r="225" spans="48:71" x14ac:dyDescent="0.3">
      <c r="AV225" t="s">
        <v>81</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SIG510</v>
      </c>
      <c r="BP225" s="1" t="str">
        <f t="shared" si="78"/>
        <v/>
      </c>
      <c r="BQ225" s="1" t="str">
        <f t="shared" si="79"/>
        <v/>
      </c>
      <c r="BR225" s="1" t="str">
        <f t="shared" si="80"/>
        <v/>
      </c>
      <c r="BS225" s="1" t="str">
        <f t="shared" si="81"/>
        <v/>
      </c>
    </row>
    <row r="226" spans="48:71" x14ac:dyDescent="0.3">
      <c r="AV226" t="s">
        <v>794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Skorpion</v>
      </c>
      <c r="BP226" s="1" t="str">
        <f t="shared" si="78"/>
        <v/>
      </c>
      <c r="BQ226" s="1" t="str">
        <f t="shared" si="79"/>
        <v/>
      </c>
      <c r="BR226" s="1" t="str">
        <f t="shared" si="80"/>
        <v/>
      </c>
      <c r="BS226" s="1" t="str">
        <f t="shared" si="81"/>
        <v/>
      </c>
    </row>
    <row r="227" spans="48:71" x14ac:dyDescent="0.3">
      <c r="AV227" t="s">
        <v>116</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SL8</v>
      </c>
      <c r="BP227" s="1" t="str">
        <f t="shared" si="78"/>
        <v/>
      </c>
      <c r="BQ227" s="1" t="str">
        <f t="shared" si="79"/>
        <v/>
      </c>
      <c r="BR227" s="1" t="str">
        <f t="shared" si="80"/>
        <v/>
      </c>
      <c r="BS227" s="1" t="str">
        <f t="shared" si="81"/>
        <v/>
      </c>
    </row>
    <row r="228" spans="48:71" x14ac:dyDescent="0.3">
      <c r="AV228" t="s">
        <v>87</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Spectre M4</v>
      </c>
      <c r="BP228" s="1" t="str">
        <f t="shared" si="78"/>
        <v/>
      </c>
      <c r="BQ228" s="1" t="str">
        <f t="shared" si="79"/>
        <v/>
      </c>
      <c r="BR228" s="1" t="str">
        <f t="shared" si="80"/>
        <v/>
      </c>
      <c r="BS228" s="1" t="str">
        <f t="shared" si="81"/>
        <v/>
      </c>
    </row>
    <row r="229" spans="48:71" x14ac:dyDescent="0.3">
      <c r="AV229" t="s">
        <v>1626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Springfield</v>
      </c>
      <c r="BP229" s="1" t="str">
        <f t="shared" si="78"/>
        <v/>
      </c>
      <c r="BQ229" s="1" t="str">
        <f t="shared" si="79"/>
        <v/>
      </c>
      <c r="BR229" s="1" t="str">
        <f t="shared" si="80"/>
        <v/>
      </c>
      <c r="BS229" s="1" t="str">
        <f t="shared" si="81"/>
        <v/>
      </c>
    </row>
    <row r="230" spans="48:71" x14ac:dyDescent="0.3">
      <c r="AV230" t="s">
        <v>8979</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SR3MP</v>
      </c>
      <c r="BP230" s="1" t="str">
        <f t="shared" si="78"/>
        <v/>
      </c>
      <c r="BQ230" s="1" t="str">
        <f t="shared" si="79"/>
        <v/>
      </c>
      <c r="BR230" s="1" t="str">
        <f t="shared" si="80"/>
        <v/>
      </c>
      <c r="BS230" s="1" t="str">
        <f t="shared" si="81"/>
        <v/>
      </c>
    </row>
    <row r="231" spans="48:71" x14ac:dyDescent="0.3">
      <c r="AV231" t="s">
        <v>100</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SR3MPGZ</v>
      </c>
      <c r="BP231" s="1" t="str">
        <f t="shared" si="78"/>
        <v/>
      </c>
      <c r="BQ231" s="1" t="str">
        <f t="shared" si="79"/>
        <v/>
      </c>
      <c r="BR231" s="1" t="str">
        <f t="shared" si="80"/>
        <v/>
      </c>
      <c r="BS231" s="1" t="str">
        <f t="shared" si="81"/>
        <v/>
      </c>
    </row>
    <row r="232" spans="48:71" x14ac:dyDescent="0.3">
      <c r="AV232" t="s">
        <v>1682</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ST AR-15</v>
      </c>
      <c r="BP232" s="1" t="str">
        <f t="shared" si="78"/>
        <v/>
      </c>
      <c r="BQ232" s="1" t="str">
        <f t="shared" si="79"/>
        <v/>
      </c>
      <c r="BR232" s="1" t="str">
        <f t="shared" si="80"/>
        <v/>
      </c>
      <c r="BS232" s="1" t="str">
        <f t="shared" si="81"/>
        <v/>
      </c>
    </row>
    <row r="233" spans="48:71" x14ac:dyDescent="0.3">
      <c r="AV233" t="s">
        <v>8122</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ST AR15Mod</v>
      </c>
      <c r="BP233" s="1" t="str">
        <f t="shared" si="78"/>
        <v/>
      </c>
      <c r="BQ233" s="1" t="str">
        <f t="shared" si="79"/>
        <v/>
      </c>
      <c r="BR233" s="1" t="str">
        <f t="shared" si="80"/>
        <v/>
      </c>
      <c r="BS233" s="1" t="str">
        <f t="shared" si="81"/>
        <v/>
      </c>
    </row>
    <row r="234" spans="48:71" x14ac:dyDescent="0.3">
      <c r="AV234" t="s">
        <v>67</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ST AR15ModGZ</v>
      </c>
      <c r="BP234" s="1" t="str">
        <f t="shared" si="78"/>
        <v/>
      </c>
      <c r="BQ234" s="1" t="str">
        <f t="shared" si="79"/>
        <v/>
      </c>
      <c r="BR234" s="1" t="str">
        <f t="shared" si="80"/>
        <v/>
      </c>
      <c r="BS234" s="1" t="str">
        <f t="shared" si="81"/>
        <v/>
      </c>
    </row>
    <row r="235" spans="48:71" x14ac:dyDescent="0.3">
      <c r="AV235" t="s">
        <v>739</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Stechkin</v>
      </c>
      <c r="BP235" s="1" t="str">
        <f t="shared" si="78"/>
        <v/>
      </c>
      <c r="BQ235" s="1" t="str">
        <f t="shared" si="79"/>
        <v/>
      </c>
      <c r="BR235" s="1" t="str">
        <f t="shared" si="80"/>
        <v/>
      </c>
      <c r="BS235" s="1" t="str">
        <f t="shared" si="81"/>
        <v/>
      </c>
    </row>
    <row r="236" spans="48:71" x14ac:dyDescent="0.3">
      <c r="AV236" t="s">
        <v>8123</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StechkinMod</v>
      </c>
      <c r="BP236" s="1" t="str">
        <f t="shared" si="78"/>
        <v/>
      </c>
      <c r="BQ236" s="1" t="str">
        <f t="shared" si="79"/>
        <v/>
      </c>
      <c r="BR236" s="1" t="str">
        <f t="shared" si="80"/>
        <v/>
      </c>
      <c r="BS236" s="1" t="str">
        <f t="shared" si="81"/>
        <v/>
      </c>
    </row>
    <row r="237" spans="48:71" x14ac:dyDescent="0.3">
      <c r="AV237" t="s">
        <v>736</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StechkinModGZ</v>
      </c>
      <c r="BP237" s="1" t="str">
        <f t="shared" si="78"/>
        <v/>
      </c>
      <c r="BQ237" s="1" t="str">
        <f t="shared" si="79"/>
        <v/>
      </c>
      <c r="BR237" s="1" t="str">
        <f t="shared" si="80"/>
        <v/>
      </c>
      <c r="BS237" s="1" t="str">
        <f t="shared" si="81"/>
        <v/>
      </c>
    </row>
    <row r="238" spans="48:71" x14ac:dyDescent="0.3">
      <c r="AV238" t="s">
        <v>828</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Stella</v>
      </c>
      <c r="BP238" s="1" t="str">
        <f t="shared" si="78"/>
        <v/>
      </c>
      <c r="BQ238" s="1" t="str">
        <f t="shared" si="79"/>
        <v/>
      </c>
      <c r="BR238" s="1" t="str">
        <f t="shared" si="80"/>
        <v/>
      </c>
      <c r="BS238" s="1" t="str">
        <f t="shared" si="81"/>
        <v/>
      </c>
    </row>
    <row r="239" spans="48:71" x14ac:dyDescent="0.3">
      <c r="AV239" t="s">
        <v>8966</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STEN MkIIMod</v>
      </c>
      <c r="BP239" s="1" t="str">
        <f t="shared" si="78"/>
        <v/>
      </c>
      <c r="BQ239" s="1" t="str">
        <f t="shared" si="79"/>
        <v/>
      </c>
      <c r="BR239" s="1" t="str">
        <f t="shared" si="80"/>
        <v/>
      </c>
      <c r="BS239" s="1" t="str">
        <f t="shared" si="81"/>
        <v/>
      </c>
    </row>
    <row r="240" spans="48:71" x14ac:dyDescent="0.3">
      <c r="AV240" t="s">
        <v>725</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STEN MkIIModGZ</v>
      </c>
      <c r="BP240" s="1" t="str">
        <f t="shared" si="78"/>
        <v/>
      </c>
      <c r="BQ240" s="1" t="str">
        <f t="shared" si="79"/>
        <v/>
      </c>
      <c r="BR240" s="1" t="str">
        <f t="shared" si="80"/>
        <v/>
      </c>
      <c r="BS240" s="1" t="str">
        <f t="shared" si="81"/>
        <v/>
      </c>
    </row>
    <row r="241" spans="48:71" x14ac:dyDescent="0.3">
      <c r="AV241" t="s">
        <v>8978</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Stg44Mod</v>
      </c>
      <c r="BP241" s="1" t="str">
        <f t="shared" si="78"/>
        <v/>
      </c>
      <c r="BQ241" s="1" t="str">
        <f t="shared" si="79"/>
        <v/>
      </c>
      <c r="BR241" s="1" t="str">
        <f t="shared" si="80"/>
        <v/>
      </c>
      <c r="BS241" s="1" t="str">
        <f t="shared" si="81"/>
        <v/>
      </c>
    </row>
    <row r="242" spans="48:71" x14ac:dyDescent="0.3">
      <c r="AV242" t="s">
        <v>127</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StG44ModGZ</v>
      </c>
      <c r="BP242" s="1" t="str">
        <f t="shared" si="78"/>
        <v/>
      </c>
      <c r="BQ242" s="1" t="str">
        <f t="shared" si="79"/>
        <v/>
      </c>
      <c r="BR242" s="1" t="str">
        <f t="shared" si="80"/>
        <v/>
      </c>
      <c r="BS242" s="1" t="str">
        <f t="shared" si="81"/>
        <v/>
      </c>
    </row>
    <row r="243" spans="48:71" x14ac:dyDescent="0.3">
      <c r="AV243" t="s">
        <v>6512</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Suomi</v>
      </c>
      <c r="BP243" s="1" t="str">
        <f t="shared" si="78"/>
        <v/>
      </c>
      <c r="BQ243" s="1" t="str">
        <f t="shared" si="79"/>
        <v/>
      </c>
      <c r="BR243" s="1" t="str">
        <f t="shared" si="80"/>
        <v/>
      </c>
      <c r="BS243" s="1" t="str">
        <f t="shared" si="81"/>
        <v/>
      </c>
    </row>
    <row r="244" spans="48:71" x14ac:dyDescent="0.3">
      <c r="AV244" t="s">
        <v>832</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SuomiMod</v>
      </c>
      <c r="BP244" s="1" t="str">
        <f t="shared" si="78"/>
        <v/>
      </c>
      <c r="BQ244" s="1" t="str">
        <f t="shared" si="79"/>
        <v/>
      </c>
      <c r="BR244" s="1" t="str">
        <f t="shared" si="80"/>
        <v/>
      </c>
      <c r="BS244" s="1" t="str">
        <f t="shared" si="81"/>
        <v/>
      </c>
    </row>
    <row r="245" spans="48:71" x14ac:dyDescent="0.3">
      <c r="AV245" t="s">
        <v>1680</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Super SASSMod</v>
      </c>
      <c r="BP245" s="1" t="str">
        <f t="shared" si="78"/>
        <v/>
      </c>
      <c r="BQ245" s="1" t="str">
        <f t="shared" si="79"/>
        <v/>
      </c>
      <c r="BR245" s="1" t="str">
        <f t="shared" si="80"/>
        <v/>
      </c>
      <c r="BS245" s="1" t="str">
        <f t="shared" si="81"/>
        <v/>
      </c>
    </row>
    <row r="246" spans="48:71" x14ac:dyDescent="0.3">
      <c r="AV246" t="s">
        <v>8909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SV98Mod</v>
      </c>
      <c r="BP246" s="1" t="str">
        <f t="shared" si="78"/>
        <v/>
      </c>
      <c r="BQ246" s="1" t="str">
        <f t="shared" si="79"/>
        <v/>
      </c>
      <c r="BR246" s="1" t="str">
        <f t="shared" si="80"/>
        <v/>
      </c>
      <c r="BS246" s="1" t="str">
        <f t="shared" si="81"/>
        <v/>
      </c>
    </row>
    <row r="247" spans="48:71" x14ac:dyDescent="0.3">
      <c r="AV247" t="s">
        <v>92</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SV98ModGZ</v>
      </c>
      <c r="BP247" s="1" t="str">
        <f t="shared" si="78"/>
        <v/>
      </c>
      <c r="BQ247" s="1" t="str">
        <f t="shared" si="79"/>
        <v/>
      </c>
      <c r="BR247" s="1" t="str">
        <f t="shared" si="80"/>
        <v/>
      </c>
      <c r="BS247" s="1" t="str">
        <f t="shared" si="81"/>
        <v/>
      </c>
    </row>
    <row r="248" spans="48:71" x14ac:dyDescent="0.3">
      <c r="AV248" t="s">
        <v>1612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SVD</v>
      </c>
      <c r="BP248" s="1" t="str">
        <f t="shared" si="78"/>
        <v/>
      </c>
      <c r="BQ248" s="1" t="str">
        <f t="shared" si="79"/>
        <v/>
      </c>
      <c r="BR248" s="1" t="str">
        <f t="shared" si="80"/>
        <v/>
      </c>
      <c r="BS248" s="1" t="str">
        <f t="shared" si="81"/>
        <v/>
      </c>
    </row>
    <row r="249" spans="48:71" x14ac:dyDescent="0.3">
      <c r="AV249" t="s">
        <v>181</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SVT38</v>
      </c>
      <c r="BP249" s="1" t="str">
        <f t="shared" si="78"/>
        <v/>
      </c>
      <c r="BQ249" s="1" t="str">
        <f t="shared" si="79"/>
        <v/>
      </c>
      <c r="BR249" s="1" t="str">
        <f t="shared" si="80"/>
        <v/>
      </c>
      <c r="BS249" s="1" t="str">
        <f t="shared" si="81"/>
        <v/>
      </c>
    </row>
    <row r="250" spans="48:71" x14ac:dyDescent="0.3">
      <c r="AV250" t="s">
        <v>1237</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T77</v>
      </c>
      <c r="BP250" s="1" t="str">
        <f t="shared" si="78"/>
        <v/>
      </c>
      <c r="BQ250" s="1" t="str">
        <f t="shared" si="79"/>
        <v/>
      </c>
      <c r="BR250" s="1" t="str">
        <f t="shared" si="80"/>
        <v/>
      </c>
      <c r="BS250" s="1" t="str">
        <f t="shared" si="81"/>
        <v/>
      </c>
    </row>
    <row r="251" spans="48:71" x14ac:dyDescent="0.3">
      <c r="AV251" t="s">
        <v>6974</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TAC50</v>
      </c>
      <c r="BP251" s="1" t="str">
        <f t="shared" si="78"/>
        <v/>
      </c>
      <c r="BQ251" s="1" t="str">
        <f t="shared" si="79"/>
        <v/>
      </c>
      <c r="BR251" s="1" t="str">
        <f t="shared" si="80"/>
        <v/>
      </c>
      <c r="BS251" s="1" t="str">
        <f t="shared" si="81"/>
        <v/>
      </c>
    </row>
    <row r="252" spans="48:71" x14ac:dyDescent="0.3">
      <c r="AV252" t="s">
        <v>738</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Tae</v>
      </c>
      <c r="BP252" s="1" t="str">
        <f t="shared" si="78"/>
        <v/>
      </c>
      <c r="BQ252" s="1" t="str">
        <f t="shared" si="79"/>
        <v/>
      </c>
      <c r="BR252" s="1" t="str">
        <f t="shared" si="80"/>
        <v/>
      </c>
      <c r="BS252" s="1" t="str">
        <f t="shared" si="81"/>
        <v/>
      </c>
    </row>
    <row r="253" spans="48:71" x14ac:dyDescent="0.3">
      <c r="AV253" t="s">
        <v>76</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TAR21</v>
      </c>
      <c r="BP253" s="1" t="str">
        <f t="shared" si="78"/>
        <v/>
      </c>
      <c r="BQ253" s="1" t="str">
        <f t="shared" si="79"/>
        <v/>
      </c>
      <c r="BR253" s="1" t="str">
        <f t="shared" si="80"/>
        <v/>
      </c>
      <c r="BS253" s="1" t="str">
        <f t="shared" si="81"/>
        <v/>
      </c>
    </row>
    <row r="254" spans="48:71" x14ac:dyDescent="0.3">
      <c r="AV254" t="s">
        <v>5492</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Thompson</v>
      </c>
      <c r="BP254" s="1" t="str">
        <f t="shared" si="78"/>
        <v/>
      </c>
      <c r="BQ254" s="1" t="str">
        <f t="shared" si="79"/>
        <v/>
      </c>
      <c r="BR254" s="1" t="str">
        <f t="shared" si="80"/>
        <v/>
      </c>
      <c r="BS254" s="1" t="str">
        <f t="shared" si="81"/>
        <v/>
      </c>
    </row>
    <row r="255" spans="48:71" x14ac:dyDescent="0.3">
      <c r="AV255" t="s">
        <v>156</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Thunder</v>
      </c>
      <c r="BP255" s="1" t="str">
        <f t="shared" si="78"/>
        <v/>
      </c>
      <c r="BQ255" s="1" t="str">
        <f t="shared" si="79"/>
        <v/>
      </c>
      <c r="BR255" s="1" t="str">
        <f t="shared" si="80"/>
        <v/>
      </c>
      <c r="BS255" s="1" t="str">
        <f t="shared" si="81"/>
        <v/>
      </c>
    </row>
    <row r="256" spans="48:71" x14ac:dyDescent="0.3">
      <c r="AV256" t="s">
        <v>66</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TMP</v>
      </c>
      <c r="BP256" s="1" t="str">
        <f t="shared" si="78"/>
        <v/>
      </c>
      <c r="BQ256" s="1" t="str">
        <f t="shared" si="79"/>
        <v/>
      </c>
      <c r="BR256" s="1" t="str">
        <f t="shared" si="80"/>
        <v/>
      </c>
      <c r="BS256" s="1" t="str">
        <f t="shared" si="81"/>
        <v/>
      </c>
    </row>
    <row r="257" spans="48:71" x14ac:dyDescent="0.3">
      <c r="AV257" t="s">
        <v>249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Tokarev</v>
      </c>
      <c r="BP257" s="1" t="str">
        <f t="shared" si="78"/>
        <v/>
      </c>
      <c r="BQ257" s="1" t="str">
        <f t="shared" si="79"/>
        <v/>
      </c>
      <c r="BR257" s="1" t="str">
        <f t="shared" si="80"/>
        <v/>
      </c>
      <c r="BS257" s="1" t="str">
        <f t="shared" si="81"/>
        <v/>
      </c>
    </row>
    <row r="258" spans="48:71" x14ac:dyDescent="0.3">
      <c r="AV258" t="s">
        <v>242</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Triela</v>
      </c>
      <c r="BP258" s="1" t="str">
        <f t="shared" si="78"/>
        <v/>
      </c>
      <c r="BQ258" s="1" t="str">
        <f t="shared" si="79"/>
        <v/>
      </c>
      <c r="BR258" s="1" t="str">
        <f t="shared" si="80"/>
        <v/>
      </c>
      <c r="BS258" s="1" t="str">
        <f t="shared" si="81"/>
        <v/>
      </c>
    </row>
    <row r="259" spans="48:71" x14ac:dyDescent="0.3">
      <c r="AV259" t="s">
        <v>829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 4</v>
      </c>
      <c r="BP259" s="1" t="str">
        <f t="shared" si="78"/>
        <v/>
      </c>
      <c r="BQ259" s="1" t="str">
        <f t="shared" si="79"/>
        <v/>
      </c>
      <c r="BR259" s="1" t="str">
        <f t="shared" si="80"/>
        <v/>
      </c>
      <c r="BS259" s="1" t="str">
        <f t="shared" si="81"/>
        <v/>
      </c>
    </row>
    <row r="260" spans="48:71" x14ac:dyDescent="0.3">
      <c r="AV260" t="s">
        <v>1603</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 56 RMod</v>
      </c>
      <c r="BP260" s="1" t="str">
        <f t="shared" si="83"/>
        <v/>
      </c>
      <c r="BQ260" s="1" t="str">
        <f t="shared" si="83"/>
        <v/>
      </c>
      <c r="BR260" s="1" t="str">
        <f t="shared" si="83"/>
        <v/>
      </c>
      <c r="BS260" s="1" t="str">
        <f t="shared" si="83"/>
        <v/>
      </c>
    </row>
    <row r="261" spans="48:71" x14ac:dyDescent="0.3">
      <c r="AV261" t="s">
        <v>238</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 81 R</v>
      </c>
      <c r="BP261" s="1" t="str">
        <f t="shared" si="83"/>
        <v/>
      </c>
      <c r="BQ261" s="1" t="str">
        <f t="shared" si="83"/>
        <v/>
      </c>
      <c r="BR261" s="1" t="str">
        <f t="shared" si="83"/>
        <v/>
      </c>
      <c r="BS261" s="1" t="str">
        <f t="shared" si="83"/>
        <v/>
      </c>
    </row>
    <row r="262" spans="48:71" x14ac:dyDescent="0.3">
      <c r="AV262" t="s">
        <v>6762</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Type03</v>
      </c>
      <c r="BP262" s="1" t="str">
        <f t="shared" si="83"/>
        <v/>
      </c>
      <c r="BQ262" s="1" t="str">
        <f t="shared" si="83"/>
        <v/>
      </c>
      <c r="BR262" s="1" t="str">
        <f t="shared" si="83"/>
        <v/>
      </c>
      <c r="BS262" s="1" t="str">
        <f t="shared" si="83"/>
        <v/>
      </c>
    </row>
    <row r="263" spans="48:71" x14ac:dyDescent="0.3">
      <c r="AV263" t="s">
        <v>8353</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Type56-1mod</v>
      </c>
      <c r="BP263" s="1" t="str">
        <f t="shared" si="83"/>
        <v/>
      </c>
      <c r="BQ263" s="1" t="str">
        <f t="shared" si="83"/>
        <v/>
      </c>
      <c r="BR263" s="1" t="str">
        <f t="shared" si="83"/>
        <v/>
      </c>
      <c r="BS263" s="1" t="str">
        <f t="shared" si="83"/>
        <v/>
      </c>
    </row>
    <row r="264" spans="48:71" x14ac:dyDescent="0.3">
      <c r="AV264" t="s">
        <v>136</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Type56-1modGZ</v>
      </c>
      <c r="BP264" s="1" t="str">
        <f t="shared" si="83"/>
        <v/>
      </c>
      <c r="BQ264" s="1" t="str">
        <f t="shared" si="83"/>
        <v/>
      </c>
      <c r="BR264" s="1" t="str">
        <f t="shared" si="83"/>
        <v/>
      </c>
      <c r="BS264" s="1" t="str">
        <f t="shared" si="83"/>
        <v/>
      </c>
    </row>
    <row r="265" spans="48:71" x14ac:dyDescent="0.3">
      <c r="AV265" t="s">
        <v>118</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Type63</v>
      </c>
      <c r="BP265" s="1" t="str">
        <f t="shared" si="83"/>
        <v/>
      </c>
      <c r="BQ265" s="1" t="str">
        <f t="shared" si="83"/>
        <v/>
      </c>
      <c r="BR265" s="1" t="str">
        <f t="shared" si="83"/>
        <v/>
      </c>
      <c r="BS265" s="1" t="str">
        <f t="shared" si="83"/>
        <v/>
      </c>
    </row>
    <row r="266" spans="48:71" x14ac:dyDescent="0.3">
      <c r="AV266" t="s">
        <v>740</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Type64</v>
      </c>
      <c r="BP266" s="1" t="str">
        <f t="shared" si="83"/>
        <v/>
      </c>
      <c r="BQ266" s="1" t="str">
        <f t="shared" si="83"/>
        <v/>
      </c>
      <c r="BR266" s="1" t="str">
        <f t="shared" si="83"/>
        <v/>
      </c>
      <c r="BS266" s="1" t="str">
        <f t="shared" si="83"/>
        <v/>
      </c>
    </row>
    <row r="267" spans="48:71" x14ac:dyDescent="0.3">
      <c r="AV267" t="s">
        <v>8124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Type64Mod</v>
      </c>
      <c r="BP267" s="1" t="str">
        <f t="shared" si="83"/>
        <v/>
      </c>
      <c r="BQ267" s="1" t="str">
        <f t="shared" si="83"/>
        <v/>
      </c>
      <c r="BR267" s="1" t="str">
        <f t="shared" si="83"/>
        <v/>
      </c>
      <c r="BS267" s="1" t="str">
        <f t="shared" si="83"/>
        <v/>
      </c>
    </row>
    <row r="268" spans="48:71" x14ac:dyDescent="0.3">
      <c r="AV268" t="s">
        <v>8746</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Type64ModGZ</v>
      </c>
      <c r="BP268" s="1" t="str">
        <f t="shared" si="83"/>
        <v/>
      </c>
      <c r="BQ268" s="1" t="str">
        <f t="shared" si="83"/>
        <v/>
      </c>
      <c r="BR268" s="1" t="str">
        <f t="shared" si="83"/>
        <v/>
      </c>
      <c r="BS268" s="1" t="str">
        <f t="shared" si="83"/>
        <v/>
      </c>
    </row>
    <row r="269" spans="48:71" x14ac:dyDescent="0.3">
      <c r="AV269" t="s">
        <v>8747</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Type79</v>
      </c>
      <c r="BP269" s="1" t="str">
        <f t="shared" si="83"/>
        <v/>
      </c>
      <c r="BQ269" s="1" t="str">
        <f t="shared" si="83"/>
        <v/>
      </c>
      <c r="BR269" s="1" t="str">
        <f t="shared" si="83"/>
        <v/>
      </c>
      <c r="BS269" s="1" t="str">
        <f t="shared" si="83"/>
        <v/>
      </c>
    </row>
    <row r="270" spans="48:71" x14ac:dyDescent="0.3">
      <c r="AV270" t="s">
        <v>833</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Type79Mod</v>
      </c>
      <c r="BP270" s="1" t="str">
        <f t="shared" si="83"/>
        <v/>
      </c>
      <c r="BQ270" s="1" t="str">
        <f t="shared" si="83"/>
        <v/>
      </c>
      <c r="BR270" s="1" t="str">
        <f t="shared" si="83"/>
        <v/>
      </c>
      <c r="BS270" s="1" t="str">
        <f t="shared" si="83"/>
        <v/>
      </c>
    </row>
    <row r="271" spans="48:71" x14ac:dyDescent="0.3">
      <c r="AV271" t="s">
        <v>119</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Type80Mod</v>
      </c>
      <c r="BP271" s="1" t="str">
        <f t="shared" si="83"/>
        <v/>
      </c>
      <c r="BQ271" s="1" t="str">
        <f t="shared" si="83"/>
        <v/>
      </c>
      <c r="BR271" s="1" t="str">
        <f t="shared" si="83"/>
        <v/>
      </c>
      <c r="BS271" s="1" t="str">
        <f t="shared" si="83"/>
        <v/>
      </c>
    </row>
    <row r="272" spans="48:71" x14ac:dyDescent="0.3">
      <c r="AV272" t="s">
        <v>838</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Type88</v>
      </c>
      <c r="BP272" s="1" t="str">
        <f t="shared" si="83"/>
        <v/>
      </c>
      <c r="BQ272" s="1" t="str">
        <f t="shared" si="83"/>
        <v/>
      </c>
      <c r="BR272" s="1" t="str">
        <f t="shared" si="83"/>
        <v/>
      </c>
      <c r="BS272" s="1" t="str">
        <f t="shared" si="83"/>
        <v/>
      </c>
    </row>
    <row r="273" spans="48:71" x14ac:dyDescent="0.3">
      <c r="AV273" t="s">
        <v>8305</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Type88Mod</v>
      </c>
      <c r="BP273" s="1" t="str">
        <f t="shared" si="83"/>
        <v/>
      </c>
      <c r="BQ273" s="1" t="str">
        <f t="shared" si="83"/>
        <v/>
      </c>
      <c r="BR273" s="1" t="str">
        <f t="shared" si="83"/>
        <v/>
      </c>
      <c r="BS273" s="1" t="str">
        <f t="shared" si="83"/>
        <v/>
      </c>
    </row>
    <row r="274" spans="48:71" x14ac:dyDescent="0.3">
      <c r="AV274" t="s">
        <v>6758</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Type88ModGZ</v>
      </c>
      <c r="BP274" s="1" t="str">
        <f t="shared" si="83"/>
        <v/>
      </c>
      <c r="BQ274" s="1" t="str">
        <f t="shared" si="83"/>
        <v/>
      </c>
      <c r="BR274" s="1" t="str">
        <f t="shared" si="83"/>
        <v/>
      </c>
      <c r="BS274" s="1" t="str">
        <f t="shared" si="83"/>
        <v/>
      </c>
    </row>
    <row r="275" spans="48:71" x14ac:dyDescent="0.3">
      <c r="AV275" t="s">
        <v>711</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Type92mod</v>
      </c>
      <c r="BP275" s="1" t="str">
        <f t="shared" si="83"/>
        <v/>
      </c>
      <c r="BQ275" s="1" t="str">
        <f t="shared" si="83"/>
        <v/>
      </c>
      <c r="BR275" s="1" t="str">
        <f t="shared" si="83"/>
        <v/>
      </c>
      <c r="BS275" s="1" t="str">
        <f t="shared" si="83"/>
        <v/>
      </c>
    </row>
    <row r="276" spans="48:71" x14ac:dyDescent="0.3">
      <c r="AV276" t="s">
        <v>733</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Type95/97</v>
      </c>
      <c r="BP276" s="1" t="str">
        <f t="shared" si="85"/>
        <v/>
      </c>
      <c r="BQ276" s="1" t="str">
        <f t="shared" si="85"/>
        <v/>
      </c>
      <c r="BR276" s="1" t="str">
        <f t="shared" si="85"/>
        <v/>
      </c>
      <c r="BS276" s="1" t="str">
        <f t="shared" si="85"/>
        <v/>
      </c>
    </row>
    <row r="277" spans="48:71" x14ac:dyDescent="0.3">
      <c r="AV277" t="s">
        <v>8529</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Type97SMod</v>
      </c>
      <c r="BP277" s="1" t="str">
        <f t="shared" si="85"/>
        <v/>
      </c>
      <c r="BQ277" s="1" t="str">
        <f t="shared" si="85"/>
        <v/>
      </c>
      <c r="BR277" s="1" t="str">
        <f t="shared" si="85"/>
        <v/>
      </c>
      <c r="BS277" s="1" t="str">
        <f t="shared" si="85"/>
        <v/>
      </c>
    </row>
    <row r="278" spans="48:71" x14ac:dyDescent="0.3">
      <c r="AV278" t="s">
        <v>1651</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Type97SModGZ</v>
      </c>
      <c r="BP278" s="1" t="str">
        <f t="shared" si="85"/>
        <v/>
      </c>
      <c r="BQ278" s="1" t="str">
        <f t="shared" si="85"/>
        <v/>
      </c>
      <c r="BR278" s="1" t="str">
        <f t="shared" si="85"/>
        <v/>
      </c>
      <c r="BS278" s="1" t="str">
        <f t="shared" si="85"/>
        <v/>
      </c>
    </row>
    <row r="279" spans="48:71" x14ac:dyDescent="0.3">
      <c r="AV279" t="s">
        <v>730</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UKM2000</v>
      </c>
      <c r="BP279" s="1" t="str">
        <f t="shared" si="85"/>
        <v/>
      </c>
      <c r="BQ279" s="1" t="str">
        <f t="shared" si="85"/>
        <v/>
      </c>
      <c r="BR279" s="1" t="str">
        <f t="shared" si="85"/>
        <v/>
      </c>
      <c r="BS279" s="1" t="str">
        <f t="shared" si="85"/>
        <v/>
      </c>
    </row>
    <row r="280" spans="48:71" x14ac:dyDescent="0.3">
      <c r="AV280" t="s">
        <v>264</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UMP</v>
      </c>
      <c r="BP280" s="1" t="str">
        <f t="shared" si="85"/>
        <v/>
      </c>
      <c r="BQ280" s="1" t="str">
        <f t="shared" si="85"/>
        <v/>
      </c>
      <c r="BR280" s="1" t="str">
        <f t="shared" si="85"/>
        <v/>
      </c>
      <c r="BS280" s="1" t="str">
        <f t="shared" si="85"/>
        <v/>
      </c>
    </row>
    <row r="281" spans="48:71" x14ac:dyDescent="0.3">
      <c r="AV281" t="s">
        <v>8163</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UMP45Mod</v>
      </c>
      <c r="BP281" s="1" t="str">
        <f t="shared" si="85"/>
        <v/>
      </c>
      <c r="BQ281" s="1" t="str">
        <f t="shared" si="85"/>
        <v/>
      </c>
      <c r="BR281" s="1" t="str">
        <f t="shared" si="85"/>
        <v/>
      </c>
      <c r="BS281" s="1" t="str">
        <f t="shared" si="85"/>
        <v/>
      </c>
    </row>
    <row r="282" spans="48:71" x14ac:dyDescent="0.3">
      <c r="AV282" t="s">
        <v>263</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UMP45ModGZ</v>
      </c>
      <c r="BP282" s="1" t="str">
        <f t="shared" si="85"/>
        <v/>
      </c>
      <c r="BQ282" s="1" t="str">
        <f t="shared" si="85"/>
        <v/>
      </c>
      <c r="BR282" s="1" t="str">
        <f t="shared" si="85"/>
        <v/>
      </c>
      <c r="BS282" s="1" t="str">
        <f t="shared" si="85"/>
        <v/>
      </c>
    </row>
    <row r="283" spans="48:71" x14ac:dyDescent="0.3">
      <c r="AV283" t="s">
        <v>8164</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UMP9Mod</v>
      </c>
      <c r="BP283" s="1" t="str">
        <f t="shared" si="85"/>
        <v/>
      </c>
      <c r="BQ283" s="1" t="str">
        <f t="shared" si="85"/>
        <v/>
      </c>
      <c r="BR283" s="1" t="str">
        <f t="shared" si="85"/>
        <v/>
      </c>
      <c r="BS283" s="1" t="str">
        <f t="shared" si="85"/>
        <v/>
      </c>
    </row>
    <row r="284" spans="48:71" x14ac:dyDescent="0.3">
      <c r="AV284" t="s">
        <v>1639</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UMP9ModGZ</v>
      </c>
      <c r="BP284" s="1" t="str">
        <f t="shared" si="85"/>
        <v/>
      </c>
      <c r="BQ284" s="1" t="str">
        <f t="shared" si="85"/>
        <v/>
      </c>
      <c r="BR284" s="1" t="str">
        <f t="shared" si="85"/>
        <v/>
      </c>
      <c r="BS284" s="1" t="str">
        <f t="shared" si="85"/>
        <v/>
      </c>
    </row>
    <row r="285" spans="48:71" x14ac:dyDescent="0.3">
      <c r="AV285" t="s">
        <v>1193</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USAS12</v>
      </c>
      <c r="BP285" s="1" t="str">
        <f t="shared" si="85"/>
        <v/>
      </c>
      <c r="BQ285" s="1" t="str">
        <f t="shared" si="85"/>
        <v/>
      </c>
      <c r="BR285" s="1" t="str">
        <f t="shared" si="85"/>
        <v/>
      </c>
      <c r="BS285" s="1" t="str">
        <f t="shared" si="85"/>
        <v/>
      </c>
    </row>
    <row r="286" spans="48:71" x14ac:dyDescent="0.3">
      <c r="AV286" t="s">
        <v>79</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USPCompact</v>
      </c>
      <c r="BP286" s="1" t="str">
        <f t="shared" si="85"/>
        <v/>
      </c>
      <c r="BQ286" s="1" t="str">
        <f t="shared" si="85"/>
        <v/>
      </c>
      <c r="BR286" s="1" t="str">
        <f t="shared" si="85"/>
        <v/>
      </c>
      <c r="BS286" s="1" t="str">
        <f t="shared" si="85"/>
        <v/>
      </c>
    </row>
    <row r="287" spans="48:71" x14ac:dyDescent="0.3">
      <c r="AV287" t="s">
        <v>97</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Vector</v>
      </c>
      <c r="BP287" s="1" t="str">
        <f t="shared" si="85"/>
        <v/>
      </c>
      <c r="BQ287" s="1" t="str">
        <f t="shared" si="85"/>
        <v/>
      </c>
      <c r="BR287" s="1" t="str">
        <f t="shared" si="85"/>
        <v/>
      </c>
      <c r="BS287" s="1" t="str">
        <f t="shared" si="85"/>
        <v/>
      </c>
    </row>
    <row r="288" spans="48:71" x14ac:dyDescent="0.3">
      <c r="AV288" t="s">
        <v>1668</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VM59</v>
      </c>
      <c r="BP288" s="1" t="str">
        <f t="shared" si="85"/>
        <v/>
      </c>
      <c r="BQ288" s="1" t="str">
        <f t="shared" si="85"/>
        <v/>
      </c>
      <c r="BR288" s="1" t="str">
        <f t="shared" si="85"/>
        <v/>
      </c>
      <c r="BS288" s="1" t="str">
        <f t="shared" si="85"/>
        <v/>
      </c>
    </row>
    <row r="289" spans="48:71" x14ac:dyDescent="0.3">
      <c r="AV289" t="s">
        <v>95</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VSK94</v>
      </c>
      <c r="BP289" s="1" t="str">
        <f t="shared" si="85"/>
        <v/>
      </c>
      <c r="BQ289" s="1" t="str">
        <f t="shared" si="85"/>
        <v/>
      </c>
      <c r="BR289" s="1" t="str">
        <f t="shared" si="85"/>
        <v/>
      </c>
      <c r="BS289" s="1" t="str">
        <f t="shared" si="85"/>
        <v/>
      </c>
    </row>
    <row r="290" spans="48:71" x14ac:dyDescent="0.3">
      <c r="AV290" t="s">
        <v>792</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WA2000</v>
      </c>
      <c r="BP290" s="1" t="str">
        <f t="shared" si="85"/>
        <v/>
      </c>
      <c r="BQ290" s="1" t="str">
        <f t="shared" si="85"/>
        <v/>
      </c>
      <c r="BR290" s="1" t="str">
        <f t="shared" si="85"/>
        <v/>
      </c>
      <c r="BS290" s="1" t="str">
        <f t="shared" si="85"/>
        <v/>
      </c>
    </row>
    <row r="291" spans="48:71" x14ac:dyDescent="0.3">
      <c r="AV291" t="s">
        <v>834</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Webley</v>
      </c>
      <c r="BP291" s="1" t="str">
        <f t="shared" si="85"/>
        <v/>
      </c>
      <c r="BQ291" s="1" t="str">
        <f t="shared" si="85"/>
        <v/>
      </c>
      <c r="BR291" s="1" t="str">
        <f t="shared" si="85"/>
        <v/>
      </c>
      <c r="BS291" s="1" t="str">
        <f t="shared" si="85"/>
        <v/>
      </c>
    </row>
    <row r="292" spans="48:71" x14ac:dyDescent="0.3">
      <c r="AV292" t="s">
        <v>8965</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Welrod MkIIMod</v>
      </c>
      <c r="BP292" s="1" t="str">
        <f t="shared" si="87"/>
        <v/>
      </c>
      <c r="BQ292" s="1" t="str">
        <f t="shared" si="87"/>
        <v/>
      </c>
      <c r="BR292" s="1" t="str">
        <f t="shared" si="87"/>
        <v/>
      </c>
      <c r="BS292" s="1" t="str">
        <f t="shared" si="87"/>
        <v/>
      </c>
    </row>
    <row r="293" spans="48:71" x14ac:dyDescent="0.3">
      <c r="AV293" t="s">
        <v>928</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Welrod MkIIModGZ</v>
      </c>
      <c r="BP293" s="1" t="str">
        <f t="shared" si="87"/>
        <v/>
      </c>
      <c r="BQ293" s="1" t="str">
        <f t="shared" si="87"/>
        <v/>
      </c>
      <c r="BR293" s="1" t="str">
        <f t="shared" si="87"/>
        <v/>
      </c>
      <c r="BS293" s="1" t="str">
        <f t="shared" si="87"/>
        <v/>
      </c>
    </row>
    <row r="294" spans="48:71" x14ac:dyDescent="0.3">
      <c r="AV294" t="s">
        <v>5736</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XM3Mod</v>
      </c>
      <c r="BP294" s="1" t="str">
        <f t="shared" si="87"/>
        <v/>
      </c>
      <c r="BQ294" s="1" t="str">
        <f t="shared" si="87"/>
        <v/>
      </c>
      <c r="BR294" s="1" t="str">
        <f t="shared" si="87"/>
        <v/>
      </c>
      <c r="BS294" s="1" t="str">
        <f t="shared" si="87"/>
        <v/>
      </c>
    </row>
    <row r="295" spans="48:71" x14ac:dyDescent="0.3">
      <c r="AV295" t="s">
        <v>1690</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XM8Mod</v>
      </c>
      <c r="BP295" s="1" t="str">
        <f t="shared" si="87"/>
        <v/>
      </c>
      <c r="BQ295" s="1" t="str">
        <f t="shared" si="87"/>
        <v/>
      </c>
      <c r="BR295" s="1" t="str">
        <f t="shared" si="87"/>
        <v/>
      </c>
      <c r="BS295" s="1" t="str">
        <f t="shared" si="87"/>
        <v/>
      </c>
    </row>
    <row r="296" spans="48:71" x14ac:dyDescent="0.3">
      <c r="AV296" t="s">
        <v>7015</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Yurine</v>
      </c>
      <c r="BP296" s="1" t="str">
        <f t="shared" si="87"/>
        <v/>
      </c>
      <c r="BQ296" s="1" t="str">
        <f t="shared" si="87"/>
        <v/>
      </c>
      <c r="BR296" s="1" t="str">
        <f t="shared" si="87"/>
        <v/>
      </c>
      <c r="BS296" s="1" t="str">
        <f t="shared" si="87"/>
        <v/>
      </c>
    </row>
    <row r="297" spans="48:71" x14ac:dyDescent="0.3">
      <c r="AV297" t="s">
        <v>1622</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Yuugiri</v>
      </c>
      <c r="BP297" s="1" t="str">
        <f t="shared" si="87"/>
        <v/>
      </c>
      <c r="BQ297" s="1" t="str">
        <f t="shared" si="87"/>
        <v/>
      </c>
      <c r="BR297" s="1" t="str">
        <f t="shared" si="87"/>
        <v/>
      </c>
      <c r="BS297" s="1" t="str">
        <f t="shared" si="87"/>
        <v/>
      </c>
    </row>
    <row r="298" spans="48:71" x14ac:dyDescent="0.3">
      <c r="AV298" t="s">
        <v>1667</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Z62</v>
      </c>
      <c r="BP298" s="1" t="str">
        <f t="shared" si="87"/>
        <v/>
      </c>
      <c r="BQ298" s="1" t="str">
        <f t="shared" si="87"/>
        <v/>
      </c>
      <c r="BR298" s="1" t="str">
        <f t="shared" si="87"/>
        <v/>
      </c>
      <c r="BS298" s="1" t="str">
        <f t="shared" si="87"/>
        <v/>
      </c>
    </row>
    <row r="299" spans="48:71" x14ac:dyDescent="0.3">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ZB26</v>
      </c>
      <c r="BP299" s="1" t="str">
        <f t="shared" si="87"/>
        <v/>
      </c>
      <c r="BQ299" s="1" t="str">
        <f t="shared" si="87"/>
        <v/>
      </c>
      <c r="BR299" s="1" t="str">
        <f t="shared" si="87"/>
        <v/>
      </c>
      <c r="BS299" s="1" t="str">
        <f t="shared" si="87"/>
        <v/>
      </c>
    </row>
    <row r="300" spans="48:71" x14ac:dyDescent="0.3">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48:71" x14ac:dyDescent="0.3">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48:71" x14ac:dyDescent="0.3">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48:71" x14ac:dyDescent="0.3">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48:71" x14ac:dyDescent="0.3">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3">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3">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298">
    <sortCondition ref="AV2:AV298"/>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2024-07-26T03:04:46Z</dcterms:modified>
</cp:coreProperties>
</file>