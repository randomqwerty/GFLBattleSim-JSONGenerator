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6D103EBD-3060-4545-B8E2-BE8514F3351A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U16" i="33"/>
  <c r="W16" i="33"/>
  <c r="J17" i="36"/>
  <c r="L17" i="36"/>
  <c r="M17" i="36"/>
  <c r="O17" i="36"/>
  <c r="V17" i="36" s="1"/>
  <c r="Q17" i="36"/>
  <c r="R17" i="36"/>
  <c r="S17" i="36"/>
  <c r="U17" i="36"/>
  <c r="D8" i="43" l="1"/>
  <c r="J16" i="43"/>
  <c r="T17" i="36"/>
  <c r="X17" i="36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E6" i="44" l="1"/>
  <c r="E2" i="44"/>
  <c r="E8" i="44"/>
  <c r="E9" i="44"/>
  <c r="E3" i="44"/>
  <c r="E7" i="44"/>
  <c r="E4" i="44"/>
  <c r="E5" i="44"/>
  <c r="BH3" i="4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9" i="44"/>
  <c r="C5" i="44"/>
  <c r="C7" i="44"/>
  <c r="C4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<sst xmlns="http://schemas.openxmlformats.org/spreadsheetml/2006/main" count="23136" uniqueCount="6986">
  <si>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</si>
  <si>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</si>
  <si>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</si>
  <si>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</si>
  <si>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</si>
  <si>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</si>
  <si>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</si>
  <si>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</si>
  <si>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</si>
  <si>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</si>
  <si>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</si>
  <si>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</si>
  <si>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</si>
  <si>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</si>
  <si>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</si>
  <si>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</si>
  <si>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</si>
  <si>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</si>
  <si>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</si>
  <si>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</si>
  <si>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</si>
  <si>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</si>
  <si>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</si>
  <si>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</si>
  <si>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</si>
  <si>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</si>
  <si>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</si>
  <si>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</si>
  <si>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</si>
  <si>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</si>
  <si>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</si>
  <si>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</si>
  <si>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</si>
  <si>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</si>
  <si>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</si>
  <si>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</si>
  <si>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</si>
  <si>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</si>
  <si>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</si>
  <si>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</si>
  <si>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</si>
  <si>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</si>
  <si>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</si>
  <si>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</si>
  <si>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</si>
  <si>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</si>
  <si>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</si>
  <si>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</si>
  <si>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</si>
  <si>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</si>
  <si>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</si>
  <si>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</si>
  <si>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</si>
  <si>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</si>
  <si>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</si>
  <si>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</si>
  <si>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</si>
  <si>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</si>
  <si>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</si>
  <si>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</si>
  <si>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</si>
  <si>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</si>
  <si>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</si>
  <si>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</si>
  <si>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</si>
  <si>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</si>
  <si>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</si>
  <si>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</si>
  <si>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</si>
  <si>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</si>
  <si>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</si>
  <si>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</si>
  <si>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</si>
  <si>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</si>
  <si>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</si>
  <si>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</si>
  <si>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</si>
  <si>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</si>
  <si>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</si>
  <si>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</si>
  <si>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</si>
  <si>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</si>
  <si>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</si>
  <si>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</si>
  <si>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</si>
  <si>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</si>
  <si>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</si>
  <si>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</si>
  <si>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</si>
  <si>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</si>
  <si>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</si>
  <si>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</si>
  <si>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</si>
  <si>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</si>
  <si>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</si>
  <si>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</si>
  <si>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</si>
  <si>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</si>
  <si>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</si>
  <si>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</si>
  <si>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</si>
  <si>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</si>
  <si>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</si>
  <si>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</si>
  <si>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</si>
  <si>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</si>
  <si>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</si>
  <si>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</si>
  <si>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</si>
  <si>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</si>
  <si>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</si>
  <si>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</si>
  <si>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</si>
  <si>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</si>
  <si>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</si>
  <si>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</si>
  <si>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</si>
  <si>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</si>
  <si>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</si>
  <si>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</si>
  <si>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</si>
  <si>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</si>
  <si>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</si>
  <si>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</si>
  <si>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</si>
  <si>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</si>
  <si>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</si>
  <si>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</si>
  <si>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</si>
  <si>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</si>
  <si>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</si>
  <si>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</si>
  <si>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</si>
  <si>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</si>
  <si>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</si>
  <si>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</si>
  <si>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</si>
  <si>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</si>
  <si>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</si>
  <si>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</si>
  <si>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</si>
  <si>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</si>
  <si>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</si>
  <si>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</si>
  <si>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</si>
  <si>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</si>
  <si>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</si>
  <si>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</si>
  <si>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</si>
  <si>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</si>
  <si>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</si>
  <si>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</si>
  <si>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</si>
  <si>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</si>
  <si>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</si>
  <si>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</si>
  <si>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</si>
  <si>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</si>
  <si>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</si>
  <si>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</si>
  <si>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</si>
  <si>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</si>
  <si>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</si>
  <si>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</si>
  <si>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</si>
  <si>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</si>
  <si>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</si>
  <si>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</si>
  <si>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</si>
  <si>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</si>
  <si>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</si>
  <si>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</si>
  <si>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</si>
  <si>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</si>
  <si>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</si>
  <si>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</si>
  <si>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</si>
  <si>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</si>
  <si>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</si>
  <si>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</si>
  <si>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</si>
  <si>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</si>
  <si>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</si>
  <si>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</si>
  <si>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</si>
  <si>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</si>
  <si>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</si>
  <si>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</si>
  <si>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</si>
  <si>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</si>
  <si>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</si>
  <si>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</si>
  <si>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</si>
  <si>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</si>
  <si>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</si>
  <si>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</si>
  <si>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</si>
  <si>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</si>
  <si>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</si>
  <si>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</si>
  <si>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</si>
  <si>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</si>
  <si>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</si>
  <si>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</si>
  <si>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</si>
  <si>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</si>
  <si>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</si>
  <si>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</si>
  <si>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</si>
  <si>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</si>
  <si>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</si>
  <si>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</si>
  <si>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</si>
  <si>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</si>
  <si>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</si>
  <si>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</si>
  <si>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</si>
  <si>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</si>
  <si>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</si>
  <si>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</si>
  <si>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</si>
  <si>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</si>
  <si>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</si>
  <si>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</si>
  <si>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</si>
  <si>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</si>
  <si>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</si>
  <si>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</si>
  <si>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</si>
  <si>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</si>
  <si>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</si>
  <si>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</si>
  <si>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</si>
  <si>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</si>
  <si>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</si>
  <si>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</si>
  <si>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</si>
  <si>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</si>
  <si>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</si>
  <si>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</si>
  <si>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</si>
  <si>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</si>
  <si>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</si>
  <si>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</si>
  <si>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</si>
  <si>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</si>
  <si>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</si>
  <si>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</si>
  <si>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</si>
  <si>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</si>
  <si>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</si>
  <si>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</si>
  <si>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</si>
  <si>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</si>
  <si>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</si>
  <si>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</si>
  <si>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</si>
  <si>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</si>
  <si>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</si>
  <si>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</si>
  <si>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</si>
  <si>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</si>
  <si>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</si>
  <si>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</si>
  <si>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</si>
  <si>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</si>
  <si>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</si>
  <si>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</si>
  <si>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</si>
  <si>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</si>
  <si>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</si>
  <si>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</si>
  <si>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</si>
  <si>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</si>
  <si>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</si>
  <si>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</si>
  <si>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</si>
  <si>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</si>
  <si>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</si>
  <si>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</si>
  <si>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</si>
  <si>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</si>
  <si>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</si>
  <si>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</si>
  <si>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</si>
  <si>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</si>
  <si>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</si>
  <si>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</si>
  <si>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</si>
  <si>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</si>
  <si>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</si>
  <si>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</si>
  <si>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</si>
  <si>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</si>
  <si>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</si>
  <si>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</si>
  <si>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</si>
  <si>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</si>
  <si>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</si>
  <si>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</si>
  <si>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</si>
  <si>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</si>
  <si>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</si>
  <si>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</si>
  <si>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</si>
  <si>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</si>
  <si>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</si>
  <si>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</si>
  <si>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</si>
  <si>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</si>
  <si>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</si>
  <si>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</si>
  <si>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</si>
  <si>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</si>
  <si>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</si>
  <si>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</si>
  <si>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</si>
  <si>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</si>
  <si>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</si>
  <si>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</si>
  <si>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</si>
  <si>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</si>
  <si>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</si>
  <si>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</si>
  <si>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</si>
  <si>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</si>
  <si>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</si>
  <si>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</si>
  <si>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</si>
  <si>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</si>
  <si>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</si>
  <si>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</si>
  <si>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</si>
  <si>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</si>
  <si>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</si>
  <si>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</si>
  <si>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</si>
  <si>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</si>
  <si>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</si>
  <si>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</si>
  <si>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</si>
  <si>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</si>
  <si>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</si>
  <si>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</si>
  <si>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</si>
  <si>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</si>
  <si>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</si>
  <si>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</si>
  <si>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</si>
  <si>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</si>
  <si>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</si>
  <si>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</si>
  <si>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</si>
  <si>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</si>
  <si>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</si>
  <si>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</si>
  <si>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</si>
  <si>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</si>
  <si>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</si>
  <si>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</si>
  <si>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</si>
  <si>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</si>
  <si>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</si>
  <si>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</si>
  <si>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</si>
  <si>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</si>
  <si>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</si>
  <si>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</si>
  <si>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</si>
  <si>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</si>
  <si>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</si>
  <si>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</si>
  <si>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</si>
  <si>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</si>
  <si>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</si>
  <si>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</si>
  <si>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</si>
  <si>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</si>
  <si>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</si>
  <si>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</si>
  <si>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</si>
  <si>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</si>
  <si>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</si>
  <si>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</si>
  <si>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</si>
  <si>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</si>
  <si>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</si>
  <si>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</si>
  <si>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</si>
  <si>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</si>
  <si>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</si>
  <si>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</si>
  <si>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</si>
  <si>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</si>
  <si>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</si>
  <si>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</si>
  <si>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</si>
  <si>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</si>
  <si>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</si>
  <si>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</si>
  <si>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</si>
  <si>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</si>
  <si>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</si>
  <si>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</si>
  <si>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</si>
  <si>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</si>
  <si>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</si>
  <si>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</si>
  <si>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</si>
  <si>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</si>
  <si>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</si>
  <si>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</si>
  <si>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</si>
  <si>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</si>
  <si>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</si>
  <si>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</si>
  <si>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</si>
  <si>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</si>
  <si>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</si>
  <si>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</si>
  <si>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</si>
  <si>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</si>
  <si>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</si>
  <si>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</si>
  <si>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</si>
  <si>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</si>
  <si>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</si>
  <si>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</si>
  <si>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</si>
  <si>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</si>
  <si>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</si>
  <si>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</si>
  <si>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</si>
  <si>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</si>
  <si>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</si>
  <si>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</si>
  <si>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</si>
  <si>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</si>
  <si>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</si>
  <si>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</si>
  <si>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</si>
  <si>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</si>
  <si>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</si>
  <si>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</si>
  <si>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</si>
  <si>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</si>
  <si>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</si>
  <si>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</si>
  <si>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</si>
  <si>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</si>
  <si>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</si>
  <si>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</si>
  <si>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</si>
  <si>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</si>
  <si>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</si>
  <si>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</si>
  <si>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</si>
  <si>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</si>
  <si>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</si>
  <si>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</si>
  <si>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</si>
  <si>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</si>
  <si>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</si>
  <si>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</si>
  <si>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</si>
  <si>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</si>
  <si>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</si>
  <si>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</si>
  <si>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</si>
  <si>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</si>
  <si>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</si>
  <si>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</si>
  <si>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</si>
  <si>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</si>
  <si>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</si>
  <si>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</si>
  <si>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</si>
  <si>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</si>
  <si>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</si>
  <si>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</si>
  <si>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</si>
  <si>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</si>
  <si>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</si>
  <si>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</si>
  <si>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</si>
  <si>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</si>
  <si>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</si>
  <si>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</si>
  <si>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</si>
  <si>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</si>
  <si>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</si>
  <si>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</si>
  <si>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</si>
  <si>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</si>
  <si>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</si>
  <si>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</si>
  <si>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</si>
  <si>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</si>
  <si>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</si>
  <si>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</si>
  <si>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</si>
  <si>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</si>
  <si>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</si>
  <si>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</si>
  <si>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</si>
  <si>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</si>
  <si>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</si>
  <si>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</si>
  <si>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</si>
  <si>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</si>
  <si>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</si>
  <si>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</si>
  <si>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</si>
  <si>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</si>
  <si>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</si>
  <si>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</si>
  <si>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</si>
  <si>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</si>
  <si>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</si>
  <si>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</si>
  <si>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</si>
  <si>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</si>
  <si>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</si>
  <si>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</si>
  <si>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</si>
  <si>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</si>
  <si>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</si>
  <si>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</si>
  <si>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</si>
  <si>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</si>
  <si>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</si>
  <si>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</si>
  <si>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</si>
  <si>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</si>
  <si>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</si>
  <si>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</si>
  <si>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</si>
  <si>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</si>
  <si>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</si>
  <si>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</si>
  <si>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</si>
  <si>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</si>
  <si>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</si>
  <si>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</si>
  <si>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</si>
  <si>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</si>
  <si>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</si>
  <si>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</si>
  <si>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</si>
  <si>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</si>
  <si>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</si>
  <si>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</si>
  <si>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</si>
  <si>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</si>
  <si>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</si>
  <si>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</si>
  <si>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</si>
  <si>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</si>
  <si>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</si>
  <si>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</si>
  <si>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</si>
  <si>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</si>
  <si>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</si>
  <si>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</si>
  <si>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</si>
  <si>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</si>
  <si>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</si>
  <si>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</si>
  <si>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</si>
  <si>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</si>
  <si>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</si>
  <si>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</si>
  <si>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</si>
  <si>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</si>
  <si>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</si>
  <si>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</si>
  <si>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</si>
  <si>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</si>
  <si>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</si>
  <si>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</si>
  <si>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</si>
  <si>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</si>
  <si>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</si>
  <si>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</si>
  <si>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</si>
  <si>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</si>
  <si>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</si>
  <si>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</si>
  <si>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</si>
  <si>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</si>
  <si>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</si>
  <si>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</si>
  <si>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</si>
  <si>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</si>
  <si>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</si>
  <si>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</si>
  <si>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</si>
  <si>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</si>
  <si>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</si>
  <si>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</si>
  <si>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</si>
  <si>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</si>
  <si>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</si>
  <si>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</si>
  <si>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</si>
  <si>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</si>
  <si>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</si>
  <si>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</si>
  <si>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</si>
  <si>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</si>
  <si>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</si>
  <si>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</si>
  <si>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</si>
  <si>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</si>
  <si>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</si>
  <si>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</si>
  <si>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</si>
  <si>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</si>
  <si>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</si>
  <si>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</si>
  <si>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</si>
  <si>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</si>
  <si>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</si>
  <si>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</si>
  <si>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</si>
  <si>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</si>
  <si>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</si>
  <si>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</si>
  <si>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</si>
  <si>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</si>
  <si>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</si>
  <si>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</si>
  <si>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</si>
  <si>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</si>
  <si>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</si>
  <si>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</si>
  <si>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</si>
  <si>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</si>
  <si>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</si>
  <si>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</si>
  <si>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</si>
  <si>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</si>
  <si>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</si>
  <si>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</si>
  <si>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</si>
  <si>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</si>
  <si>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</si>
  <si>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</si>
  <si>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</si>
  <si>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</si>
  <si>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</si>
  <si>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</si>
  <si>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</si>
  <si>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</si>
  <si>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</si>
  <si>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</si>
  <si>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</si>
  <si>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</si>
  <si>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</si>
  <si>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</si>
  <si>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</si>
  <si>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</si>
  <si>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</si>
  <si>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</si>
  <si>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</si>
  <si>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</si>
  <si>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</si>
  <si>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</si>
  <si>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</si>
  <si>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</si>
  <si>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</si>
  <si>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</si>
  <si>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</si>
  <si>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</si>
  <si>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</si>
  <si>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</si>
  <si>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</si>
  <si>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</si>
  <si>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</si>
  <si>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</si>
  <si>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</si>
  <si>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</si>
  <si>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</si>
  <si>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</si>
  <si>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</si>
  <si>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</si>
  <si>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</si>
  <si>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</si>
  <si>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</si>
  <si>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</si>
  <si>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</si>
  <si>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</si>
  <si>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</si>
  <si>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</si>
  <si>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</si>
  <si>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</si>
  <si>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</si>
  <si>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</si>
  <si>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</si>
  <si>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</si>
  <si>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</si>
  <si>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</si>
  <si>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</si>
  <si>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</si>
  <si>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</si>
  <si>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</si>
  <si>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</si>
  <si>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</si>
  <si>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</si>
  <si>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</si>
  <si>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</si>
  <si>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</si>
  <si>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</si>
  <si>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</si>
  <si>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</si>
  <si>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</si>
  <si>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</si>
  <si>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</si>
  <si>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</si>
  <si>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</si>
  <si>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</si>
  <si>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</si>
  <si>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</si>
  <si>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</si>
  <si>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</si>
  <si>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</si>
  <si>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</si>
  <si>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</si>
  <si>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</si>
  <si>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</si>
  <si>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</si>
  <si>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</si>
  <si>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</si>
  <si>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</si>
  <si>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</si>
  <si>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</si>
  <si>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</si>
  <si>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</si>
  <si>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</si>
  <si>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</si>
  <si>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</si>
  <si>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</si>
  <si>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</si>
  <si>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</si>
  <si>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</si>
  <si>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</si>
  <si>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</si>
  <si>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</si>
  <si>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</si>
  <si>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</si>
  <si>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</si>
  <si>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</si>
  <si>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</si>
  <si>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</si>
  <si>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</si>
  <si>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</si>
  <si>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</si>
  <si>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</si>
  <si>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</si>
  <si>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</si>
  <si>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</si>
  <si>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</si>
  <si>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</si>
  <si>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</si>
  <si>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</si>
  <si>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</si>
  <si>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</si>
  <si>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</si>
  <si>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</si>
  <si>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</si>
  <si>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</si>
  <si>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</si>
  <si>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</si>
  <si>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</si>
  <si>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</si>
  <si>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</si>
  <si>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</si>
  <si>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</si>
  <si>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</si>
  <si>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</si>
  <si>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</si>
  <si>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</si>
  <si>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</si>
  <si>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</si>
  <si>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</si>
  <si>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</si>
  <si>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</si>
  <si>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</si>
  <si>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</si>
  <si>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</si>
  <si>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</si>
  <si>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</si>
  <si>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</si>
  <si>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</si>
  <si>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</si>
  <si>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</si>
  <si>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</si>
  <si>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</si>
  <si>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</si>
  <si>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</si>
  <si>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</si>
  <si>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</si>
  <si>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</si>
  <si>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</si>
  <si>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</si>
  <si>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</si>
  <si>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</si>
  <si>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</si>
  <si>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</si>
  <si>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</si>
  <si>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</si>
  <si>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</si>
  <si>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</si>
  <si>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</si>
  <si>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</si>
  <si>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</si>
  <si>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</si>
  <si>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</si>
  <si>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</si>
  <si>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</si>
  <si>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</si>
  <si>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</si>
  <si>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</si>
  <si>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</si>
  <si>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</si>
  <si>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</si>
  <si>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</si>
  <si>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</si>
  <si>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</si>
  <si>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</si>
  <si>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</si>
  <si>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</si>
  <si>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</si>
  <si>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</si>
  <si>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</si>
  <si>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</si>
  <si>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</si>
  <si>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</si>
  <si>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</si>
  <si>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</si>
  <si>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</si>
  <si>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</si>
  <si>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</si>
  <si>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</si>
  <si>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</si>
  <si>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</si>
  <si>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</si>
  <si>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</si>
  <si>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</si>
  <si>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</si>
  <si>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</si>
  <si>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</si>
  <si>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</si>
  <si>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</si>
  <si>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</si>
  <si>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</si>
  <si>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</si>
  <si>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</si>
  <si>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</si>
  <si>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</si>
  <si>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</si>
  <si>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</si>
  <si>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</si>
  <si>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</si>
  <si>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</si>
  <si>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</si>
  <si>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</si>
  <si>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</si>
  <si>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</si>
  <si>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</si>
  <si>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</si>
  <si>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</si>
  <si>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</si>
  <si>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</si>
  <si>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</si>
  <si>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</si>
  <si>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</si>
  <si>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</si>
  <si>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</si>
  <si>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</si>
  <si>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</si>
  <si>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</si>
  <si>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</si>
  <si>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</si>
  <si>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</si>
  <si>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</si>
  <si>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</si>
  <si>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</si>
  <si>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</si>
  <si>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</si>
  <si>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</si>
  <si>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</si>
  <si>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</si>
  <si>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</si>
  <si>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</si>
  <si>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</si>
  <si>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</si>
  <si>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</si>
  <si>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</si>
  <si>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</si>
  <si>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</si>
  <si>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</si>
  <si>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</si>
  <si>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</si>
  <si>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</si>
  <si>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</si>
  <si>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</si>
  <si>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</si>
  <si>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</si>
  <si>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</si>
  <si>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</si>
  <si>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</si>
  <si>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</si>
  <si>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</si>
  <si>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</si>
  <si>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</si>
  <si>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</si>
  <si>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</si>
  <si>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</si>
  <si>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</si>
  <si>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</si>
  <si>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</si>
  <si>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</si>
  <si>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</si>
  <si>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</si>
  <si>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</si>
  <si>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</si>
  <si>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</si>
  <si>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</si>
  <si>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</si>
  <si>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</si>
  <si>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</si>
  <si>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</si>
  <si>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</si>
  <si>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</si>
  <si>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</si>
  <si>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</si>
  <si>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</si>
  <si>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</si>
  <si>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</si>
  <si>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</si>
  <si>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</si>
  <si>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</si>
  <si>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</si>
  <si>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</si>
  <si>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</si>
  <si>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</si>
  <si>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</si>
  <si>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</si>
  <si>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</si>
  <si>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</si>
  <si>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</si>
  <si>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</si>
  <si>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</si>
  <si>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</si>
  <si>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</si>
  <si>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</si>
  <si>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</si>
  <si>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</si>
  <si>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</si>
  <si>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</si>
  <si>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</si>
  <si>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</si>
  <si>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</si>
  <si>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</si>
  <si>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</si>
  <si>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</si>
  <si>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</si>
  <si>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</si>
  <si>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</si>
  <si>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</si>
  <si>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</si>
  <si>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</si>
  <si>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</si>
  <si>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</si>
  <si>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</si>
  <si>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</si>
  <si>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</si>
  <si>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</si>
  <si>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</si>
  <si>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</si>
  <si>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</si>
  <si>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</si>
  <si>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</si>
  <si>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</si>
  <si>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</si>
  <si>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</si>
  <si>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</si>
  <si>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</si>
  <si>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</si>
  <si>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</si>
  <si>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</si>
  <si>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</si>
  <si>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</si>
  <si>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</si>
  <si>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</si>
  <si>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</si>
  <si>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</si>
  <si>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</si>
  <si>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</si>
  <si>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</si>
  <si>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</si>
  <si>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</si>
  <si>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</si>
  <si>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</si>
  <si>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</si>
  <si>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</si>
  <si>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</si>
  <si>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</si>
  <si>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</si>
  <si>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</si>
  <si>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</si>
  <si>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</si>
  <si>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</si>
  <si>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</si>
  <si>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</si>
  <si>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</si>
  <si>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</si>
  <si>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</si>
  <si>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</si>
  <si>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</si>
  <si>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</si>
  <si>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</si>
  <si>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</si>
  <si>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</si>
  <si>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</si>
  <si>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</si>
  <si>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</si>
  <si>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</si>
  <si>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</si>
  <si>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</si>
  <si>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</si>
  <si>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</si>
  <si>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</si>
  <si>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</si>
  <si>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</si>
  <si>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</si>
  <si>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</si>
  <si>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</si>
  <si>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</si>
  <si>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</si>
  <si>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</si>
  <si>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</si>
  <si>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</si>
  <si>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</si>
  <si>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</si>
  <si>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</si>
  <si>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</si>
  <si>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</si>
  <si>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</si>
  <si>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</si>
  <si>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</si>
  <si>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</si>
  <si>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</si>
  <si>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</si>
  <si>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</si>
  <si>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</si>
  <si>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</si>
  <si>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</si>
  <si>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</si>
  <si>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</si>
  <si>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</si>
  <si>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</si>
  <si>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</si>
  <si>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</si>
  <si>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</si>
  <si>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</si>
  <si>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</si>
  <si>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</si>
  <si>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</si>
  <si>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</si>
  <si>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</si>
  <si>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</si>
  <si>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</si>
  <si>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</si>
  <si>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</si>
  <si>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</si>
  <si>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</si>
  <si>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</si>
  <si>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</si>
  <si>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</si>
  <si>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</si>
  <si>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</si>
  <si>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</si>
  <si>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</si>
  <si>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</si>
  <si>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</si>
  <si>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</si>
  <si>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</si>
  <si>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</si>
  <si>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</si>
  <si>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</si>
  <si>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</si>
  <si>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</si>
  <si>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</si>
  <si>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</si>
  <si>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</si>
  <si>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</si>
  <si>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</si>
  <si>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</si>
  <si>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</si>
  <si>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</si>
  <si>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</si>
  <si>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</si>
  <si>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</si>
  <si>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</si>
  <si>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</si>
  <si>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</si>
  <si>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</si>
  <si>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</si>
  <si>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</si>
  <si>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</si>
  <si>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</si>
  <si>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</si>
  <si>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</si>
  <si>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</si>
  <si>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</si>
  <si>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</si>
  <si>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</si>
  <si>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</si>
  <si>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</si>
  <si>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</si>
  <si>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</si>
  <si>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</si>
  <si>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</si>
  <si>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</si>
  <si>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</si>
  <si>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</si>
  <si>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</si>
  <si>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</si>
  <si>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</si>
  <si>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</si>
  <si>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</si>
  <si>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</si>
  <si>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</si>
  <si>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</si>
  <si>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</si>
  <si>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</si>
  <si>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</si>
  <si>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</si>
  <si>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</si>
  <si>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</si>
  <si>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</si>
  <si>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</si>
  <si>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</si>
  <si>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</si>
  <si>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</si>
  <si>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</si>
  <si>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</si>
  <si>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</si>
  <si>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</si>
  <si>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</si>
  <si>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</si>
  <si>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</si>
  <si>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</si>
  <si>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</si>
  <si>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</si>
  <si>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</si>
  <si>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</si>
  <si>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</si>
  <si>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</si>
  <si>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</si>
  <si>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</si>
  <si>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</si>
  <si>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</si>
  <si>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</si>
  <si>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</si>
  <si>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</si>
  <si>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</si>
  <si>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</si>
  <si>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</si>
  <si>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</si>
  <si>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</si>
  <si>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</si>
  <si>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</si>
  <si>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</si>
  <si>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</si>
  <si>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</si>
  <si>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</si>
  <si>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</si>
  <si>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</si>
  <si>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</si>
  <si>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</si>
  <si>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</si>
  <si>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</si>
  <si>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</si>
  <si>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</si>
  <si>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</si>
  <si>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</si>
  <si>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</si>
  <si>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</si>
  <si>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</si>
  <si>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</si>
  <si>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</si>
  <si>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</si>
  <si>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</si>
  <si>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</si>
  <si>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</si>
  <si>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</si>
  <si>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</si>
  <si>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</si>
  <si>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</si>
  <si>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</si>
  <si>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</si>
  <si>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</si>
  <si>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</si>
  <si>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</si>
  <si>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</si>
  <si>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</si>
  <si>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</si>
  <si>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</si>
  <si>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</si>
  <si>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</si>
  <si>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</si>
  <si>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</si>
  <si>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</si>
  <si>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</si>
  <si>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</si>
  <si>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</si>
  <si>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</si>
  <si>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</si>
  <si>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</si>
  <si>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</si>
  <si>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</si>
  <si>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</si>
  <si>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</si>
  <si>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</si>
  <si>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</si>
  <si>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</si>
  <si>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</si>
  <si>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</si>
  <si>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</si>
  <si>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</si>
  <si>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</si>
  <si>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</si>
  <si>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</si>
  <si>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</si>
  <si>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</si>
  <si>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</si>
  <si>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</si>
  <si>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</si>
  <si>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</si>
  <si>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</si>
  <si>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</si>
  <si>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</si>
  <si>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</si>
  <si>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</si>
  <si>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</si>
  <si>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</si>
  <si>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</si>
  <si>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</si>
  <si>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</si>
  <si>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</si>
  <si>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</si>
  <si>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</si>
  <si>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</si>
  <si>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</si>
  <si>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</si>
  <si>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</si>
  <si>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</si>
  <si>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</si>
  <si>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</si>
  <si>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</si>
  <si>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</si>
  <si>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</si>
  <si>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</si>
  <si>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</si>
  <si>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</si>
  <si>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</si>
  <si>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</si>
  <si>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</si>
  <si>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</si>
  <si>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</si>
  <si>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</si>
  <si>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</si>
  <si>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</si>
  <si>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</si>
  <si>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</si>
  <si>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</si>
  <si>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</si>
  <si>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</si>
  <si>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</si>
  <si>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</si>
  <si>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</si>
  <si>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</si>
  <si>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</si>
  <si>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</si>
  <si>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</si>
  <si>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</si>
  <si>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</si>
  <si>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</si>
  <si>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</si>
  <si>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</si>
  <si>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</si>
  <si>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</si>
  <si>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</si>
  <si>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</si>
  <si>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</si>
  <si>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</si>
  <si>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</si>
  <si>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</si>
  <si>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</si>
  <si>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</si>
  <si>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</si>
  <si>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</si>
  <si>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</si>
  <si>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</si>
  <si>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</si>
  <si>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</si>
  <si>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</si>
  <si>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</si>
  <si>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</si>
  <si>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</si>
  <si>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</si>
  <si>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</si>
  <si>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</si>
  <si>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</si>
  <si>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</si>
  <si>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</si>
  <si>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</si>
  <si>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</si>
  <si>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</si>
  <si>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</si>
  <si>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</si>
  <si>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</si>
  <si>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</si>
  <si>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</si>
  <si>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</si>
  <si>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</si>
  <si>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</si>
  <si>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</si>
  <si>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</si>
  <si>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</si>
  <si>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</si>
  <si>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</si>
  <si>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</si>
  <si>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</si>
  <si>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</si>
  <si>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</si>
  <si>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</si>
  <si>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</si>
  <si>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</si>
  <si>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</si>
  <si>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</si>
  <si>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</si>
  <si>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</si>
  <si>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</si>
  <si>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</si>
  <si>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</si>
  <si>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</si>
  <si>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</si>
  <si>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</si>
  <si>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</si>
  <si>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</si>
  <si>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</si>
  <si>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</si>
  <si>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</si>
  <si>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</si>
  <si>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</si>
  <si>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</si>
  <si>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</si>
  <si>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</si>
  <si>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</si>
  <si>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</si>
  <si>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</si>
  <si>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</si>
  <si>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</si>
  <si>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</si>
  <si>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</si>
  <si>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</si>
  <si>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</si>
  <si>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</si>
  <si>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</si>
  <si>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</si>
  <si>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</si>
  <si>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</si>
  <si>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</si>
  <si>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</si>
  <si>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</si>
  <si>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</si>
  <si>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</si>
  <si>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</si>
  <si>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</si>
  <si>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</si>
  <si>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</si>
  <si>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</si>
  <si>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</si>
  <si>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</si>
  <si>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</si>
  <si>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</si>
  <si>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</si>
  <si>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</si>
  <si>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</si>
  <si>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</si>
  <si>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</si>
  <si>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</si>
  <si>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</si>
  <si>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</si>
  <si>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</si>
  <si>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</si>
  <si>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</si>
  <si>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</si>
  <si>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</si>
  <si>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</si>
  <si>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</si>
  <si>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</si>
  <si>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</si>
  <si>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</si>
  <si>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</si>
  <si>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</si>
  <si>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</si>
  <si>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</si>
  <si>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</si>
  <si>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</si>
  <si>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</si>
  <si>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</si>
  <si>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</si>
  <si>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</si>
  <si>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</si>
  <si>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</si>
  <si>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</si>
  <si>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</si>
  <si>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</si>
  <si>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</si>
  <si>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</si>
  <si>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</si>
  <si>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</si>
  <si>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</si>
  <si>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</si>
  <si>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</si>
  <si>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</si>
  <si>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</si>
  <si>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</si>
  <si>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</si>
  <si>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</si>
  <si>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</si>
  <si>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</si>
  <si>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</si>
  <si>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</si>
  <si>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</si>
  <si>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</si>
  <si>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</si>
  <si>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</si>
  <si>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</si>
  <si>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</si>
  <si>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</si>
  <si>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</si>
  <si>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</si>
  <si>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</si>
  <si>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</si>
  <si>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</si>
  <si>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</si>
  <si>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</si>
  <si>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</si>
  <si>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</si>
  <si>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</si>
  <si>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</si>
  <si>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</si>
  <si>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</si>
  <si>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</si>
  <si>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</si>
  <si>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</si>
  <si>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</si>
  <si>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</si>
  <si>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</si>
  <si>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</si>
  <si>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</si>
  <si>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</si>
  <si>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</si>
  <si>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</si>
  <si>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</si>
  <si>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</si>
  <si>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</si>
  <si>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</si>
  <si>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</si>
  <si>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</si>
  <si>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</si>
  <si>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</si>
  <si>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</si>
  <si>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</si>
  <si>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</si>
  <si>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</si>
  <si>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</si>
  <si>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</si>
  <si>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</si>
  <si>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</si>
  <si>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</si>
  <si>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</si>
  <si>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</si>
  <si>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</si>
  <si>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</si>
  <si>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</si>
  <si>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</si>
  <si>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</si>
  <si>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</si>
  <si>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</si>
  <si>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</si>
  <si>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</si>
  <si>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</si>
  <si>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</si>
  <si>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</si>
  <si>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</si>
  <si>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</si>
  <si>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</si>
  <si>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</si>
  <si>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</si>
  <si>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</si>
  <si>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</si>
  <si>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</si>
  <si>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</si>
  <si>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</si>
  <si>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</si>
  <si>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</si>
  <si>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</si>
  <si>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</si>
  <si>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</si>
  <si>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</si>
  <si>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</si>
  <si>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</si>
  <si>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</si>
  <si>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</si>
  <si>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</si>
  <si>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</si>
  <si>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</si>
  <si>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</si>
  <si>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</si>
  <si>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</si>
  <si>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</si>
  <si>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</si>
  <si>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</si>
  <si>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</si>
  <si>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</si>
  <si>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</si>
  <si>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</si>
  <si>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</si>
  <si>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</si>
  <si>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</si>
  <si>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</si>
  <si>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</si>
  <si>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</si>
  <si>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</si>
  <si>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</si>
  <si>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</si>
  <si>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</si>
  <si>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</si>
  <si>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</si>
  <si>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</si>
  <si>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</si>
  <si>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</si>
  <si>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</si>
  <si>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</si>
  <si>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</si>
  <si>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</si>
  <si>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</si>
  <si>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</si>
  <si>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</si>
  <si>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</si>
  <si>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</si>
  <si>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</si>
  <si>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</si>
  <si>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</si>
  <si>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</si>
  <si>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</si>
  <si>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</si>
  <si>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</si>
  <si>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</si>
  <si>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</si>
  <si>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</si>
  <si>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</si>
  <si>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</si>
  <si>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</si>
  <si>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</si>
  <si>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</si>
  <si>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</si>
  <si>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</si>
  <si>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</si>
  <si>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</si>
  <si>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</si>
  <si>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</si>
  <si>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</si>
  <si>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</si>
  <si>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</si>
  <si>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</si>
  <si>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</si>
  <si>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</si>
  <si>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</si>
  <si>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</si>
  <si>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</si>
  <si>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</si>
  <si>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</si>
  <si>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</si>
  <si>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</si>
  <si>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</si>
  <si>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</si>
  <si>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</si>
  <si>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</si>
  <si>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</si>
  <si>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</si>
  <si>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</si>
  <si>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</si>
  <si>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</si>
  <si>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</si>
  <si>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</si>
  <si>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</si>
  <si>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</si>
  <si>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</si>
  <si>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</si>
  <si>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</si>
  <si>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</si>
  <si>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</si>
  <si>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</si>
  <si>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</si>
  <si>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</si>
  <si>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</si>
  <si>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</si>
  <si>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</si>
  <si>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</si>
  <si>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</si>
  <si>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</si>
  <si>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</si>
  <si>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</si>
  <si>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</si>
  <si>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</si>
  <si>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</si>
  <si>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</si>
  <si>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</si>
  <si>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</si>
  <si>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</si>
  <si>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</si>
  <si>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</si>
  <si>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</si>
  <si>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</si>
  <si>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</si>
  <si>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</si>
  <si>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</si>
  <si>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</si>
  <si>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</si>
  <si>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</si>
  <si>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</si>
  <si>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</si>
  <si>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</si>
  <si>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</si>
  <si>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</si>
  <si>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</si>
  <si>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</si>
  <si>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</si>
  <si>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</si>
  <si>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</si>
  <si>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</si>
  <si>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</si>
  <si>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</si>
  <si>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</si>
  <si>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</si>
  <si>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</si>
  <si>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</si>
  <si>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</si>
  <si>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</si>
  <si>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</si>
  <si>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</si>
  <si>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</si>
  <si>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</si>
  <si>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</si>
  <si>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</si>
  <si>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</si>
  <si>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</si>
  <si>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</si>
  <si>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</si>
  <si>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</si>
  <si>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</si>
  <si>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</si>
  <si>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</si>
  <si>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</si>
  <si>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</si>
  <si>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</si>
  <si>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</si>
  <si>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</si>
  <si>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</si>
  <si>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</si>
  <si>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</si>
  <si>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</si>
  <si>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</si>
  <si>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</si>
  <si>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</si>
  <si>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</si>
  <si>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</si>
  <si>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</si>
  <si>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</si>
  <si>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</si>
  <si>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</si>
  <si>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</si>
  <si>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</si>
  <si>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</si>
  <si>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</si>
  <si>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</si>
  <si>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</si>
  <si>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</si>
  <si>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</si>
  <si>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</si>
  <si>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</si>
  <si>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</si>
  <si>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</si>
  <si>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</si>
  <si>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</si>
  <si>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</si>
  <si>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</si>
  <si>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</si>
  <si>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</si>
  <si>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</si>
  <si>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</si>
  <si>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</si>
  <si>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</si>
  <si>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</si>
  <si>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</si>
  <si>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</si>
  <si>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</si>
  <si>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</si>
  <si>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</si>
  <si>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</si>
  <si>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</si>
  <si>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</si>
  <si>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</si>
  <si>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</si>
  <si>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</si>
  <si>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</si>
  <si>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</si>
  <si>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</si>
  <si>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</si>
  <si>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</si>
  <si>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</si>
  <si>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</si>
  <si>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</si>
  <si>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</si>
  <si>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</si>
  <si>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</si>
  <si>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</si>
  <si>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</si>
  <si>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</si>
  <si>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</si>
  <si>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</si>
  <si>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</si>
  <si>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</si>
  <si>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</si>
  <si>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</si>
  <si>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</si>
  <si>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</si>
  <si>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</si>
  <si>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</si>
  <si>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</si>
  <si>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</si>
  <si>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</si>
  <si>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</si>
  <si>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</si>
  <si>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</si>
  <si>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</si>
  <si>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</si>
  <si>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</si>
  <si>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</si>
  <si>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</si>
  <si>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</si>
  <si>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</si>
  <si>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</si>
  <si>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</si>
  <si>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</si>
  <si>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</si>
  <si>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</si>
  <si>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</si>
  <si>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</si>
  <si>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</si>
  <si>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</si>
  <si>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</si>
  <si>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</si>
  <si>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</si>
  <si>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</si>
  <si>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</si>
  <si>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</si>
  <si>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</si>
  <si>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</si>
  <si>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</si>
  <si>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</si>
  <si>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</si>
  <si>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</si>
  <si>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</si>
  <si>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</si>
  <si>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</si>
  <si>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</si>
  <si>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</si>
  <si>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</si>
  <si>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</si>
  <si>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</si>
  <si>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</si>
  <si>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</si>
  <si>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</si>
  <si>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</si>
  <si>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</si>
  <si>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</si>
  <si>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</si>
  <si>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</si>
  <si>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</si>
  <si>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</si>
  <si>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</si>
  <si>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</si>
  <si>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</si>
  <si>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</si>
  <si>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</si>
  <si>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</si>
  <si>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</si>
  <si>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</si>
  <si>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</si>
  <si>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</si>
  <si>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</si>
  <si>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</si>
  <si>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</si>
  <si>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</si>
  <si>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</si>
  <si>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</si>
  <si>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</si>
  <si>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</si>
  <si>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</si>
  <si>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</si>
  <si>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</si>
  <si>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</si>
  <si>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</si>
  <si>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</si>
  <si>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</si>
  <si>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</si>
  <si>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</si>
  <si>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</si>
  <si>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</si>
  <si>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</si>
  <si>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</si>
  <si>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</si>
  <si>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</si>
  <si>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</si>
  <si>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</si>
  <si>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</si>
  <si>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</si>
  <si>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</si>
  <si>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</si>
  <si>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</si>
  <si>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</si>
  <si>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</si>
  <si>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</si>
  <si>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</si>
  <si>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</si>
  <si>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</si>
  <si>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</si>
  <si>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</si>
  <si>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</si>
  <si>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</si>
  <si>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</si>
  <si>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</si>
  <si>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</si>
  <si>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</si>
  <si>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</si>
  <si>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</si>
  <si>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</si>
  <si>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</si>
  <si>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</si>
  <si>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</si>
  <si>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</si>
  <si>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</si>
  <si>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</si>
  <si>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</si>
  <si>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</si>
  <si>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</si>
  <si>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</si>
  <si>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</si>
  <si>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</si>
  <si>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</si>
  <si>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</si>
  <si>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</si>
  <si>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</si>
  <si>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</si>
  <si>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</si>
  <si>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</si>
  <si>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</si>
  <si>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</si>
  <si>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</si>
  <si>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</si>
  <si>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</si>
  <si>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</si>
  <si>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</si>
  <si>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</si>
  <si>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</si>
  <si>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</si>
  <si>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</si>
  <si>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</si>
  <si>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</si>
  <si>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</si>
  <si>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</si>
  <si>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</si>
  <si>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</si>
  <si>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</si>
  <si>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</si>
  <si>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</si>
  <si>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</si>
  <si>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</si>
  <si>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</si>
  <si>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</si>
  <si>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</si>
  <si>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</si>
  <si>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</si>
  <si>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</si>
  <si>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</si>
  <si>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</si>
  <si>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</si>
  <si>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</si>
  <si>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</si>
  <si>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</si>
  <si>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</si>
  <si>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</si>
  <si>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</si>
  <si>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</si>
  <si>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</si>
  <si>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</si>
  <si>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</si>
  <si>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</si>
  <si>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</si>
  <si>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</si>
  <si>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</si>
  <si>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</si>
  <si>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</si>
  <si>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</si>
  <si>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</si>
  <si>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</si>
  <si>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</si>
  <si>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</si>
  <si>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</si>
  <si>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</si>
  <si>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</si>
  <si>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</si>
  <si>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</si>
  <si>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</si>
  <si>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</si>
  <si>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</si>
  <si>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</si>
  <si>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</si>
  <si>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</si>
  <si>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</si>
  <si>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</si>
  <si>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</si>
  <si>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</si>
  <si>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</si>
  <si>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</si>
  <si>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</si>
  <si>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</si>
  <si>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</si>
  <si>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</si>
  <si>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</si>
  <si>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</si>
  <si>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</si>
  <si>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</si>
  <si>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</si>
  <si>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</si>
  <si>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</si>
  <si>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</si>
  <si>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</si>
  <si>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</si>
  <si>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</si>
  <si>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</si>
  <si>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</si>
  <si>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</si>
  <si>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</si>
  <si>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</si>
  <si>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</si>
  <si>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</si>
  <si>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</si>
  <si>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</si>
  <si>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</si>
  <si>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</si>
  <si>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</si>
  <si>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</si>
  <si>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</si>
  <si>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</si>
  <si>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</si>
  <si>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</si>
  <si>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</si>
  <si>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</si>
  <si>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</si>
  <si>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</si>
  <si>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</si>
  <si>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</si>
  <si>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</si>
  <si>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</si>
  <si>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</si>
  <si>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</si>
  <si>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</si>
  <si>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</si>
  <si>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</si>
  <si>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</si>
  <si>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</si>
  <si>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</si>
  <si>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</si>
  <si>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</si>
  <si>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</si>
  <si>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</si>
  <si>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</si>
  <si>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</si>
  <si>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</si>
  <si>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</si>
  <si>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</si>
  <si>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</si>
  <si>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</si>
  <si>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</si>
  <si>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</si>
  <si>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</si>
  <si>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</si>
  <si>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</si>
  <si>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</si>
  <si>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</si>
  <si>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</si>
  <si>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</si>
  <si>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</si>
  <si>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</si>
  <si>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</si>
  <si>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</si>
  <si>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</si>
  <si>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</si>
  <si>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</si>
  <si>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</si>
  <si>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</si>
  <si>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</si>
  <si>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</si>
  <si>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</si>
  <si>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</si>
  <si>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</si>
  <si>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</si>
  <si>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</si>
  <si>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</si>
  <si>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</si>
  <si>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</si>
  <si>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</si>
  <si>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</si>
  <si>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</si>
  <si>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</si>
  <si>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</si>
  <si>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</si>
  <si>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</si>
  <si>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</si>
  <si>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</si>
  <si>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</si>
  <si>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</si>
  <si>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</si>
  <si>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</si>
  <si>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</si>
  <si>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</si>
  <si>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</si>
  <si>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</si>
  <si>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</si>
  <si>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</si>
  <si>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</si>
  <si>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</si>
  <si>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</si>
  <si>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</si>
  <si>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</si>
  <si>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</si>
  <si>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</si>
  <si>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</si>
  <si>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</si>
  <si>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</si>
  <si>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</si>
  <si>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</si>
  <si>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</si>
  <si>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</si>
  <si>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</si>
  <si>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</si>
  <si>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</si>
  <si>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</si>
  <si>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</si>
  <si>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</si>
  <si>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</si>
  <si>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</si>
  <si>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</si>
  <si>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</si>
  <si>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</si>
  <si>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</si>
  <si>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</si>
  <si>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</si>
  <si>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</si>
  <si>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</si>
  <si>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</si>
  <si>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</si>
  <si>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</si>
  <si>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</si>
  <si>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</si>
  <si>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</si>
  <si>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</si>
  <si>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</si>
  <si>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</si>
  <si>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</si>
  <si>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</si>
  <si>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</si>
  <si>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</si>
  <si>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</si>
  <si>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</si>
  <si>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</si>
  <si>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</si>
  <si>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</si>
  <si>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</si>
  <si>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</si>
  <si>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</si>
  <si>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</si>
  <si>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</si>
  <si>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</si>
  <si>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</si>
  <si>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</si>
  <si>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</si>
  <si>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</si>
  <si>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</si>
  <si>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</si>
  <si>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</si>
  <si>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</si>
  <si>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</si>
  <si>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</si>
  <si>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</si>
  <si>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</si>
  <si>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</si>
  <si>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</si>
  <si>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</si>
  <si>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</si>
  <si>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</si>
  <si>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</si>
  <si>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</si>
  <si>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</si>
  <si>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</si>
  <si>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</si>
  <si>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</si>
  <si>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</si>
  <si>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</si>
  <si>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</si>
  <si>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</si>
  <si>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</si>
  <si>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</si>
  <si>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</si>
  <si>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</si>
  <si>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</si>
  <si>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</si>
  <si>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</si>
  <si>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</si>
  <si>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</si>
  <si>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</si>
  <si>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</si>
  <si>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</si>
  <si>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</si>
  <si>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</si>
  <si>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</si>
  <si>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</si>
  <si>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</si>
  <si>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</si>
  <si>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</si>
  <si>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</si>
  <si>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</si>
  <si>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</si>
  <si>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</si>
  <si>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</si>
  <si>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</si>
  <si>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</si>
  <si>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</si>
  <si>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</si>
  <si>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</si>
  <si>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</si>
  <si>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</si>
  <si>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</si>
  <si>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</si>
  <si>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</si>
  <si>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</si>
  <si>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</si>
  <si>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</si>
  <si>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</si>
  <si>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</si>
  <si>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</si>
  <si>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</si>
  <si>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</si>
  <si>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</si>
  <si>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</si>
  <si>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</si>
  <si>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</si>
  <si>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</si>
  <si>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</si>
  <si>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</si>
  <si>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</si>
  <si>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</si>
  <si>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</si>
  <si>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</si>
  <si>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</si>
  <si>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</si>
  <si>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</si>
  <si>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</si>
  <si>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</si>
  <si>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</si>
  <si>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</si>
  <si>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</si>
  <si>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</si>
  <si>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</si>
  <si>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</si>
  <si>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</si>
  <si>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</si>
  <si>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</si>
  <si>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</si>
  <si>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</si>
  <si>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</si>
  <si>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</si>
  <si>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</si>
  <si>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</si>
  <si>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</si>
  <si>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</si>
  <si>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</si>
  <si>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</si>
  <si>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</si>
  <si>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</si>
  <si>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</si>
  <si>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</si>
  <si>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</si>
  <si>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</si>
  <si>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</si>
  <si>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</si>
  <si>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</si>
  <si>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</si>
  <si>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</si>
  <si>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</si>
  <si>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</si>
  <si>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</si>
  <si>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</si>
  <si>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</si>
  <si>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</si>
  <si>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</si>
  <si>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</si>
  <si>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</si>
  <si>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</si>
  <si>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</si>
  <si>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</si>
  <si>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</si>
  <si>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</si>
  <si>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</si>
  <si>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</si>
  <si>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</si>
  <si>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</si>
  <si>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</si>
  <si>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</si>
  <si>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</si>
  <si>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</si>
  <si>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</si>
  <si>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</si>
  <si>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</si>
  <si>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</si>
  <si>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</si>
  <si>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</si>
  <si>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</si>
  <si>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</si>
  <si>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</si>
  <si>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</si>
  <si>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</si>
  <si>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</si>
  <si>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</si>
  <si>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</si>
  <si>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</si>
  <si>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</si>
  <si>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</si>
  <si>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</si>
  <si>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</si>
  <si>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</si>
  <si>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</si>
  <si>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</si>
  <si>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</si>
  <si>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</si>
  <si>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</si>
  <si>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</si>
  <si>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</si>
  <si>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</si>
  <si>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</si>
  <si>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</si>
  <si>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</si>
  <si>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</si>
  <si>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</si>
  <si>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</si>
  <si>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</si>
  <si>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</si>
  <si>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</si>
  <si>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</si>
  <si>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</si>
  <si>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</si>
  <si>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</si>
  <si>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</si>
  <si>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</si>
  <si>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</si>
  <si>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</si>
  <si>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</si>
  <si>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</si>
  <si>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</si>
  <si>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</si>
  <si>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</si>
  <si>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</si>
  <si>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</si>
  <si>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</si>
  <si>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</si>
  <si>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</si>
  <si>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</si>
  <si>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</si>
  <si>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</si>
  <si>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</si>
  <si>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</si>
  <si>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</si>
  <si>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</si>
  <si>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</si>
  <si>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</si>
  <si>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</si>
  <si>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</si>
  <si>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</si>
  <si>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</si>
  <si>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</si>
  <si>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</si>
  <si>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</si>
  <si>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</si>
  <si>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</si>
  <si>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</si>
  <si>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</si>
  <si>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</si>
  <si>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</si>
  <si>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</si>
  <si>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</si>
  <si>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</si>
  <si>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</si>
  <si>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</si>
  <si>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</si>
  <si>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</si>
  <si>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</si>
  <si>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</si>
  <si>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</si>
  <si>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</si>
  <si>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</si>
  <si>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</si>
  <si>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</si>
  <si>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</si>
  <si>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</si>
  <si>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</si>
  <si>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</si>
  <si>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</si>
  <si>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</si>
  <si>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</si>
  <si>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</si>
  <si>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</si>
  <si>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</si>
  <si>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</si>
  <si>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</si>
  <si>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</si>
  <si>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</si>
  <si>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</si>
  <si>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</si>
  <si>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</si>
  <si>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</si>
  <si>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</si>
  <si>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</si>
  <si>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</si>
  <si>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</si>
  <si>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</si>
  <si>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</si>
  <si>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</si>
  <si>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</si>
  <si>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</si>
  <si>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</si>
  <si>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</si>
  <si>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</si>
  <si>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</si>
  <si>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</si>
  <si>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</si>
  <si>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</si>
  <si>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</si>
  <si>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</si>
  <si>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</si>
  <si>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</si>
  <si>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</si>
  <si>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</si>
  <si>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</si>
  <si>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</si>
  <si>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</si>
  <si>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</si>
  <si>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</si>
  <si>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</si>
  <si>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</si>
  <si>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</si>
  <si>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</si>
  <si>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</si>
  <si>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</si>
  <si>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</si>
  <si>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</si>
  <si>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</si>
  <si>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</si>
  <si>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</si>
  <si>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</si>
  <si>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</si>
  <si>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</si>
  <si>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</si>
  <si>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</si>
  <si>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</si>
  <si>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</si>
  <si>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</si>
  <si>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</si>
  <si>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</si>
  <si>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</si>
  <si>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</si>
  <si>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</si>
  <si>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</si>
  <si>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</si>
  <si>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</si>
  <si>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</si>
  <si>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</si>
  <si>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</si>
  <si>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</si>
  <si>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</si>
  <si>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</si>
  <si>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</si>
  <si>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</si>
  <si>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</si>
  <si>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</si>
  <si>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</si>
  <si>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</si>
  <si>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</si>
  <si>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</si>
  <si>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</si>
  <si>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</si>
  <si>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</si>
  <si>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</si>
  <si>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</si>
  <si>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</si>
  <si>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</si>
  <si>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</si>
  <si>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</si>
  <si>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</si>
  <si>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</si>
  <si>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</si>
  <si>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</si>
  <si>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</si>
  <si>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</si>
  <si>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</si>
  <si>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</si>
  <si>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</si>
  <si>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</si>
  <si>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</si>
  <si>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</si>
  <si>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</si>
  <si>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</si>
  <si>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</si>
  <si>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</si>
  <si>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</si>
  <si>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</si>
  <si>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</si>
  <si>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</si>
  <si>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</si>
  <si>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</si>
  <si>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</si>
  <si>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</si>
  <si>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</si>
  <si>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</si>
  <si>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</si>
  <si>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</si>
  <si>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</si>
  <si>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</si>
  <si>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</si>
  <si>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</si>
  <si>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</si>
  <si>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</si>
  <si>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</si>
  <si>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</si>
  <si>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</si>
  <si>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</si>
  <si>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</si>
  <si>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</si>
  <si>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</si>
  <si>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</si>
  <si>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</si>
  <si>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</si>
  <si>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</si>
  <si>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</si>
  <si>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</si>
  <si>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</si>
  <si>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</si>
  <si>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</si>
  <si>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</si>
  <si>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</si>
  <si>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</si>
  <si>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</si>
  <si>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</si>
  <si>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</si>
  <si>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</si>
  <si>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</si>
  <si>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</si>
  <si>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</si>
  <si>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</si>
  <si>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</si>
  <si>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</si>
  <si>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</si>
  <si>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</si>
  <si>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</si>
  <si>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</si>
  <si>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</si>
  <si>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</si>
  <si>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</si>
  <si>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</si>
  <si>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</si>
  <si>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</si>
  <si>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</si>
  <si>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</si>
  <si>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</si>
  <si>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</si>
  <si>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</si>
  <si>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</si>
  <si>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</si>
  <si>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</si>
  <si>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</si>
  <si>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</si>
  <si>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</si>
  <si>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</si>
  <si>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</si>
  <si>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</si>
  <si>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</si>
  <si>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</si>
  <si>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</si>
  <si>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</si>
  <si>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</si>
  <si>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</si>
  <si>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</si>
  <si>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</si>
  <si>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</si>
  <si>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</si>
  <si>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</si>
  <si>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</si>
  <si>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</si>
  <si>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</si>
  <si>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</si>
  <si>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</si>
  <si>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</si>
  <si>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</si>
  <si>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</si>
  <si>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</si>
  <si>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</si>
  <si>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</si>
  <si>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</si>
  <si>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</si>
  <si>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</si>
  <si>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</si>
  <si>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</si>
  <si>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</si>
  <si>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</si>
  <si>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</si>
  <si>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</si>
  <si>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</si>
  <si>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</si>
  <si>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</si>
  <si>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</si>
  <si>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</si>
  <si>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</si>
  <si>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</si>
  <si>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</si>
  <si>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</si>
  <si>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</si>
  <si>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</si>
  <si>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</si>
  <si>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</si>
  <si>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</si>
  <si>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</si>
  <si>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</si>
  <si>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</si>
  <si>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</si>
  <si>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</si>
  <si>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</si>
  <si>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</si>
  <si>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</si>
  <si>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</si>
  <si>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</si>
  <si>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</si>
  <si>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</si>
  <si>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</si>
  <si>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</si>
  <si>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</si>
  <si>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</si>
  <si>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</si>
  <si>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</si>
  <si>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</si>
  <si>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</si>
  <si>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</si>
  <si>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</si>
  <si>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</si>
  <si>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</si>
  <si>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</si>
  <si>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</si>
  <si>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</si>
  <si>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</si>
  <si>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</si>
  <si>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</si>
  <si>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</si>
  <si>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</si>
  <si>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</si>
  <si>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</si>
  <si>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</si>
  <si>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</si>
  <si>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</si>
  <si>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</si>
  <si>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</si>
  <si>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</si>
  <si>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</si>
  <si>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</si>
  <si>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</si>
  <si>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</si>
  <si>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</si>
  <si>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</si>
  <si>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</si>
  <si>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</si>
  <si>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</si>
  <si>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</si>
  <si>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</si>
  <si>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</si>
  <si>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</si>
  <si>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</si>
  <si>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</si>
  <si>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</si>
  <si>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</si>
  <si>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</si>
  <si>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</si>
  <si>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</si>
  <si>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</si>
  <si>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</si>
  <si>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</si>
  <si>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</si>
  <si>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</si>
  <si>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</si>
  <si>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</si>
  <si>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</si>
  <si>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</si>
  <si>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</si>
  <si>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</si>
  <si>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</si>
  <si>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</si>
  <si>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</si>
  <si>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</si>
  <si>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</si>
  <si>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</si>
  <si>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</si>
  <si>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</si>
  <si>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</si>
  <si>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</si>
  <si>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</si>
  <si>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</si>
  <si>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</si>
  <si>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</si>
  <si>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</si>
  <si>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</si>
  <si>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</si>
  <si>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</si>
  <si>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</si>
  <si>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</si>
  <si>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</si>
  <si>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</si>
  <si>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</si>
  <si>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</si>
  <si>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</si>
  <si>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</si>
  <si>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</si>
  <si>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</si>
  <si>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</si>
  <si>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</si>
  <si>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</si>
  <si>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</si>
  <si>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</si>
  <si>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</si>
  <si>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</si>
  <si>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</si>
  <si>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</si>
  <si>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</si>
  <si>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</si>
  <si>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</si>
  <si>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</si>
  <si>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</si>
  <si>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</si>
  <si>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</si>
  <si>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</si>
  <si>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</si>
  <si>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</si>
  <si>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</si>
  <si>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</si>
  <si>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</si>
  <si>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</si>
  <si>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</si>
  <si>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</si>
  <si>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</si>
  <si>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</si>
  <si>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</si>
  <si>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</si>
  <si>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</si>
  <si>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</si>
  <si>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</si>
  <si>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</si>
  <si>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</si>
  <si>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</si>
  <si>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</si>
  <si>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</si>
  <si>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</si>
  <si>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</si>
  <si>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</si>
  <si>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</si>
  <si>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</si>
  <si>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</si>
  <si>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</si>
  <si>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</si>
  <si>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</si>
  <si>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</si>
  <si>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</si>
  <si>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</si>
  <si>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</si>
  <si>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</si>
  <si>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</si>
  <si>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</si>
  <si>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</si>
  <si>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</si>
  <si>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</si>
  <si>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</si>
  <si>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</si>
  <si>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</si>
  <si>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</si>
  <si>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</si>
  <si>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</si>
  <si>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</si>
  <si>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</si>
  <si>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</si>
  <si>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</si>
  <si>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</si>
  <si>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</si>
  <si>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</si>
  <si>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</si>
  <si>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</si>
  <si>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</si>
  <si>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</si>
  <si>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</si>
  <si>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</si>
  <si>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</si>
  <si>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</si>
  <si>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</si>
  <si>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</si>
  <si>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</si>
  <si>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</si>
  <si>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</si>
  <si>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</si>
  <si>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</si>
  <si>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</si>
  <si>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</si>
  <si>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</si>
  <si>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</si>
  <si>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</si>
  <si>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</si>
  <si>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</si>
  <si>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</si>
  <si>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</si>
  <si>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</si>
  <si>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</si>
  <si>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</si>
  <si>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</si>
  <si>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</si>
  <si>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</si>
  <si>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</si>
  <si>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</si>
  <si>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</si>
  <si>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</si>
  <si>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</si>
  <si>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</si>
  <si>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</si>
  <si>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</si>
  <si>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</si>
  <si>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</si>
  <si>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</si>
  <si>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</si>
  <si>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</si>
  <si>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</si>
  <si>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</si>
  <si>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</si>
  <si>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</si>
  <si>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</si>
  <si>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</si>
  <si>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</si>
  <si>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</si>
  <si>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</si>
  <si>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</si>
  <si>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</si>
  <si>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</si>
  <si>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</si>
  <si>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</si>
  <si>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</si>
  <si>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</si>
  <si>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</si>
  <si>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</si>
  <si>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</si>
  <si>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</si>
  <si>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</si>
  <si>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</si>
  <si>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</si>
  <si>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</si>
  <si>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</si>
  <si>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</si>
  <si>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</si>
  <si>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</si>
  <si>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</si>
  <si>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</si>
  <si>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</si>
  <si>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</si>
  <si>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</si>
  <si>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</si>
  <si>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</si>
  <si>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</si>
  <si>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</si>
  <si>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</si>
  <si>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</si>
  <si>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</si>
  <si>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</si>
  <si>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</si>
  <si>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</si>
  <si>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</si>
  <si>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</si>
  <si>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</si>
  <si>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</si>
  <si>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</si>
  <si>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</si>
  <si>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</si>
  <si>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</si>
  <si>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</si>
  <si>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</si>
  <si>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</si>
  <si>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</si>
  <si>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</si>
  <si>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</si>
  <si>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</si>
  <si>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</si>
  <si>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</si>
  <si>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</si>
  <si>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</si>
  <si>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</si>
  <si>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</si>
  <si>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</si>
  <si>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</si>
  <si>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</si>
  <si>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</si>
  <si>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</si>
  <si>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</si>
  <si>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</si>
  <si>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</si>
  <si>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</si>
  <si>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</si>
  <si>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</si>
  <si>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</si>
  <si>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</si>
  <si>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</si>
  <si>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</si>
  <si>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</si>
  <si>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</si>
  <si>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</si>
  <si>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</si>
  <si>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</si>
  <si>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</si>
  <si>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</si>
  <si>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</si>
  <si>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</si>
  <si>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</si>
  <si>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</si>
  <si>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</si>
  <si>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</si>
  <si>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</si>
  <si>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</si>
  <si>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</si>
  <si>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</si>
  <si>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</si>
  <si>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</si>
  <si>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</si>
  <si>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</si>
  <si>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</si>
  <si>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</si>
  <si>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</si>
  <si>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</si>
  <si>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</si>
  <si>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</si>
  <si>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</si>
  <si>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</si>
  <si>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</si>
  <si>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</si>
  <si>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</si>
  <si>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</si>
  <si>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</si>
  <si>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</si>
  <si>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</si>
  <si>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</si>
  <si>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</si>
  <si>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</si>
  <si>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</si>
  <si>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</si>
  <si>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</si>
  <si>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</si>
  <si>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</si>
  <si>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</si>
  <si>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</si>
  <si>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</si>
  <si>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</si>
  <si>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</si>
  <si>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</si>
  <si>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</si>
  <si>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</si>
  <si>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</si>
  <si>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</si>
  <si>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</si>
  <si>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</si>
  <si>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</si>
  <si>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</si>
  <si>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</si>
  <si>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</si>
  <si>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</si>
  <si>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</si>
  <si>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</si>
  <si>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</si>
  <si>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</si>
  <si>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</si>
  <si>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</si>
  <si>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</si>
  <si>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</si>
  <si>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</si>
  <si>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</si>
  <si>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</si>
  <si>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</si>
  <si>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</si>
  <si>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</si>
  <si>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</si>
  <si>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</si>
  <si>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</si>
  <si>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</si>
  <si>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</si>
  <si>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</si>
  <si>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</si>
  <si>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</si>
  <si>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</si>
  <si>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</si>
  <si>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</si>
  <si>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</si>
  <si>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</si>
  <si>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</si>
  <si>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</si>
  <si>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</si>
  <si>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</si>
  <si>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</si>
  <si>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</si>
  <si>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</si>
  <si>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</si>
  <si>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</si>
  <si>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</si>
  <si>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</si>
  <si>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</si>
  <si>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</si>
  <si>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</si>
  <si>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</si>
  <si>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</si>
  <si>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</si>
  <si>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</si>
  <si>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</si>
  <si>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</si>
  <si>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</si>
  <si>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</si>
  <si>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</si>
  <si>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</si>
  <si>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</si>
  <si>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</si>
  <si>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</si>
  <si>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</si>
  <si>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</si>
  <si>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</si>
  <si>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</si>
  <si>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</si>
  <si>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</si>
  <si>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</si>
  <si>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</si>
  <si>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</si>
  <si>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</si>
  <si>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</si>
  <si>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</si>
  <si>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</si>
  <si>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</si>
  <si>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</si>
  <si>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</si>
  <si>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</si>
  <si>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</si>
  <si>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</si>
  <si>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</si>
  <si>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</si>
  <si>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</si>
  <si>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</si>
  <si>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</si>
  <si>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</si>
  <si>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</si>
  <si>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</si>
  <si>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</si>
  <si>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</si>
  <si>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</si>
  <si>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</si>
  <si>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</si>
  <si>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</si>
  <si>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</si>
  <si>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</si>
  <si>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</si>
  <si>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</si>
  <si>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</si>
  <si>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</si>
  <si>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</si>
  <si>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</si>
  <si>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</si>
  <si>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</si>
  <si>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</si>
  <si>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</si>
  <si>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</si>
  <si>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</si>
  <si>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</si>
  <si>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</si>
  <si>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</si>
  <si>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</si>
  <si>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</si>
  <si>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</si>
  <si>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</si>
  <si>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</si>
  <si>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</si>
  <si>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</si>
  <si>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</si>
  <si>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</si>
  <si>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</si>
  <si>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</si>
  <si>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</si>
  <si>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</si>
  <si>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</si>
  <si>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</si>
  <si>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</si>
  <si>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</si>
  <si>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</si>
  <si>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</si>
  <si>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</si>
  <si>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</si>
  <si>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</si>
  <si>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</si>
  <si>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</si>
  <si>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</si>
  <si>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</si>
  <si>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</si>
  <si>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</si>
  <si>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</si>
  <si>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</si>
  <si>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</si>
  <si>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</si>
  <si>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</si>
  <si>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</si>
  <si>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</si>
  <si>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</si>
  <si>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</si>
  <si>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</si>
  <si>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</si>
  <si>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</si>
  <si>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</si>
  <si>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</si>
  <si>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</si>
  <si>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</si>
  <si>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</si>
  <si>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</si>
  <si>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</si>
  <si>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</si>
  <si>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</si>
  <si>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</si>
  <si>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</si>
  <si>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</si>
  <si>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</si>
  <si>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</si>
  <si>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</si>
  <si>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</si>
  <si>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</si>
  <si>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</si>
  <si>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</si>
  <si>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</si>
  <si>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</si>
  <si>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</si>
  <si>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</si>
  <si>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</si>
  <si>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</si>
  <si>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</si>
  <si>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</si>
  <si>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</si>
  <si>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</si>
  <si>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</si>
  <si>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</si>
  <si>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</si>
  <si>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</si>
  <si>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</si>
  <si>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</si>
  <si>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</si>
  <si>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</si>
  <si>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</si>
  <si>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</si>
  <si>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</si>
  <si>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</si>
  <si>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</si>
  <si>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</si>
  <si>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</si>
  <si>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</si>
  <si>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</si>
  <si>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</si>
  <si>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</si>
  <si>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</si>
  <si>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</si>
  <si>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</si>
  <si>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</si>
  <si>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</si>
  <si>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</si>
  <si>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</si>
  <si>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</si>
  <si>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</si>
  <si>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</si>
  <si>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</si>
  <si>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</si>
  <si>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</si>
  <si>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</si>
  <si>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</si>
  <si>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</si>
  <si>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</si>
  <si>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</si>
  <si>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</si>
  <si>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</si>
  <si>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</si>
  <si>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</si>
  <si>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</si>
  <si>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</si>
  <si>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</si>
  <si>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</si>
  <si>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</si>
  <si>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</si>
  <si>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</si>
  <si>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</si>
  <si>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</si>
  <si>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</si>
  <si>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</si>
  <si>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</si>
  <si>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</si>
  <si>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</si>
  <si>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</si>
  <si>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</si>
  <si>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</si>
  <si>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</si>
  <si>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</si>
  <si>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</si>
  <si>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</si>
  <si>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</si>
  <si>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</si>
  <si>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</si>
  <si>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</si>
  <si>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</si>
  <si>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</si>
  <si>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</si>
  <si>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</si>
  <si>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</si>
  <si>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</si>
  <si>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</si>
  <si>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</si>
  <si>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</si>
  <si>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</si>
  <si>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</si>
  <si>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</si>
  <si>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</si>
  <si>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</si>
  <si>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</si>
  <si>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</si>
  <si>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</si>
  <si>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</si>
  <si>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</si>
  <si>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</si>
  <si>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</si>
  <si>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</si>
  <si>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</si>
  <si>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</si>
  <si>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</si>
  <si>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</si>
  <si>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</si>
  <si>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</si>
  <si>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</si>
  <si>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</si>
  <si>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</si>
  <si>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</si>
  <si>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</si>
  <si>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</si>
  <si>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</si>
  <si>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</si>
  <si>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</si>
  <si>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</si>
  <si>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</si>
  <si>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</si>
  <si>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</si>
  <si>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</si>
  <si>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</si>
  <si>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</si>
  <si>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</si>
  <si>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</si>
  <si>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</si>
  <si>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</si>
  <si>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</si>
  <si>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</si>
  <si>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</si>
  <si>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</si>
  <si>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</si>
  <si>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</si>
  <si>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</si>
  <si>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</si>
  <si>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</si>
  <si>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</si>
  <si>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</si>
  <si>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</si>
  <si>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</si>
  <si>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</si>
  <si>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</si>
  <si>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</si>
  <si>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</si>
  <si>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</si>
  <si>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</si>
  <si>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</si>
  <si>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</si>
  <si>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</si>
  <si>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</si>
  <si>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</si>
  <si>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</si>
  <si>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</si>
  <si>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</si>
  <si>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</si>
  <si>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</si>
  <si>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</si>
  <si>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</si>
  <si>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</si>
  <si>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</si>
  <si>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</si>
  <si>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</si>
  <si>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</si>
  <si>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</si>
  <si>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</si>
  <si>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</si>
  <si>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</si>
  <si>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</si>
  <si>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</si>
  <si>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</si>
  <si>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</si>
  <si>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</si>
  <si>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</si>
  <si>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</si>
  <si>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</si>
  <si>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</si>
  <si>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</si>
  <si>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</si>
  <si>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</si>
  <si>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</si>
  <si>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</si>
  <si>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</si>
  <si>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</si>
  <si>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</si>
  <si>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</si>
  <si>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</si>
  <si>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</si>
  <si>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</si>
  <si>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</si>
  <si>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</si>
  <si>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</si>
  <si>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</si>
  <si>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</si>
  <si>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</si>
  <si>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</si>
  <si>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</si>
  <si>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</si>
  <si>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</si>
  <si>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</si>
  <si>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</si>
  <si>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</si>
  <si>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</si>
  <si>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</si>
  <si>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</si>
  <si>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</si>
  <si>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</si>
  <si>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</si>
  <si>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</si>
  <si>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</si>
  <si>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</si>
  <si>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</si>
  <si>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</si>
  <si>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</si>
  <si>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</si>
  <si>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</si>
  <si>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</si>
  <si>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</si>
  <si>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</si>
  <si>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</si>
  <si>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</si>
  <si>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</si>
  <si>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</si>
  <si>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</si>
  <si>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</si>
  <si>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</si>
  <si>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</si>
  <si>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</si>
  <si>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</si>
  <si>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</si>
  <si>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</si>
  <si>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</si>
  <si>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</si>
  <si>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</si>
  <si>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</si>
  <si>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</si>
  <si>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</si>
  <si>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</si>
  <si>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</si>
  <si>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</si>
  <si>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</si>
  <si>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</si>
  <si>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</si>
  <si>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</si>
  <si>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</si>
  <si>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</si>
  <si>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</si>
  <si>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</si>
  <si>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</si>
  <si>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</si>
  <si>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</si>
  <si>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</si>
  <si>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</si>
  <si>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</si>
  <si>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</si>
  <si>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</si>
  <si>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</si>
  <si>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</si>
  <si>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</si>
  <si>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</si>
  <si>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</si>
  <si>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</si>
  <si>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</si>
  <si>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</si>
  <si>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</si>
  <si>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</si>
  <si>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</si>
  <si>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</si>
  <si>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</si>
  <si>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</si>
  <si>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</si>
  <si>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</si>
  <si>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</si>
  <si>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</si>
  <si>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</si>
  <si>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</si>
  <si>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</si>
  <si>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</si>
  <si>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</si>
  <si>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</si>
  <si>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</si>
  <si>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</si>
  <si>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</si>
  <si>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</si>
  <si>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</si>
  <si>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</si>
  <si>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</si>
  <si>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</si>
  <si>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</si>
  <si>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</si>
  <si>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</si>
  <si>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</si>
  <si>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</si>
  <si>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</si>
  <si>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</si>
  <si>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</si>
  <si>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</si>
  <si>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</si>
  <si>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</si>
  <si>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</si>
  <si>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</si>
  <si>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</si>
  <si>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</si>
  <si>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</si>
  <si>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</si>
  <si>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</si>
  <si>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</si>
  <si>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</si>
  <si>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</si>
  <si>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</si>
  <si>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</si>
  <si>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</si>
  <si>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</si>
  <si>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</si>
  <si>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</si>
  <si>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</si>
  <si>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</si>
  <si>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</si>
  <si>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</si>
  <si>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</si>
  <si>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</si>
  <si>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</si>
  <si>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</si>
  <si>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</si>
  <si>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</si>
  <si>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</si>
  <si>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</si>
  <si>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</si>
  <si>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</si>
  <si>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</si>
  <si>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</si>
  <si>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</si>
  <si>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</si>
  <si>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</si>
  <si>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</si>
  <si>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</si>
  <si>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</si>
  <si>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</si>
  <si>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</si>
  <si>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</si>
  <si>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</si>
  <si>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</si>
  <si>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</si>
  <si>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</si>
  <si>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</si>
  <si>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</si>
  <si>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</si>
  <si>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</si>
  <si>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</si>
  <si>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</si>
  <si>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</si>
  <si>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</si>
  <si>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</si>
  <si>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</si>
  <si>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</si>
  <si>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</si>
  <si>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</si>
  <si>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</si>
  <si>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</si>
  <si>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</si>
  <si>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</si>
  <si>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</si>
  <si>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</si>
  <si>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</si>
  <si>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</si>
  <si>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</si>
  <si>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</si>
  <si>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</si>
  <si>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</si>
  <si>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</si>
  <si>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</si>
  <si>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</si>
  <si>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</si>
  <si>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</si>
  <si>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</si>
  <si>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</si>
  <si>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</si>
  <si>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</si>
  <si>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</si>
  <si>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</si>
  <si>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</si>
  <si>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</si>
  <si>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</si>
  <si>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</si>
  <si>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</si>
  <si>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</si>
  <si>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</si>
  <si>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</si>
  <si>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</si>
  <si>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</si>
  <si>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</si>
  <si>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</si>
  <si>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</si>
  <si>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</si>
  <si>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</si>
  <si>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</si>
  <si>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</si>
  <si>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</si>
  <si>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</si>
  <si>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</si>
  <si>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</si>
  <si>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</si>
  <si>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</si>
  <si>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</si>
  <si>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</si>
  <si>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</si>
  <si>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</si>
  <si>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</si>
  <si>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</si>
  <si>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</si>
  <si>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</si>
  <si>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</si>
  <si>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</si>
  <si>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</si>
  <si>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</si>
  <si>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</si>
  <si>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</si>
  <si>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</si>
  <si>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</si>
  <si>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</si>
  <si>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</si>
  <si>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</si>
  <si>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</si>
  <si>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</si>
  <si>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</si>
  <si>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</si>
  <si>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</si>
  <si>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</si>
  <si>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</si>
  <si>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</si>
  <si>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</si>
  <si>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</si>
  <si>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</si>
  <si>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</si>
  <si>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</si>
  <si>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</si>
  <si>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</si>
  <si>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</si>
  <si>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</si>
  <si>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</si>
  <si>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</si>
  <si>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</si>
  <si>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</si>
  <si>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</si>
  <si>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</si>
  <si>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</si>
  <si>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</si>
  <si>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</si>
  <si>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</si>
  <si>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</si>
  <si>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</si>
  <si>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</si>
  <si>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</si>
  <si>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</si>
  <si>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</si>
  <si>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</si>
  <si>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</si>
  <si>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</si>
  <si>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</si>
  <si>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</si>
  <si>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</si>
  <si>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</si>
  <si>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</si>
  <si>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</si>
  <si>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</si>
  <si>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</si>
  <si>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</si>
  <si>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</si>
  <si>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</si>
  <si>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</si>
  <si>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</si>
  <si>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</si>
  <si>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</si>
  <si>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</si>
  <si>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</si>
  <si>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</si>
  <si>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</si>
  <si>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</si>
  <si>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</si>
  <si>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</si>
  <si>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</si>
  <si>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</si>
  <si>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</si>
  <si>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</si>
  <si>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</si>
  <si>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</si>
  <si>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</si>
  <si>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</si>
  <si>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</si>
  <si>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</si>
  <si>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</si>
  <si>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</si>
  <si>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</si>
  <si>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</si>
  <si>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</si>
  <si>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</si>
  <si>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</si>
  <si>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</si>
  <si>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</si>
  <si>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</si>
  <si>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</si>
  <si>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</si>
  <si>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</si>
  <si>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</si>
  <si>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</si>
  <si>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</si>
  <si>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</si>
  <si>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</si>
  <si>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</si>
  <si>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</si>
  <si>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</si>
  <si>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</si>
  <si>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</si>
  <si>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</si>
  <si>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</si>
  <si>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</si>
  <si>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</si>
  <si>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</si>
  <si>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</si>
  <si>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</si>
  <si>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</si>
  <si>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</si>
  <si>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</si>
  <si>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</si>
  <si>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</si>
  <si>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</si>
  <si>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</si>
  <si>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</si>
  <si>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</si>
  <si>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</si>
  <si>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</si>
  <si>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</si>
  <si>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</si>
  <si>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</si>
  <si>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</si>
  <si>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</si>
  <si>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</si>
  <si>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</si>
  <si>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</si>
  <si>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</si>
  <si>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</si>
  <si>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</si>
  <si>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</si>
  <si>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</si>
  <si>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</si>
  <si>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</si>
  <si>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</si>
  <si>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</si>
  <si>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</si>
  <si>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</si>
  <si>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</si>
  <si>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</si>
  <si>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</si>
  <si>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</si>
  <si>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</si>
  <si>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</si>
  <si>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</si>
  <si>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</si>
  <si>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</si>
  <si>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</si>
  <si>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</si>
  <si>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</si>
  <si>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</si>
  <si>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</si>
  <si>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</si>
  <si>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</si>
  <si>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</si>
  <si>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</si>
  <si>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</si>
  <si>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</si>
  <si>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</si>
  <si>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</si>
  <si>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</si>
  <si>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</si>
  <si>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</si>
  <si>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</si>
  <si>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</si>
  <si>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</si>
  <si>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</si>
  <si>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</si>
  <si>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</si>
  <si>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</si>
  <si>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</si>
  <si>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</si>
  <si>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</si>
  <si>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</si>
  <si>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</si>
  <si>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</si>
  <si>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</si>
  <si>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</si>
  <si>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</si>
  <si>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</si>
  <si>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</si>
  <si>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</si>
  <si>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</si>
  <si>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</si>
  <si>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</si>
  <si>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</si>
  <si>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</si>
  <si>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</si>
  <si>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</si>
  <si>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</si>
  <si>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</si>
  <si>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</si>
  <si>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</si>
  <si>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</si>
  <si>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</si>
  <si>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</si>
  <si>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</si>
  <si>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</si>
  <si>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</si>
  <si>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</si>
  <si>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</si>
  <si>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</si>
  <si>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</si>
  <si>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</si>
  <si>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</si>
  <si>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</si>
  <si>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</si>
  <si>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</si>
  <si>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</si>
  <si>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</si>
  <si>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</si>
  <si>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</si>
  <si>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</si>
  <si>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</si>
  <si>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</si>
  <si>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</si>
  <si>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</si>
  <si>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</si>
  <si>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</si>
  <si>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</si>
  <si>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</si>
  <si>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</si>
  <si>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</si>
  <si>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</si>
  <si>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</si>
  <si>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</si>
  <si>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</si>
  <si>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</si>
  <si>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</si>
  <si>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</si>
  <si>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</si>
  <si>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</si>
  <si>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</si>
  <si>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</si>
  <si>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</si>
  <si>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</si>
  <si>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</si>
  <si>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</si>
  <si>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</si>
  <si>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</si>
  <si>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</si>
  <si>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</si>
  <si>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</si>
  <si>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</si>
  <si>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</si>
  <si>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</si>
  <si>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</si>
  <si>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</si>
  <si>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</si>
  <si>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</si>
  <si>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</si>
  <si>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</si>
  <si>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</si>
  <si>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</si>
  <si>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</si>
  <si>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</si>
  <si>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</si>
  <si>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</si>
  <si>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</si>
  <si>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</si>
  <si>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</si>
  <si>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</si>
  <si>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</si>
  <si>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</si>
  <si>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</si>
  <si>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</si>
  <si>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</si>
  <si>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</si>
  <si>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</si>
  <si>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</si>
  <si>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</si>
  <si>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</si>
  <si>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</si>
  <si>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</si>
  <si>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</si>
  <si>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</si>
  <si>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</si>
  <si>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</si>
  <si>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</si>
  <si>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</si>
  <si>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</si>
  <si>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</si>
  <si>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</si>
  <si>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</si>
  <si>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</si>
  <si>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</si>
  <si>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</si>
  <si>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</si>
  <si>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</si>
  <si>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</si>
  <si>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</si>
  <si>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</si>
  <si>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</si>
  <si>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</si>
  <si>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</si>
  <si>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</si>
  <si>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</si>
  <si>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</si>
  <si>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</si>
  <si>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</si>
  <si>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</si>
  <si>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</si>
  <si>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</si>
  <si>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</si>
  <si>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</si>
  <si>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</si>
  <si>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</si>
  <si>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</si>
  <si>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</si>
  <si>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</si>
  <si>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</si>
  <si>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</si>
  <si>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</si>
  <si>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</si>
  <si>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</si>
  <si>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</si>
  <si>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</si>
  <si>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</si>
  <si>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</si>
  <si>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</si>
  <si>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</si>
  <si>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</si>
  <si>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</si>
  <si>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</si>
  <si>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</si>
  <si>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</si>
  <si>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</si>
  <si>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</si>
  <si>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</si>
  <si>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</si>
  <si>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</si>
  <si>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</si>
  <si>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</si>
  <si>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</si>
  <si>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</si>
  <si>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</si>
  <si>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</si>
  <si>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</si>
  <si>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</si>
  <si>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</si>
  <si>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</si>
  <si>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</si>
  <si>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</si>
  <si>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</si>
  <si>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</si>
  <si>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</si>
  <si>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</si>
  <si>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</si>
  <si>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</si>
  <si>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</si>
  <si>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</si>
  <si>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</si>
  <si>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</si>
  <si>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</si>
  <si>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</si>
  <si>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</si>
  <si>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</si>
  <si>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</si>
  <si>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</si>
  <si>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</si>
  <si>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</si>
  <si>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</si>
  <si>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</si>
  <si>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</si>
  <si>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</si>
  <si>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</si>
  <si>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</si>
  <si>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</si>
  <si>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</si>
  <si>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</si>
  <si>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</si>
  <si>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</si>
  <si>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</si>
  <si>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</si>
  <si>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</si>
  <si>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</si>
  <si>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</si>
  <si>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</si>
  <si>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</si>
  <si>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</si>
  <si>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</si>
  <si>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</si>
  <si>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</si>
  <si>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</si>
  <si>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</si>
  <si>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</si>
  <si>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</si>
  <si>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</si>
  <si>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</si>
  <si>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</si>
  <si>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</si>
  <si>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</si>
  <si>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</si>
  <si>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</si>
  <si>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</si>
  <si>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</si>
  <si>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</si>
  <si>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</si>
  <si>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</si>
  <si>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</si>
  <si>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</si>
  <si>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</si>
  <si>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</si>
  <si>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</si>
  <si>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</si>
  <si>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</si>
  <si>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</si>
  <si>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</si>
  <si>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</si>
  <si>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</si>
  <si>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</si>
  <si>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</si>
  <si>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</si>
  <si>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</si>
  <si>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</si>
  <si>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</si>
  <si>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</si>
  <si>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</si>
  <si>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</si>
  <si>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</si>
  <si>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</si>
  <si>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</si>
  <si>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</si>
  <si>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</si>
  <si>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</si>
  <si>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</si>
  <si>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</si>
  <si>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</si>
  <si>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</si>
  <si>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</si>
  <si>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</si>
  <si>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</si>
  <si>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</si>
  <si>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</si>
  <si>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</si>
  <si>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</si>
  <si>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</si>
  <si>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</si>
  <si>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</si>
  <si>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</si>
  <si>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</si>
  <si>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</si>
  <si>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</si>
  <si>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</si>
  <si>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</si>
  <si>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</si>
  <si>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</si>
  <si>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</si>
  <si>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</si>
  <si>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</si>
  <si>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</si>
  <si>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</si>
  <si>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</si>
  <si>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</si>
  <si>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</si>
  <si>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</si>
  <si>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</si>
  <si>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</si>
  <si>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</si>
  <si>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</si>
  <si>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</si>
  <si>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</si>
  <si>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</si>
  <si>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</si>
  <si>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</si>
  <si>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</si>
  <si>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</si>
  <si>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</si>
  <si>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</si>
  <si>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</si>
  <si>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</si>
  <si>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</si>
  <si>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</si>
  <si>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</si>
  <si>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</si>
  <si>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</si>
  <si>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</si>
  <si>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</si>
  <si>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</si>
  <si>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</si>
  <si>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</si>
  <si>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</si>
  <si>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</si>
  <si>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</si>
  <si>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</si>
  <si>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</si>
  <si>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</si>
  <si>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</si>
  <si>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</si>
  <si>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</si>
  <si>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</si>
  <si>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</si>
  <si>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</si>
  <si>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</si>
  <si>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</si>
  <si>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</si>
  <si>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</si>
  <si>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</si>
  <si>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</si>
  <si>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</si>
  <si>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</si>
  <si>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</si>
  <si>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</si>
  <si>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</si>
  <si>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</si>
  <si>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</si>
  <si>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</si>
  <si>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</si>
  <si>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</si>
  <si>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</si>
  <si>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</si>
  <si>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</si>
  <si>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</si>
  <si>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</si>
  <si>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</si>
  <si>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</si>
  <si>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</si>
  <si>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</si>
  <si>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</si>
  <si>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</si>
  <si>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</si>
  <si>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</si>
  <si>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</si>
  <si>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</si>
  <si>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</si>
  <si>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</si>
  <si>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</si>
  <si>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</si>
  <si>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</si>
  <si>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</si>
  <si>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</si>
  <si>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</si>
  <si>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</si>
  <si>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</si>
  <si>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</si>
  <si>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</si>
  <si>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</si>
  <si>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</si>
  <si>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</si>
  <si>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</si>
  <si>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</si>
  <si>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</si>
  <si>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</si>
  <si>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</si>
  <si>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</si>
  <si>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</si>
  <si>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</si>
  <si>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</si>
  <si>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</si>
  <si>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</si>
  <si>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</si>
  <si>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</si>
  <si>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</si>
  <si>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</si>
  <si>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</si>
  <si>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</si>
  <si>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</si>
  <si>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</si>
  <si>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</si>
  <si>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</si>
  <si>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</si>
  <si>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</si>
  <si>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</si>
  <si>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</si>
  <si>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</si>
  <si>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</si>
  <si>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</si>
  <si>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</si>
  <si>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</si>
  <si>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</si>
  <si>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</si>
  <si>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</si>
  <si>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</si>
  <si>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</si>
  <si>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</si>
  <si>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</si>
  <si>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</si>
  <si>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</si>
  <si>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</si>
  <si>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</si>
  <si>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</si>
  <si>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</si>
  <si>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</si>
  <si>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</si>
  <si>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</si>
  <si>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</si>
  <si>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</si>
  <si>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</si>
  <si>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</si>
  <si>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</si>
  <si>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</si>
  <si>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</si>
  <si>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</si>
  <si>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</si>
  <si>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</si>
  <si>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</si>
  <si>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</si>
  <si>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</si>
  <si>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</si>
  <si>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</si>
  <si>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</si>
  <si>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</si>
  <si>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</si>
  <si>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</si>
  <si>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</si>
  <si>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</si>
  <si>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</si>
  <si>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</si>
  <si>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</si>
  <si>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</si>
  <si>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</si>
  <si>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</si>
  <si>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</si>
  <si>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</si>
  <si>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</si>
  <si>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</si>
  <si>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</si>
  <si>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</si>
  <si>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</si>
  <si>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</si>
  <si>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</si>
  <si>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</si>
  <si>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</si>
  <si>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</si>
  <si>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</si>
  <si>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</si>
  <si>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</si>
  <si>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</si>
  <si>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</si>
  <si>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</si>
  <si>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</si>
  <si>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</si>
  <si>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</si>
  <si>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</si>
  <si>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</si>
  <si>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</si>
  <si>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</si>
  <si>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</si>
  <si>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</si>
  <si>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</si>
  <si>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</si>
  <si>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</si>
  <si>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</si>
  <si>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</si>
  <si>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</si>
  <si>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</si>
  <si>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</si>
  <si>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</si>
  <si>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</si>
  <si>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</si>
  <si>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</si>
  <si>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</si>
  <si>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</si>
  <si>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</si>
  <si>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</si>
  <si>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</si>
  <si>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</si>
  <si>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</si>
  <si>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</si>
  <si>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</si>
  <si>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</si>
  <si>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</si>
  <si>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</si>
  <si>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</si>
  <si>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</si>
  <si>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</si>
  <si>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</si>
  <si>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</si>
  <si>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</si>
  <si>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</si>
  <si>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</si>
  <si>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</si>
  <si>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</si>
  <si>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</si>
  <si>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</si>
  <si>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</si>
  <si>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</si>
  <si>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</si>
  <si>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</si>
  <si>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</si>
  <si>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</si>
  <si>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</si>
  <si>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</si>
  <si>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</si>
  <si>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</si>
  <si>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</si>
  <si>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</si>
  <si>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</si>
  <si>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</si>
  <si>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</si>
  <si>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</si>
  <si>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</si>
  <si>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</si>
  <si>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</si>
  <si>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</si>
  <si>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</si>
  <si>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</si>
  <si>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</si>
  <si>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</si>
  <si>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</si>
  <si>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</si>
  <si>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</si>
  <si>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</si>
  <si>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</si>
  <si>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</si>
  <si>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</si>
  <si>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</si>
  <si>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</si>
  <si>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</si>
  <si>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</si>
  <si>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</si>
  <si>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</si>
  <si>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</si>
  <si>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</si>
  <si>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</si>
  <si>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</si>
  <si>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</si>
  <si>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</si>
  <si>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</si>
  <si>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</si>
  <si>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</si>
  <si>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</si>
  <si>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</si>
  <si>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</si>
  <si>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</si>
  <si>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</si>
  <si>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</si>
  <si>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</si>
  <si>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</si>
  <si>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</si>
  <si>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</si>
  <si>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</si>
  <si>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</si>
  <si>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</si>
  <si>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</si>
  <si>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</si>
  <si>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</si>
  <si>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</si>
  <si>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</si>
  <si>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</si>
  <si>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</si>
  <si>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</si>
  <si>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</si>
  <si>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</si>
  <si>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</si>
  <si>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</si>
  <si>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</si>
  <si>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</si>
  <si>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</si>
  <si>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</si>
  <si>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</si>
  <si>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</si>
  <si>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</si>
  <si>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</si>
  <si>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</si>
  <si>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</si>
  <si>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</si>
  <si>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</si>
  <si>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</si>
  <si>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</si>
  <si>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</si>
  <si>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</si>
  <si>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</si>
  <si>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</si>
  <si>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</si>
  <si>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</si>
  <si>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</si>
  <si>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</si>
  <si>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</si>
  <si>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</si>
  <si>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</si>
  <si>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</si>
  <si>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</si>
  <si>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</si>
  <si>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</si>
  <si>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</si>
  <si>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</si>
  <si>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</si>
  <si>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</si>
  <si>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</si>
  <si>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</si>
  <si>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</si>
  <si>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</si>
  <si>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</si>
  <si>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</si>
  <si>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</si>
  <si>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</si>
  <si>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</si>
  <si>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</si>
  <si>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</si>
  <si>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</si>
  <si>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</si>
  <si>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</si>
  <si>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</si>
  <si>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</si>
  <si>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</si>
  <si>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</si>
  <si>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</si>
  <si>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</si>
  <si>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</si>
  <si>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</si>
  <si>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</si>
  <si>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</si>
  <si>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</si>
  <si>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</si>
  <si>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</si>
  <si>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</si>
  <si>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</si>
  <si>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</si>
  <si>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</si>
  <si>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</si>
  <si>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</si>
  <si>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</si>
  <si>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</si>
  <si>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</si>
  <si>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</si>
  <si>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</si>
  <si>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</si>
  <si>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</si>
  <si>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</si>
  <si>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</si>
  <si>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</si>
  <si>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</si>
  <si>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</si>
  <si>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</si>
  <si>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</si>
  <si>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</si>
  <si>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</si>
  <si>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</si>
  <si>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</si>
  <si>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</si>
  <si>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</si>
  <si>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</si>
  <si>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</si>
  <si>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</si>
  <si>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</si>
  <si>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</si>
  <si>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</si>
  <si>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</si>
  <si>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</si>
  <si>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</si>
  <si>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</si>
  <si>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</si>
  <si>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</si>
  <si>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</si>
  <si>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</si>
  <si>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</si>
  <si>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</si>
  <si>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</si>
  <si>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</si>
  <si>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</si>
  <si>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</si>
  <si>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</si>
  <si>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</si>
  <si>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</si>
  <si>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</si>
  <si>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</si>
  <si>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</si>
  <si>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</si>
  <si>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</si>
  <si>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</si>
  <si>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</si>
  <si>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</si>
  <si>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</si>
  <si>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</si>
  <si>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</si>
  <si>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</si>
  <si>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</si>
  <si>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</si>
  <si>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</si>
  <si>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</si>
  <si>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</si>
  <si>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</si>
  <si>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</si>
  <si>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</si>
  <si>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</si>
  <si>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</si>
  <si>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</si>
  <si>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</si>
  <si>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</si>
  <si>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</si>
  <si>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</si>
  <si>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</si>
  <si>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</si>
  <si>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</si>
  <si>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</si>
  <si>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</si>
  <si>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</si>
  <si>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</si>
  <si>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</si>
  <si>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</si>
  <si>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</si>
  <si>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</si>
  <si>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</si>
  <si>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</si>
  <si>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</si>
  <si>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</si>
  <si>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</si>
  <si>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</si>
  <si>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</si>
  <si>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</si>
  <si>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</si>
  <si>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</si>
  <si>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</si>
  <si>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</si>
  <si>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</si>
  <si>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</si>
  <si>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</si>
  <si>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</si>
  <si>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</si>
  <si>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</si>
  <si>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</si>
  <si>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</si>
  <si>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</si>
  <si>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</si>
  <si>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</si>
  <si>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</si>
  <si>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</si>
  <si>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</si>
  <si>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</si>
  <si>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</si>
  <si>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</si>
  <si>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</si>
  <si>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</si>
  <si>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</si>
  <si>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</si>
  <si>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</si>
  <si>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</si>
  <si>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</si>
  <si>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</si>
  <si>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</si>
  <si>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</si>
  <si>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</si>
  <si>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</si>
  <si>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</si>
  <si>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</si>
  <si>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</si>
  <si>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</si>
  <si>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</si>
  <si>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</si>
  <si>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</si>
  <si>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</si>
  <si>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</si>
  <si>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</si>
  <si>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</si>
  <si>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</si>
  <si>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</si>
  <si>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</si>
  <si>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</si>
  <si>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</si>
  <si>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</si>
  <si>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</si>
  <si>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</si>
  <si>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</si>
  <si>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</si>
  <si>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</si>
  <si>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</si>
  <si>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</si>
  <si>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</si>
  <si>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</si>
  <si>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</si>
  <si>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</si>
  <si>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</si>
  <si>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</si>
  <si>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</si>
  <si>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</si>
  <si>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</si>
  <si>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</si>
  <si>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</si>
  <si>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</si>
  <si>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</si>
  <si>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</si>
  <si>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</si>
  <si>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</si>
  <si>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</si>
  <si>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</si>
  <si>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</si>
  <si>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</si>
  <si>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</si>
  <si>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</si>
  <si>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</si>
  <si>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</si>
  <si>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</si>
  <si>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</si>
  <si>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</si>
  <si>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</si>
  <si>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</si>
  <si>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</si>
  <si>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</si>
  <si>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</si>
  <si>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</si>
  <si>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</si>
  <si>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</si>
  <si>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</si>
  <si>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</si>
  <si>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</si>
  <si>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</si>
  <si>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</si>
  <si>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</si>
  <si>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</si>
  <si>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</si>
  <si>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</si>
  <si>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</si>
  <si>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</si>
  <si>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</si>
  <si>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</si>
  <si>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</si>
  <si>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</si>
  <si>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</si>
  <si>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</si>
  <si>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</si>
  <si>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</si>
  <si>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</si>
  <si>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</si>
  <si>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</si>
  <si>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</si>
  <si>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</si>
  <si>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</si>
  <si>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</si>
  <si>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</si>
  <si>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</si>
  <si>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</si>
  <si>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</si>
  <si>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</si>
  <si>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</si>
  <si>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</si>
  <si>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</si>
  <si>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</si>
  <si>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</si>
  <si>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</si>
  <si>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</si>
  <si>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</si>
  <si>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</si>
  <si>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</si>
  <si>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</si>
  <si>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</si>
  <si>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</si>
  <si>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</si>
  <si>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</si>
  <si>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</si>
  <si>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</si>
  <si>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</si>
  <si>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</si>
  <si>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</si>
  <si>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</si>
  <si>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</si>
  <si>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</si>
  <si>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</si>
  <si>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</si>
  <si>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</si>
  <si>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</si>
  <si>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</si>
  <si>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</si>
  <si>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</si>
  <si>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</si>
  <si>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</si>
  <si>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</si>
  <si>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</si>
  <si>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</si>
  <si>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</si>
  <si>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</si>
  <si>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</si>
  <si>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</si>
  <si>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</si>
  <si>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</si>
  <si>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</si>
  <si>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</si>
  <si>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</si>
  <si>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</si>
  <si>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</si>
  <si>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</si>
  <si>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</si>
  <si>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</si>
  <si>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</si>
  <si>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</si>
  <si>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</si>
  <si>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</si>
  <si>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</si>
  <si>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</si>
  <si>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</si>
  <si>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</si>
  <si>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</si>
  <si>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</si>
  <si>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</si>
  <si>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</si>
  <si>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</si>
  <si>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</si>
  <si>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</si>
  <si>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</si>
  <si>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</si>
  <si>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</si>
  <si>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</si>
  <si>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</si>
  <si>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</si>
  <si>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</si>
  <si>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</si>
  <si>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</si>
  <si>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</si>
  <si>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</si>
  <si>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</si>
  <si>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</si>
  <si>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</si>
  <si>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</si>
  <si>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</si>
  <si>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</si>
  <si>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</si>
  <si>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</si>
  <si>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</si>
  <si>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</si>
  <si>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</si>
  <si>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</si>
  <si>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</si>
  <si>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</si>
  <si>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</si>
  <si>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</si>
  <si>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</si>
  <si>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</si>
  <si>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</si>
  <si>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</si>
  <si>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</si>
  <si>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</si>
  <si>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</si>
  <si>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</si>
  <si>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</si>
  <si>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</si>
  <si>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</si>
  <si>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</si>
  <si>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</si>
  <si>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</si>
  <si>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</si>
  <si>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</si>
  <si>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</si>
  <si>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</si>
  <si>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</si>
  <si>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</si>
  <si>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</si>
  <si>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</si>
  <si>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</si>
  <si>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</si>
  <si>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</si>
  <si>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</si>
  <si>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</si>
  <si>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</si>
  <si>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</si>
  <si>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</si>
  <si>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</si>
  <si>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</si>
  <si>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</si>
  <si>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</si>
  <si>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</si>
  <si>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</si>
  <si>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</si>
  <si>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</si>
  <si>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</si>
  <si>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</si>
  <si>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</si>
  <si>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</si>
  <si>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</si>
  <si>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</si>
  <si>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</si>
  <si>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</si>
  <si>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</si>
  <si>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</si>
  <si>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</si>
  <si>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</si>
  <si>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</si>
  <si>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</si>
  <si>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</si>
  <si>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</si>
  <si>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</si>
  <si>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</si>
  <si>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</si>
  <si>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</si>
  <si>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</si>
  <si>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</si>
  <si>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</si>
  <si>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</si>
  <si>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</si>
  <si>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</si>
  <si>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</si>
  <si>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</si>
  <si>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</si>
  <si>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</si>
  <si>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</si>
  <si>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</si>
  <si>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</si>
  <si>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</si>
  <si>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</si>
  <si>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</si>
  <si>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</si>
  <si>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</si>
  <si>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</si>
  <si>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</si>
  <si>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</si>
  <si>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</si>
  <si>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</si>
  <si>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</si>
  <si>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</si>
  <si>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</si>
  <si>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</si>
  <si>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</si>
  <si>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</si>
  <si>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</si>
  <si>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</si>
  <si>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</si>
  <si>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</si>
  <si>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</si>
  <si>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</si>
  <si>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</si>
  <si>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</si>
  <si>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</si>
  <si>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</si>
  <si>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</si>
  <si>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</si>
  <si>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</si>
  <si>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</si>
  <si>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</si>
  <si>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</si>
  <si>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</si>
  <si>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</si>
  <si>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</si>
  <si>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</si>
  <si>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</si>
  <si>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</si>
  <si>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</si>
  <si>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</si>
  <si>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</si>
  <si>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</si>
  <si>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</si>
  <si>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</si>
  <si>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</si>
  <si>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</si>
  <si>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</si>
  <si>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</si>
  <si>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</si>
  <si>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</si>
  <si>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</si>
  <si>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</si>
  <si>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</si>
  <si>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</si>
  <si>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</si>
  <si>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</si>
  <si>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</si>
  <si>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</si>
  <si>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</si>
  <si>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</si>
  <si>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</si>
  <si>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</si>
  <si>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</si>
  <si>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</si>
  <si>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</si>
  <si>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</si>
  <si>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</si>
  <si>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</si>
  <si>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</si>
  <si>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</si>
  <si>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</si>
  <si>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</si>
  <si>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</si>
  <si>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</si>
  <si>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</si>
  <si>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</si>
  <si>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</si>
  <si>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</si>
  <si>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</si>
  <si>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</si>
  <si>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</si>
  <si>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</si>
  <si>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</si>
  <si>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</si>
  <si>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</si>
  <si>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</si>
  <si>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</si>
  <si>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</si>
  <si>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</si>
  <si>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</si>
  <si>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</si>
  <si>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</si>
  <si>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</si>
  <si>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</si>
  <si>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</si>
  <si>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</si>
  <si>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</si>
  <si>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</si>
  <si>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</si>
  <si>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</si>
  <si>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</si>
  <si>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</si>
  <si>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</si>
  <si>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</si>
  <si>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</si>
  <si>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</si>
  <si>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</si>
  <si>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</si>
  <si>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</si>
  <si>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</si>
  <si>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</si>
  <si>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</si>
  <si>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</si>
  <si>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</si>
  <si>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</si>
  <si>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</si>
  <si>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</si>
  <si>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</si>
  <si>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</si>
  <si>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</si>
  <si>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</si>
  <si>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</si>
  <si>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</si>
  <si>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</si>
  <si>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</si>
  <si>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</si>
  <si>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</si>
  <si>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</si>
  <si>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</si>
  <si>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</si>
  <si>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</si>
  <si>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</si>
  <si>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</si>
  <si>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</si>
  <si>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</si>
  <si>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</si>
  <si>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</si>
  <si>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</si>
  <si>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</si>
  <si>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</si>
  <si>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</si>
  <si>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</si>
  <si>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</si>
  <si>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</si>
  <si>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</si>
  <si>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</si>
  <si>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</si>
  <si>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</si>
  <si>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</si>
  <si>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</si>
  <si>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</si>
  <si>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</si>
  <si>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</si>
  <si>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</si>
  <si>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</si>
  <si>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</si>
  <si>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</si>
  <si>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</si>
  <si>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</si>
  <si>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</si>
  <si>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</si>
  <si>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</si>
  <si>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</si>
  <si>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</si>
  <si>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</si>
  <si>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</si>
  <si>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</si>
  <si>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</si>
  <si>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</si>
  <si>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</si>
  <si>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</si>
  <si>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</si>
  <si>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</si>
  <si>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</si>
  <si>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</si>
  <si>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</si>
  <si>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</si>
  <si>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</si>
  <si>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</si>
  <si>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</si>
  <si>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</si>
  <si>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</si>
  <si>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</si>
  <si>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</si>
  <si>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</si>
  <si>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</si>
  <si>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</si>
  <si>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</si>
  <si>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</si>
  <si>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</si>
  <si>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</si>
  <si>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</si>
  <si>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</si>
  <si>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</si>
  <si>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</si>
  <si>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</si>
  <si>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</si>
  <si>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</si>
  <si>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</si>
  <si>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</si>
  <si>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</si>
  <si>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</si>
  <si>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</si>
  <si>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</si>
  <si>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</si>
  <si>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</si>
  <si>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</si>
  <si>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</si>
  <si>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</si>
  <si>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</si>
  <si>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</si>
  <si>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</si>
  <si>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</si>
  <si>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</si>
  <si>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</si>
  <si>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</si>
  <si>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</si>
  <si>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</si>
  <si>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</si>
  <si>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</si>
  <si>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</si>
  <si>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</si>
  <si>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</si>
  <si>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</si>
  <si>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</si>
  <si>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</si>
  <si>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</si>
  <si>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</si>
  <si>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</si>
  <si>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</si>
  <si>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</si>
  <si>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</si>
  <si>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</si>
  <si>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</si>
  <si>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</si>
  <si>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</si>
  <si>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</si>
  <si>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</si>
  <si>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</si>
  <si>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</si>
  <si>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</si>
  <si>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</si>
  <si>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</si>
  <si>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</si>
  <si>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</si>
  <si>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</si>
  <si>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</si>
  <si>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</si>
  <si>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</si>
  <si>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</si>
  <si>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</si>
  <si>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</si>
  <si>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</si>
  <si>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</si>
  <si>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</si>
  <si>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</si>
  <si>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</si>
  <si>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</si>
  <si>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</si>
  <si>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</si>
  <si>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</si>
  <si>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</si>
  <si>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</si>
  <si>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</si>
  <si>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</si>
  <si>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</si>
  <si>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</si>
  <si>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</si>
  <si>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</si>
  <si>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</si>
  <si>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</si>
  <si>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</si>
  <si>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</si>
  <si>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</si>
  <si>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</si>
  <si>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</si>
  <si>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</si>
  <si>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</si>
  <si>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</si>
  <si>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</si>
  <si>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</si>
  <si>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</si>
  <si>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</si>
  <si>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</si>
  <si>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</si>
  <si>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</si>
  <si>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</si>
  <si>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</si>
  <si>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</si>
  <si>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</si>
  <si>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</si>
  <si>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</si>
  <si>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</si>
  <si>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</si>
  <si>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</si>
  <si>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</si>
  <si>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</si>
  <si>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</si>
  <si>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</si>
  <si>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</si>
  <si>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</si>
  <si>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</si>
  <si>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</si>
  <si>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</si>
  <si>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</si>
  <si>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</si>
  <si>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</si>
  <si>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</si>
  <si>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</si>
  <si>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</si>
  <si>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</si>
  <si>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</si>
  <si>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</si>
  <si>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</si>
  <si>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</si>
  <si>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</si>
  <si>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</si>
  <si>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</si>
  <si>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</si>
  <si>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</si>
  <si>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</si>
  <si>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</si>
  <si>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</si>
  <si>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</si>
  <si>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</si>
  <si>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</si>
  <si>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</si>
  <si>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</si>
  <si>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</si>
  <si>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</si>
  <si>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</si>
  <si>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</si>
  <si>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</si>
  <si>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</si>
  <si>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</si>
  <si>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</si>
  <si>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</si>
  <si>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</si>
  <si>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</si>
  <si>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</si>
  <si>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</si>
  <si>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</si>
  <si>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</si>
  <si>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</si>
  <si>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</si>
  <si>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</si>
  <si>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</si>
  <si>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</si>
  <si>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</si>
  <si>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</si>
  <si>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</si>
  <si>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</si>
  <si>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</si>
  <si>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</si>
  <si>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</si>
  <si>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</si>
  <si>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</si>
  <si>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</si>
  <si>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</si>
  <si>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</si>
  <si>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</si>
  <si>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</si>
  <si>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</si>
  <si>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</si>
  <si>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</si>
  <si>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</si>
  <si>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</si>
  <si>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</si>
  <si>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</si>
  <si>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</si>
  <si>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</si>
  <si>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</si>
  <si>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</si>
  <si>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</si>
  <si>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</si>
  <si>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</si>
  <si>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</si>
  <si>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</si>
  <si>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</si>
  <si>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</si>
  <si>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</si>
  <si>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</si>
  <si>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</si>
  <si>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</si>
  <si>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</si>
  <si>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</si>
  <si>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</si>
  <si>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</si>
  <si>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</si>
  <si>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</si>
  <si>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</si>
  <si>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</si>
  <si>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</si>
  <si>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</si>
  <si>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</si>
  <si>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</si>
  <si>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</si>
  <si>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</si>
  <si>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</si>
  <si>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</si>
  <si>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</si>
  <si>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</si>
  <si>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</si>
  <si>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</si>
  <si>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</si>
  <si>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</si>
  <si>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</si>
  <si>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</si>
  <si>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</si>
  <si>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</si>
  <si>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</si>
  <si>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</si>
  <si>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</si>
  <si>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</si>
  <si>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</si>
  <si>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</si>
  <si>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</si>
  <si>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</si>
  <si>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</si>
  <si>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</si>
  <si>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</si>
  <si>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</si>
  <si>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</si>
  <si>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</si>
  <si>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</si>
  <si>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</si>
  <si>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</si>
  <si>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</si>
  <si>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</si>
  <si>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</si>
  <si>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</si>
  <si>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</si>
  <si>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</si>
  <si>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</si>
  <si>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</si>
  <si>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</si>
  <si>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</si>
  <si>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</si>
  <si>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</si>
  <si>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</si>
  <si>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</si>
  <si>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</si>
  <si>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</si>
  <si>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</si>
  <si>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</si>
  <si>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</si>
  <si>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</si>
  <si>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</si>
  <si>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</si>
  <si>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</si>
  <si>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</si>
  <si>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</si>
  <si>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</si>
  <si>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</si>
  <si>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</si>
  <si>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</si>
  <si>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</si>
  <si>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</si>
  <si>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</si>
  <si>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</si>
  <si>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</si>
  <si>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</si>
  <si>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</si>
  <si>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</si>
  <si>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</si>
  <si>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</si>
  <si>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</si>
  <si>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</si>
  <si>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</si>
  <si>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</si>
  <si>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</si>
  <si>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</si>
  <si>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</si>
  <si>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</si>
  <si>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</si>
  <si>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</si>
  <si>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</si>
  <si>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</si>
  <si>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</si>
  <si>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</si>
  <si>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</si>
  <si>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</si>
  <si>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</si>
  <si>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</si>
  <si>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</si>
  <si>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</si>
  <si>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</si>
  <si>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</si>
  <si>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</si>
  <si>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</si>
  <si>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</si>
  <si>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</si>
  <si>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</si>
  <si>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</si>
  <si>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</si>
  <si>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</si>
  <si>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</si>
  <si>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</si>
  <si>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</si>
  <si>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</si>
  <si>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</si>
  <si>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</si>
  <si>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</si>
  <si>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</si>
  <si>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</si>
  <si>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</si>
  <si>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</si>
  <si>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</si>
  <si>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</si>
  <si>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</si>
  <si>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</si>
  <si>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</si>
  <si>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</si>
  <si>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</si>
  <si>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</si>
  <si>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</si>
  <si>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</si>
  <si>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</si>
  <si>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</si>
  <si>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</si>
  <si>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</si>
  <si>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</si>
  <si>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</si>
  <si>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</si>
  <si>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</si>
  <si>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</si>
  <si>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</si>
  <si>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</si>
  <si>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</si>
  <si>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</si>
  <si>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</si>
  <si>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</si>
  <si>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</si>
  <si>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</si>
  <si>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</si>
  <si>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</si>
  <si>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</si>
  <si>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</si>
  <si>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</si>
  <si>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</si>
  <si>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</si>
  <si>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</si>
  <si>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</si>
  <si>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</si>
  <si>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</si>
  <si>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</si>
  <si>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</si>
  <si>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</si>
  <si>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</si>
  <si>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</si>
  <si>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</si>
  <si>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</si>
  <si>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</si>
  <si>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</si>
  <si>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</si>
  <si>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</si>
  <si>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</si>
  <si>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</si>
  <si>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</si>
  <si>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</si>
  <si>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</si>
  <si>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</si>
  <si>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</si>
  <si>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</si>
  <si>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</si>
  <si>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</si>
  <si>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</si>
  <si>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</si>
  <si>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</si>
  <si>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</si>
  <si>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</si>
  <si>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</si>
  <si>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</si>
  <si>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</si>
  <si>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</si>
  <si>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</si>
  <si>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</si>
  <si>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</si>
  <si>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</si>
  <si>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</si>
  <si>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</si>
  <si>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</si>
  <si>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</si>
  <si>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</si>
  <si>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</si>
  <si>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</si>
  <si>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</si>
  <si>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</si>
  <si>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</si>
  <si>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</si>
  <si>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</si>
  <si>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</si>
  <si>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</si>
  <si>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</si>
  <si>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</si>
  <si>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</si>
  <si>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</si>
  <si>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</si>
  <si>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</si>
  <si>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</si>
  <si>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</si>
  <si>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</si>
  <si>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</si>
  <si>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</si>
  <si>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</si>
  <si>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</si>
  <si>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</si>
  <si>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</si>
  <si>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</si>
  <si>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</si>
  <si>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</si>
  <si>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</si>
  <si>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</si>
  <si>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</si>
  <si>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</si>
  <si>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</si>
  <si>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</si>
  <si>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</si>
  <si>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</si>
  <si>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</si>
  <si>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</si>
  <si>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</si>
  <si>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</si>
  <si>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</si>
  <si>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</si>
  <si>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</si>
  <si>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</si>
  <si>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</si>
  <si>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</si>
  <si>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</si>
  <si>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</si>
  <si>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</si>
  <si>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</si>
  <si>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</si>
  <si>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</si>
  <si>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</si>
  <si>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</si>
  <si>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</si>
  <si>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</si>
  <si>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</si>
  <si>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</si>
  <si>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</si>
  <si>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</si>
  <si>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</si>
  <si>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</si>
  <si>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</si>
  <si>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</si>
  <si>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</si>
  <si>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</si>
  <si>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</si>
  <si>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</si>
  <si>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</si>
  <si>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</si>
  <si>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</si>
  <si>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</si>
  <si>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</si>
  <si>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</si>
  <si>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</si>
  <si>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</si>
  <si>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</si>
  <si>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</si>
  <si>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</si>
  <si>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</si>
  <si>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</si>
  <si>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</si>
  <si>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</si>
  <si>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</si>
  <si>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</si>
  <si>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</si>
  <si>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</si>
  <si>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</si>
  <si>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</si>
  <si>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</si>
  <si>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</si>
  <si>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</si>
  <si>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</si>
  <si>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</si>
  <si>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</si>
  <si>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</si>
  <si>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</si>
  <si>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</si>
  <si>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</si>
  <si>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</si>
  <si>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</si>
  <si>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</si>
  <si>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</si>
  <si>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</si>
  <si>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</si>
  <si>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</si>
  <si>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</si>
  <si>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</si>
  <si>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</si>
  <si>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</si>
  <si>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</si>
  <si>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</si>
  <si>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</si>
  <si>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</si>
  <si>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</si>
  <si>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</si>
  <si>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</si>
  <si>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</si>
  <si>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</si>
  <si>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</si>
  <si>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</si>
  <si>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</si>
  <si>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</si>
  <si>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</si>
  <si>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</si>
  <si>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</si>
  <si>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</si>
  <si>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</si>
  <si>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</si>
  <si>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</si>
  <si>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</si>
  <si>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</si>
  <si>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</si>
  <si>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</si>
  <si>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</si>
  <si>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</si>
  <si>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</si>
  <si>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</si>
  <si>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</si>
  <si>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</si>
  <si>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</si>
  <si>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</si>
  <si>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</si>
  <si>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</si>
  <si>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</si>
  <si>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</si>
  <si>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</si>
  <si>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</si>
  <si>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</si>
  <si>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</si>
  <si>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</si>
  <si>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</si>
  <si>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</si>
  <si>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</si>
  <si>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</si>
  <si>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</si>
  <si>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</si>
  <si>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</si>
  <si>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</si>
  <si>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</si>
  <si>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</si>
  <si>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</si>
  <si>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</si>
  <si>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</si>
  <si>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</si>
  <si>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</si>
  <si>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</si>
  <si>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</si>
  <si>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</si>
  <si>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</si>
  <si>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</si>
  <si>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</si>
  <si>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</si>
  <si>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</si>
  <si>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</si>
  <si>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</si>
  <si>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</si>
  <si>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</si>
  <si>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</si>
  <si>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</si>
  <si>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</si>
  <si>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</si>
  <si>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</si>
  <si>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</si>
  <si>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</si>
  <si>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</si>
  <si>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</si>
  <si>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</si>
  <si>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</si>
  <si>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</si>
  <si>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</si>
  <si>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</si>
  <si>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</si>
  <si>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</si>
  <si>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</si>
  <si>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</si>
  <si>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</si>
  <si>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</si>
  <si>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</si>
  <si>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</si>
  <si>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</si>
  <si>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</si>
  <si>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</si>
  <si>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</si>
  <si>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</si>
  <si>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</si>
  <si>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</si>
  <si>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</si>
  <si>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</si>
  <si>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</si>
  <si>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</si>
  <si>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</si>
  <si>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</si>
  <si>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</si>
  <si>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</si>
  <si>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</si>
  <si>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</si>
  <si>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</si>
  <si>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</si>
  <si>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</si>
  <si>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</si>
  <si>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</si>
  <si>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</si>
  <si>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</si>
  <si>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</si>
  <si>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</si>
  <si>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</si>
  <si>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</si>
  <si>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</si>
  <si>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</si>
  <si>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</si>
  <si>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</si>
  <si>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</si>
  <si>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</si>
  <si>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</si>
  <si>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</si>
  <si>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</si>
  <si>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</si>
  <si>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</si>
  <si>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</si>
  <si>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</si>
  <si>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</si>
  <si>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</si>
  <si>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</si>
  <si>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</si>
  <si>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</si>
  <si>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</si>
  <si>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</si>
  <si>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</si>
  <si>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</si>
  <si>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</si>
  <si>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</si>
  <si>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</si>
  <si>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</si>
  <si>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</si>
  <si>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</si>
  <si>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</si>
  <si>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</si>
  <si>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</si>
  <si>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</si>
  <si>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</si>
  <si>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</si>
  <si>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</si>
  <si>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</si>
  <si>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</si>
  <si>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</si>
  <si>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</si>
  <si>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</si>
  <si>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</si>
  <si>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</si>
  <si>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</si>
  <si>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</si>
  <si>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</si>
  <si>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</si>
  <si>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</si>
  <si>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</si>
  <si>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</si>
  <si>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</si>
  <si>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</si>
  <si>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</si>
  <si>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</si>
  <si>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</si>
  <si>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</si>
  <si>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</si>
  <si>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</si>
  <si>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</si>
  <si>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</si>
  <si>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</si>
  <si>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</si>
  <si>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</si>
  <si>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</si>
  <si>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</si>
  <si>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</si>
  <si>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</si>
  <si>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</si>
  <si>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</si>
  <si>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</si>
  <si>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</si>
  <si>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</si>
  <si>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</si>
  <si>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</si>
  <si>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</si>
  <si>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</si>
  <si>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</si>
  <si>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</si>
  <si>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</si>
  <si>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</si>
  <si>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</si>
  <si>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</si>
  <si>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</si>
  <si>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</si>
  <si>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</si>
  <si>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</si>
  <si>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</si>
  <si>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</si>
  <si>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</si>
  <si>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</si>
  <si>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</si>
  <si>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</si>
  <si>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</si>
  <si>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</si>
  <si>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</si>
  <si>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</si>
  <si>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</si>
  <si>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</si>
  <si>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</si>
  <si>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</si>
  <si>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</si>
  <si>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</si>
  <si>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</si>
  <si>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</si>
  <si>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</si>
  <si>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</si>
  <si>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</si>
  <si>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</si>
  <si>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</si>
  <si>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</si>
  <si>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</si>
  <si>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</si>
  <si>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</si>
  <si>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</si>
  <si>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</si>
  <si>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</si>
  <si>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</si>
  <si>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</si>
  <si>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</si>
  <si>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</si>
  <si>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</si>
  <si>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</si>
  <si>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</si>
  <si>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</si>
  <si>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</si>
  <si>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</si>
  <si>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</si>
  <si>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</si>
  <si>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</si>
  <si>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</si>
  <si>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</si>
  <si>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</si>
  <si>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</si>
  <si>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</si>
  <si>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</si>
  <si>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</si>
  <si>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</si>
  <si>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</si>
  <si>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</si>
  <si>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</si>
  <si>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</si>
  <si>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</si>
  <si>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</si>
  <si>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</si>
  <si>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</si>
  <si>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</si>
  <si>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</si>
  <si>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</si>
  <si>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</si>
  <si>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</si>
  <si>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</si>
  <si>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</si>
  <si>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</si>
  <si>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</si>
  <si>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</si>
  <si>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</si>
  <si>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</si>
  <si>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</si>
  <si>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</si>
  <si>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</si>
  <si>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</si>
  <si>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</si>
  <si>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</si>
  <si>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</si>
  <si>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</si>
  <si>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</si>
  <si>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</si>
  <si>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</si>
  <si>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</si>
  <si>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</si>
  <si>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</si>
  <si>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</si>
  <si>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</si>
  <si>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</si>
  <si>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</si>
  <si>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</si>
  <si>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</si>
  <si>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</si>
  <si>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</si>
  <si>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</si>
  <si>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</si>
  <si>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</si>
  <si>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</si>
  <si>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</si>
  <si>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</si>
  <si>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</si>
  <si>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</si>
  <si>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</si>
  <si>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</si>
  <si>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</si>
  <si>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</si>
  <si>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</si>
  <si>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</si>
  <si>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</si>
  <si>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</si>
  <si>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</si>
  <si>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</si>
  <si>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</si>
  <si>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</si>
  <si>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</si>
  <si>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</si>
  <si>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</si>
  <si>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</si>
  <si>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</si>
  <si>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</si>
  <si>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</si>
  <si>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</si>
  <si>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</si>
  <si>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</si>
  <si>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</si>
  <si>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</si>
  <si>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</si>
  <si>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</si>
  <si>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</si>
  <si>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</si>
  <si>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</si>
  <si>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</si>
  <si>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</si>
  <si>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</si>
  <si>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</si>
  <si>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</si>
  <si>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</si>
  <si>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</si>
  <si>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</si>
  <si>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</si>
  <si>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</si>
  <si>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</si>
  <si>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</si>
  <si>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</si>
  <si>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</si>
  <si>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</si>
  <si>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</si>
  <si>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</si>
  <si>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</si>
  <si>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</si>
  <si>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</si>
  <si>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</si>
  <si>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</si>
  <si>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</si>
  <si>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</si>
  <si>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</si>
  <si>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</si>
  <si>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</si>
  <si>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</si>
  <si>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</si>
  <si>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</si>
  <si>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</si>
  <si>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</si>
  <si>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</si>
  <si>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</si>
  <si>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</si>
  <si>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</si>
  <si>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</si>
  <si>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</si>
  <si>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</si>
  <si>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</si>
  <si>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</si>
  <si>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</si>
  <si>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</si>
  <si>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</si>
  <si>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</si>
  <si>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</si>
  <si>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</si>
  <si>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</si>
  <si>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</si>
  <si>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</si>
  <si>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</si>
  <si>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</si>
  <si>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</si>
  <si>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</si>
  <si>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</si>
  <si>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</si>
  <si>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</si>
  <si>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</si>
  <si>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</si>
  <si>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</si>
  <si>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</si>
  <si>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</si>
  <si>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</si>
  <si>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</si>
  <si>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</si>
  <si>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</si>
  <si>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</si>
  <si>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</si>
  <si>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</si>
  <si>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</si>
  <si>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</si>
  <si>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</si>
  <si>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</si>
  <si>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</si>
  <si>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</si>
  <si>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</si>
  <si>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</si>
  <si>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</si>
  <si>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</si>
  <si>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</si>
  <si>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</si>
  <si>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</si>
  <si>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</si>
  <si>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</si>
  <si>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</si>
  <si>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</si>
  <si>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</si>
  <si>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</si>
  <si>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</si>
  <si>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</si>
  <si>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</si>
  <si>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</si>
  <si>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</si>
  <si>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</si>
  <si>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</si>
  <si>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</si>
  <si>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</si>
  <si>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</si>
  <si>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</si>
  <si>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</si>
  <si>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</si>
  <si>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</si>
  <si>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</si>
  <si>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</si>
  <si>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</si>
  <si>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</si>
  <si>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</si>
  <si>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</si>
  <si>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</si>
  <si>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</si>
  <si>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</si>
  <si>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</si>
  <si>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</si>
  <si>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</si>
  <si>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</si>
  <si>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</si>
  <si>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</si>
  <si>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</si>
  <si>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</si>
  <si>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</si>
  <si>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</si>
  <si>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</si>
  <si>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</si>
  <si>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</si>
  <si>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</si>
  <si>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</si>
  <si>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</si>
  <si>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</si>
  <si>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</si>
  <si>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</si>
  <si>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</si>
  <si>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</si>
  <si>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</si>
  <si>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</si>
  <si>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</si>
  <si>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</si>
  <si>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</si>
  <si>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</si>
  <si>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</si>
  <si>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</si>
  <si>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</si>
  <si>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</si>
  <si>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</si>
  <si>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</si>
  <si>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</si>
  <si>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</si>
  <si>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</si>
  <si>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</si>
  <si>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</si>
  <si>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</si>
  <si>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</si>
  <si>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</si>
  <si>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</si>
  <si>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</si>
  <si>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</si>
  <si>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</si>
  <si>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</si>
  <si>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</si>
  <si>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</si>
  <si>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</si>
  <si>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</si>
  <si>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</si>
  <si>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</si>
  <si>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</si>
  <si>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</si>
  <si>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</si>
  <si>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</si>
  <si>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</si>
  <si>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</si>
  <si>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</si>
  <si>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</si>
  <si>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</si>
  <si>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</si>
  <si>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</si>
  <si>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</si>
  <si>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</si>
  <si>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</si>
  <si>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</si>
  <si>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</si>
  <si>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</si>
  <si>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</si>
  <si>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</si>
  <si>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</si>
  <si>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</si>
  <si>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</si>
  <si>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</si>
  <si>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</si>
  <si>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</si>
  <si>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</si>
  <si>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</si>
  <si>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</si>
  <si>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</si>
  <si>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</si>
  <si>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</si>
  <si>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</si>
  <si>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</si>
  <si>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</si>
  <si>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</si>
  <si>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</si>
  <si>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</si>
  <si>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</si>
  <si>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</si>
  <si>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</si>
  <si>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</si>
  <si>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</si>
  <si>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</si>
  <si>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</si>
  <si>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</si>
  <si>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</si>
  <si>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</si>
  <si>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</si>
  <si>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</si>
  <si>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</si>
  <si>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</si>
  <si>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</si>
  <si>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</si>
  <si>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</si>
  <si>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</si>
  <si>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</si>
  <si>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</si>
  <si>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</si>
  <si>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</si>
  <si>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</si>
  <si>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</si>
  <si>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</si>
  <si>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</si>
  <si>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</si>
  <si>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</si>
  <si>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</si>
  <si>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</si>
  <si>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</si>
  <si>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</si>
  <si>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</si>
  <si>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</si>
  <si>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</si>
  <si>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</si>
  <si>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</si>
  <si>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</si>
  <si>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</si>
  <si>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</si>
  <si>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</si>
  <si>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</si>
  <si>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</si>
  <si>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</si>
  <si>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</si>
  <si>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</si>
  <si>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</si>
  <si>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</si>
  <si>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</si>
  <si>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</si>
  <si>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</si>
  <si>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</si>
  <si>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</si>
  <si>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</si>
  <si>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</si>
  <si>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</si>
  <si>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</si>
  <si>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</si>
  <si>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</si>
  <si>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</si>
  <si>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</si>
  <si>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</si>
  <si>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</si>
  <si>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</si>
  <si>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</si>
  <si>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</si>
  <si>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</si>
  <si>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</si>
  <si>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</si>
  <si>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</si>
  <si>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</si>
  <si>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</si>
  <si>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</si>
  <si>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</si>
  <si>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</si>
  <si>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</si>
  <si>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</si>
  <si>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</si>
  <si>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</si>
  <si>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</si>
  <si>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</si>
  <si>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</si>
  <si>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</si>
  <si>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</si>
  <si>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</si>
  <si>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</si>
  <si>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</si>
  <si>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</si>
  <si>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</si>
  <si>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</si>
  <si>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</si>
  <si>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</si>
  <si>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</si>
  <si>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</si>
  <si>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</si>
  <si>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</si>
  <si>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</si>
  <si>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</si>
  <si>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</si>
  <si>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</si>
  <si>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</si>
  <si>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</si>
  <si>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</si>
  <si>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</si>
  <si>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</si>
  <si>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</si>
  <si>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</si>
  <si>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</si>
  <si>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</si>
  <si>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</si>
  <si>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</si>
  <si>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</si>
  <si>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</si>
  <si>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</si>
  <si>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</si>
  <si>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</si>
  <si>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</si>
  <si>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</si>
  <si>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</si>
  <si>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</si>
  <si>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</si>
  <si>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</si>
  <si>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</si>
  <si>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</si>
  <si>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</si>
  <si>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</si>
  <si>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</si>
  <si>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</si>
  <si>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</si>
  <si>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</si>
  <si>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</si>
  <si>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</si>
  <si>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</si>
  <si>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</si>
  <si>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</si>
  <si>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</si>
  <si>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</si>
  <si>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</si>
  <si>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</si>
  <si>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</si>
  <si>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</si>
  <si>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</si>
  <si>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</si>
  <si>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</si>
  <si>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</si>
  <si>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</si>
  <si>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</si>
  <si>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</si>
  <si>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</si>
  <si>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</si>
  <si>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</si>
  <si>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</si>
  <si>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</si>
  <si>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</si>
  <si>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</si>
  <si>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</si>
  <si>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</si>
  <si>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</si>
  <si>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</si>
  <si>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</si>
  <si>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</si>
  <si>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</si>
  <si>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</si>
  <si>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</si>
  <si>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</si>
  <si>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</si>
  <si>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</si>
  <si>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</si>
  <si>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</si>
  <si>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</si>
  <si>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</si>
  <si>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</si>
  <si>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</si>
  <si>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</si>
  <si>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</si>
  <si>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</si>
  <si>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</si>
  <si>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</si>
  <si>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</si>
  <si>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</si>
  <si>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</si>
  <si>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</si>
  <si>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</si>
  <si>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</si>
  <si>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</si>
  <si>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</si>
  <si>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</si>
  <si>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</si>
  <si>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</si>
  <si>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</si>
  <si>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</si>
  <si>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</si>
  <si>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</si>
  <si>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</si>
  <si>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</si>
  <si>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</si>
  <si>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</si>
  <si>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</si>
  <si>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</si>
  <si>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</si>
  <si>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</si>
  <si>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</si>
  <si>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</si>
  <si>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</si>
  <si>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</si>
  <si>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</si>
  <si>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</si>
  <si>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</si>
  <si>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</si>
  <si>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</si>
  <si>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</si>
  <si>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</si>
  <si>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</si>
  <si>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</si>
  <si>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</si>
  <si>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</si>
  <si>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</si>
  <si>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</si>
  <si>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</si>
  <si>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</si>
  <si>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</si>
  <si>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</si>
  <si>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</si>
  <si>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</si>
  <si>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</si>
  <si>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</si>
  <si>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</si>
  <si>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</si>
  <si>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</si>
  <si>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</si>
  <si>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</si>
  <si>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</si>
  <si>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</si>
  <si>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</si>
  <si>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</si>
  <si>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</si>
  <si>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</si>
  <si>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</si>
  <si>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</si>
  <si>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</si>
  <si>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</si>
  <si>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</si>
  <si>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</si>
  <si>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</si>
  <si>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</si>
  <si>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</si>
  <si>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</si>
  <si>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</si>
  <si>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</si>
  <si>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</si>
  <si>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</si>
  <si>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</si>
  <si>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</si>
  <si>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</si>
  <si>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</si>
  <si>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</si>
  <si>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</si>
  <si>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</si>
  <si>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</si>
  <si>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</si>
  <si>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</si>
  <si>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</si>
  <si>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</si>
  <si>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</si>
  <si>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</si>
  <si>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</si>
  <si>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</si>
  <si>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</si>
  <si>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</si>
  <si>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</si>
  <si>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</si>
  <si>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</si>
  <si>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</si>
  <si>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</si>
  <si>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</si>
  <si>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</si>
  <si>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</si>
  <si>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</si>
  <si>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</si>
  <si>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</si>
  <si>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</si>
  <si>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</si>
  <si>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</si>
  <si>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</si>
  <si>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</si>
  <si>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</si>
  <si>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</si>
  <si>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</si>
  <si>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</si>
  <si>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</si>
  <si>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</si>
  <si>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</si>
  <si>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</si>
  <si>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</si>
  <si>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</si>
  <si>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</si>
  <si>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</si>
  <si>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</si>
  <si>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</si>
  <si>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</si>
  <si>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</si>
  <si>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</si>
  <si>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</si>
  <si>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</si>
  <si>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</si>
  <si>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</si>
  <si>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</si>
  <si>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</si>
  <si>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</si>
  <si>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</si>
  <si>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</si>
  <si>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</si>
  <si>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</si>
  <si>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</si>
  <si>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</si>
  <si>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</si>
  <si>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</si>
  <si>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</si>
  <si>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</si>
  <si>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</si>
  <si>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</si>
  <si>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</si>
  <si>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</si>
  <si>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</si>
  <si>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</si>
  <si>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</si>
  <si>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</si>
  <si>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</si>
  <si>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</si>
  <si>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</si>
  <si>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</si>
  <si>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</si>
  <si>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</si>
  <si>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</si>
  <si>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</si>
  <si>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</si>
  <si>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</si>
  <si>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</si>
  <si>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</si>
  <si>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</si>
  <si>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</si>
  <si>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</si>
  <si>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</si>
  <si>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</si>
  <si>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</si>
  <si>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</si>
  <si>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</si>
  <si>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</si>
  <si>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</si>
  <si>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</si>
  <si>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</si>
  <si>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</si>
  <si>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</si>
  <si>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</si>
  <si>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</si>
  <si>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</si>
  <si>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</si>
  <si>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</si>
  <si>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</si>
  <si>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</si>
  <si>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</si>
  <si>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</si>
  <si>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</si>
  <si>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</si>
  <si>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</si>
  <si>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</si>
  <si>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</si>
  <si>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</si>
  <si>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</si>
  <si>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</si>
  <si>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</si>
  <si>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</si>
  <si>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</si>
  <si>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</si>
  <si>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</si>
  <si>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</si>
  <si>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</si>
  <si>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</si>
  <si>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</si>
  <si>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</si>
  <si>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</si>
  <si>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</si>
  <si>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</si>
  <si>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</si>
  <si>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</si>
  <si>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</si>
  <si>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</si>
  <si>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</si>
  <si>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</si>
  <si>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</si>
  <si>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</si>
  <si>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</si>
  <si>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</si>
  <si>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</si>
  <si>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</si>
  <si>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</si>
  <si>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</si>
  <si>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</si>
  <si>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</si>
  <si>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</si>
  <si>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</si>
  <si>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</si>
  <si>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</si>
  <si>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</si>
  <si>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</si>
  <si>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</si>
  <si>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</si>
  <si>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</si>
  <si>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</si>
  <si>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</si>
  <si>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</si>
  <si>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</si>
  <si>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</si>
  <si>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</si>
  <si>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</si>
  <si>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</si>
  <si>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</si>
  <si>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</si>
  <si>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</si>
  <si>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</si>
  <si>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</si>
  <si>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</si>
  <si>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</si>
  <si>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</si>
  <si>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</si>
  <si>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</si>
  <si>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</si>
  <si>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</si>
  <si>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</si>
  <si>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</si>
  <si>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</si>
  <si>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</si>
  <si>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</si>
  <si>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</si>
  <si>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</si>
  <si>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</si>
  <si>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</si>
  <si>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</si>
  <si>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</si>
  <si>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</si>
  <si>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</si>
  <si>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</si>
  <si>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</si>
  <si>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</si>
  <si>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</si>
  <si>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</si>
  <si>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</si>
  <si>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</si>
  <si>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</si>
  <si>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</si>
  <si>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</si>
  <si>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</si>
  <si>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</si>
  <si>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</si>
  <si>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</si>
  <si>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</si>
  <si>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</si>
  <si>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</si>
  <si>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</si>
  <si>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</si>
  <si>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</si>
  <si>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</si>
  <si>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</si>
  <si>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</si>
  <si>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</si>
  <si>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</si>
  <si>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</si>
  <si>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</si>
  <si>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</si>
  <si>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</si>
  <si>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</si>
  <si>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</si>
  <si>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</si>
  <si>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</si>
  <si>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</si>
  <si>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</si>
  <si>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</si>
  <si>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</si>
  <si>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</si>
  <si>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</si>
  <si>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</si>
  <si>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</si>
  <si>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</si>
  <si>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</si>
  <si>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</si>
  <si>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</si>
  <si>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</si>
  <si>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</si>
  <si>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</si>
  <si>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</si>
  <si>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</si>
  <si>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</si>
  <si>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</si>
  <si>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</si>
  <si>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</si>
  <si>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</si>
  <si>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</si>
  <si>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</si>
  <si>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</si>
  <si>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</si>
  <si>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</si>
  <si>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</si>
  <si>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</si>
  <si>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</si>
  <si>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</si>
  <si>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</si>
  <si>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</si>
  <si>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</si>
  <si>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</si>
  <si>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</si>
  <si>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</si>
  <si>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</si>
  <si>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</si>
  <si>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</si>
  <si>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</si>
  <si>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</si>
  <si>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</si>
  <si>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</si>
  <si>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</si>
  <si>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</si>
  <si>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</si>
  <si>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</si>
  <si>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</si>
  <si>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</si>
  <si>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Armo5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</si>
  <si>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</si>
  <si>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</si>
  <si>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</si>
  <si>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</si>
  <si>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</si>
  <si>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</si>
  <si>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</si>
  <si>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</si>
  <si>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</si>
  <si>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</si>
  <si>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</si>
  <si>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</si>
  <si>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</si>
  <si>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</si>
  <si>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</si>
  <si>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</si>
  <si>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</si>
  <si>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</si>
  <si>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</si>
  <si>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</si>
  <si>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</si>
  <si>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</si>
  <si>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</si>
  <si>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</si>
  <si>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</si>
  <si>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</si>
  <si>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</si>
  <si>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</si>
  <si>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</si>
  <si>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</si>
  <si>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</si>
  <si>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</si>
  <si>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</si>
  <si>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</si>
  <si>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</si>
  <si>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</si>
  <si>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</si>
  <si>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</si>
  <si>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</si>
  <si>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</si>
  <si>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</si>
  <si>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</si>
  <si>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</si>
  <si>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</si>
  <si>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</si>
  <si>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</si>
  <si>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</si>
  <si>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</si>
  <si>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</si>
  <si>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</si>
  <si>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</si>
  <si>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</si>
  <si>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</si>
  <si>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</si>
  <si>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</si>
  <si>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</si>
  <si>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</si>
  <si>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</si>
  <si>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</si>
  <si>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</si>
  <si>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</si>
  <si>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</si>
  <si>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</si>
  <si>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</si>
  <si>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</si>
  <si>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</si>
  <si>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</si>
  <si>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</si>
  <si>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</si>
  <si>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</si>
  <si>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</si>
  <si>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</si>
  <si>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</si>
  <si>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</si>
  <si>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</si>
  <si>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</si>
  <si>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</si>
  <si>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</si>
  <si>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</si>
  <si>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</si>
  <si>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</si>
  <si>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</si>
  <si>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</si>
  <si>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</si>
  <si>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</si>
  <si>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</si>
  <si>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</si>
  <si>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</si>
  <si>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</si>
  <si>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</si>
  <si>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</si>
  <si>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</si>
  <si>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</si>
  <si>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</si>
  <si>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</si>
  <si>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</si>
  <si>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</si>
  <si>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</si>
  <si>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</si>
  <si>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</si>
  <si>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</si>
  <si>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</si>
  <si>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</si>
  <si>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</si>
  <si>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</si>
  <si>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</si>
  <si>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</si>
  <si>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</si>
  <si>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</si>
  <si>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</si>
  <si>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</si>
  <si>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</si>
  <si>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</si>
  <si>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</si>
  <si>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</si>
  <si>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</si>
  <si>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</si>
  <si>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</si>
  <si>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</si>
  <si>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</si>
  <si>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</si>
  <si>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</si>
  <si>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</si>
  <si>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</si>
  <si>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</si>
  <si>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</si>
  <si>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</si>
  <si>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</si>
  <si>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</si>
  <si>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</si>
  <si>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</si>
  <si>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</si>
  <si>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</si>
  <si>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</si>
  <si>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</si>
  <si>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</si>
  <si>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</si>
  <si>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</si>
  <si>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</si>
  <si>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</si>
  <si>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</si>
  <si>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</si>
  <si>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</si>
  <si>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</si>
  <si>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</si>
  <si>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</si>
  <si>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</si>
  <si>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</si>
  <si>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</si>
  <si>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</si>
  <si>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</si>
  <si>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</si>
  <si>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</si>
  <si>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</si>
  <si>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</si>
  <si>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</si>
  <si>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</si>
  <si>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</si>
  <si>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</si>
  <si>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</si>
  <si>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</si>
  <si>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</si>
  <si>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</si>
  <si>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</si>
  <si>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</si>
  <si>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</si>
  <si>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</si>
  <si>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</si>
  <si>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</si>
  <si>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</si>
  <si>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</si>
  <si>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</si>
  <si>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</si>
  <si>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</si>
  <si>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</si>
  <si>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</si>
  <si>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</si>
  <si>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</si>
  <si>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</si>
  <si>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</si>
  <si>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</si>
  <si>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</si>
  <si>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</si>
  <si>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</si>
  <si>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</si>
  <si>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</si>
  <si>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</si>
  <si>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</si>
  <si>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</si>
  <si>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</si>
  <si>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</si>
  <si>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</si>
  <si>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</si>
  <si>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</si>
  <si>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</si>
  <si>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</si>
  <si>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</si>
  <si>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</si>
  <si>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</si>
  <si>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</si>
  <si>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</si>
  <si>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</si>
  <si>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</si>
  <si>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</si>
  <si>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</si>
  <si>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</si>
  <si>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</si>
  <si>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</si>
  <si>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</si>
  <si>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</si>
  <si>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</si>
  <si>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</si>
  <si>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</si>
  <si>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</si>
  <si>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</si>
  <si>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</si>
  <si>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</si>
  <si>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</si>
  <si>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</si>
  <si>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</si>
  <si>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</si>
  <si>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</si>
  <si>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</si>
  <si>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</si>
  <si>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</si>
  <si>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</si>
  <si>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</si>
  <si>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</si>
  <si>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</si>
  <si>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</si>
  <si>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</si>
  <si>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</si>
  <si>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</si>
  <si>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</si>
  <si>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</si>
  <si>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</si>
  <si>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</si>
  <si>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</si>
  <si>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</si>
  <si>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</si>
  <si>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</si>
  <si>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</si>
  <si>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</si>
  <si>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</si>
  <si>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</si>
  <si>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</si>
  <si>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</si>
  <si>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</si>
  <si>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</si>
  <si>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</si>
  <si>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</si>
  <si>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</si>
  <si>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</si>
  <si>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</si>
  <si>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</si>
  <si>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</si>
  <si>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</si>
  <si>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</si>
  <si>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</si>
  <si>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</si>
  <si>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</si>
  <si>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</si>
  <si>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</si>
  <si>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</si>
  <si>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</si>
  <si>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</si>
  <si>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</si>
  <si>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</si>
  <si>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</si>
  <si>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</si>
  <si>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</si>
  <si>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</si>
  <si>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</si>
  <si>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</si>
  <si>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</si>
  <si>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</si>
  <si>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</si>
  <si>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</si>
  <si>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</si>
  <si>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</si>
  <si>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</si>
  <si>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</si>
  <si>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</si>
  <si>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</si>
  <si>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</si>
  <si>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</si>
  <si>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</si>
  <si>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</si>
  <si>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</si>
  <si>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</si>
  <si>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</si>
  <si>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</si>
  <si>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</si>
  <si>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</si>
  <si>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</si>
  <si>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</si>
  <si>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</si>
  <si>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</si>
  <si>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</si>
  <si>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</si>
  <si>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</si>
  <si>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</si>
  <si>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</si>
  <si>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</si>
  <si>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</si>
  <si>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</si>
  <si>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</si>
  <si>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</si>
  <si>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</si>
  <si>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</si>
  <si>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</si>
  <si>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</si>
  <si>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</si>
  <si>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</si>
  <si>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</si>
  <si>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</si>
  <si>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</si>
  <si>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</si>
  <si>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</si>
  <si>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</si>
  <si>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</si>
  <si>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</si>
  <si>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</si>
  <si>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</si>
  <si>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</si>
  <si>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</si>
  <si>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</si>
  <si>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</si>
  <si>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</si>
  <si>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</si>
  <si>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</si>
  <si>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</si>
  <si>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</si>
  <si>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</si>
  <si>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</si>
  <si>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</si>
  <si>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</si>
  <si>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</si>
  <si>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</si>
  <si>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</si>
  <si>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</si>
  <si>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</si>
  <si>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</si>
  <si>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</si>
  <si>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</si>
  <si>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</si>
  <si>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</si>
  <si>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</si>
  <si>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</si>
  <si>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</si>
  <si>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</si>
  <si>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</si>
  <si>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</si>
  <si>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</si>
  <si>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</si>
  <si>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</si>
  <si>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</si>
  <si>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</si>
  <si>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</si>
  <si>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</si>
  <si>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</si>
  <si>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</si>
  <si>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</si>
  <si>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</si>
  <si>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</si>
  <si>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</si>
  <si>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</si>
  <si>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</si>
  <si>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</si>
  <si>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</si>
  <si>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</si>
  <si>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</si>
  <si>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</si>
  <si>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</si>
  <si>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</si>
  <si>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</si>
  <si>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</si>
  <si>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</si>
  <si>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</si>
  <si>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</si>
  <si>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</si>
  <si>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</si>
  <si>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</si>
  <si>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</si>
  <si>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</si>
  <si>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</si>
  <si>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</si>
  <si>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</si>
  <si>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</si>
  <si>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</si>
  <si>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</si>
  <si>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</si>
  <si>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</si>
  <si>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</si>
  <si>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</si>
  <si>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</si>
  <si>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</si>
  <si>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</si>
  <si>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</si>
  <si>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</si>
  <si>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</si>
  <si>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</si>
  <si>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</si>
  <si>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</si>
  <si>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</si>
  <si>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</si>
  <si>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</si>
  <si>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</si>
  <si>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</si>
  <si>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</si>
  <si>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</si>
  <si>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</si>
  <si>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</si>
  <si>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</si>
  <si>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</si>
  <si>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</si>
  <si>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</si>
  <si>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</si>
  <si>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</si>
  <si>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</si>
  <si>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</si>
  <si>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</si>
  <si>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</si>
  <si>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</si>
  <si>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</si>
  <si>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</si>
  <si>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</si>
  <si>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</si>
  <si>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</si>
  <si>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</si>
  <si>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</si>
  <si>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</si>
  <si>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</si>
  <si>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</si>
  <si>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</si>
  <si>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</si>
  <si>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</si>
  <si>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</si>
  <si>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</si>
  <si>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</si>
  <si>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</si>
  <si>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</si>
  <si>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</si>
  <si>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</si>
  <si>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</si>
  <si>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</si>
  <si>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</si>
  <si>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</si>
  <si>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</si>
  <si>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</si>
  <si>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</si>
  <si>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</si>
  <si>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</si>
  <si>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</si>
  <si>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</si>
  <si>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</si>
  <si>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</si>
  <si>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</si>
  <si>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</si>
  <si>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</si>
  <si>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</si>
  <si>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</si>
  <si>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</si>
  <si>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</si>
  <si>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</si>
  <si>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</si>
  <si>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</si>
  <si>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</si>
  <si>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</si>
  <si>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</si>
  <si>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</si>
  <si>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</si>
  <si>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</si>
  <si>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</si>
  <si>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</si>
  <si>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</si>
  <si>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</si>
  <si>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</si>
  <si>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</si>
  <si>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</si>
  <si>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</si>
  <si>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</si>
  <si>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</si>
  <si>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</si>
  <si>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</si>
  <si>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</si>
  <si>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</si>
  <si>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</si>
  <si>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</si>
  <si>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</si>
  <si>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</si>
  <si>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</si>
  <si>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</si>
  <si>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</si>
  <si>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</si>
  <si>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</si>
  <si>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</si>
  <si>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</si>
  <si>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</si>
  <si>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</si>
  <si>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480188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</si>
  <si>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</si>
  <si>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</si>
  <si>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</si>
  <si>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</si>
  <si>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</si>
  <si>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</si>
  <si>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</si>
  <si>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</si>
  <si>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</si>
  <si>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</si>
  <si>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</si>
  <si>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</si>
  <si>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</si>
  <si>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</si>
  <si>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</si>
  <si>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</si>
  <si>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</si>
  <si>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</si>
  <si>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</si>
  <si>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</si>
  <si>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</si>
  <si>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</si>
  <si>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</si>
  <si>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</si>
  <si>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</si>
  <si>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</si>
  <si>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</si>
  <si>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</si>
  <si>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</si>
  <si>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</si>
  <si>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</si>
  <si>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</si>
  <si>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</si>
  <si>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</si>
  <si>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</si>
  <si>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</si>
  <si>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</si>
  <si>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</si>
  <si>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</si>
  <si>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</si>
  <si>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</si>
  <si>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</si>
  <si>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</si>
  <si>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</si>
  <si>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</si>
  <si>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</si>
  <si>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</si>
  <si>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</si>
  <si>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</si>
  <si>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</si>
  <si>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</si>
  <si>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</si>
  <si>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</si>
  <si>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</si>
  <si>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</si>
  <si>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</si>
  <si>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</si>
  <si>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</si>
  <si>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</si>
  <si>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</si>
  <si>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</si>
  <si>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</si>
  <si>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</si>
  <si>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</si>
  <si>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</si>
  <si>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</si>
  <si>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January 18,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</si>
</sst>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6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6985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6557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5" t="s">
        <v>6918</v>
      </c>
    </row>
    <row r="8" spans="1:5" x14ac:dyDescent="0.25">
      <c r="A8" s="158" t="s">
        <v>6556</v>
      </c>
      <c r="B8" s="159" t="s">
        <v>6808</v>
      </c>
      <c r="D8" s="158" t="s">
        <v>848</v>
      </c>
      <c r="E8" s="159">
        <v>220000</v>
      </c>
    </row>
    <row r="9" spans="1:5" x14ac:dyDescent="0.25">
      <c r="A9" s="158" t="s">
        <v>6555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6554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6" t="s">
        <v>6906</v>
      </c>
      <c r="C15" s="257"/>
    </row>
    <row r="16" spans="1:5" outlineLevel="1" x14ac:dyDescent="0.25">
      <c r="A16" s="160"/>
      <c r="B16" s="163"/>
    </row>
    <row r="17" spans="1:29" outlineLevel="1" x14ac:dyDescent="0.25">
      <c r="A17" s="164" t="s">
        <v>6487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6488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4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8"/>
    </row>
    <row r="21" spans="1:29" outlineLevel="1" x14ac:dyDescent="0.25">
      <c r="A21" s="244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8"/>
    </row>
    <row r="22" spans="1:29" outlineLevel="1" x14ac:dyDescent="0.25">
      <c r="A22" s="244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8"/>
    </row>
    <row r="23" spans="1:29" outlineLevel="1" x14ac:dyDescent="0.25">
      <c r="A23" s="244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8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19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6490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9" t="str">
        <f>IF($C20="","",IF(OR($C20="HG",$C20="SMG"),"SPP5",IF($C20="SG","ITI5","VFL5")))</f>
        <v>VFL5</v>
      </c>
      <c r="N27" s="239">
        <f>IF($C20="","",10)</f>
        <v>10</v>
      </c>
      <c r="O27" s="240">
        <f>IF($C20="","",100%)</f>
        <v>1</v>
      </c>
      <c r="P27" s="205" t="str">
        <f>IF($C20="","",IF(OR($C20="HG",$C20="SMG"),"HP",IF($C20="AR","HV",IF($C20="RF","AP","New"))))</f>
        <v>HV</v>
      </c>
      <c r="Q27" s="239" t="str">
        <f>IF($C20="","",IF(OR($C20="HG",$C20="SMG"),"HP5",IF($C20="AR","HV5",IF($C20="RF","AP5",IF($C20="SG","Flashbang","SLAP5")))))</f>
        <v>HV5</v>
      </c>
      <c r="R27" s="239">
        <f>IF($C20="","",10)</f>
        <v>10</v>
      </c>
      <c r="S27" s="240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9" t="str">
        <f>IF($C20="","",IF(OR($C20="HG",$C20="SMG"),"TExo5",IF($C20="RF","Cape5",IF($C20="SG","Armor5",IF($C20="MG","Ammo5","Chip5")))))</f>
        <v>Chip5</v>
      </c>
      <c r="V27" s="239">
        <f>IF($C20="","",10)</f>
        <v>10</v>
      </c>
      <c r="W27" s="240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7" t="str">
        <f t="shared" ref="M28:M31" si="1">IF($C21="","",IF(OR($C21="HG",$C21="SMG"),"SPP5",IF($C21="SG","ITI5","VFL5")))</f>
        <v>SPP5</v>
      </c>
      <c r="N28" s="237">
        <f t="shared" ref="N28:N31" si="2">IF($C21="","",10)</f>
        <v>10</v>
      </c>
      <c r="O28" s="241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7" t="str">
        <f t="shared" ref="Q28:Q31" si="5">IF($C21="","",IF(OR($C21="HG",$C21="SMG"),"HP5",IF($C21="AR","HV5",IF($C21="RF","AP5",IF($C21="SG","Flashbang","SLAP5")))))</f>
        <v>HP5</v>
      </c>
      <c r="R28" s="237">
        <f t="shared" ref="R28" si="6">IF($C21="","",10)</f>
        <v>10</v>
      </c>
      <c r="S28" s="241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7" t="str">
        <f t="shared" ref="U28:U31" si="9">IF($C21="","",IF(OR($C21="HG",$C21="SMG"),"TExo5",IF($C21="RF","Cape5",IF($C21="SG","Armor5",IF($C21="MG","Ammo5","Chip5")))))</f>
        <v>TExo5</v>
      </c>
      <c r="V28" s="237">
        <f t="shared" ref="V28" si="10">IF($C21="","",10)</f>
        <v>10</v>
      </c>
      <c r="W28" s="241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7" t="str">
        <f t="shared" si="1"/>
        <v>SPP5</v>
      </c>
      <c r="N29" s="237">
        <f t="shared" si="2"/>
        <v>10</v>
      </c>
      <c r="O29" s="241">
        <f t="shared" si="3"/>
        <v>1</v>
      </c>
      <c r="P29" s="203" t="str">
        <f t="shared" si="4"/>
        <v>HP</v>
      </c>
      <c r="Q29" s="237" t="str">
        <f t="shared" si="5"/>
        <v>HP5</v>
      </c>
      <c r="R29" s="237">
        <f t="shared" ref="R29" si="12">IF($C22="","",10)</f>
        <v>10</v>
      </c>
      <c r="S29" s="241">
        <f t="shared" si="7"/>
        <v>1</v>
      </c>
      <c r="T29" s="203" t="str">
        <f t="shared" si="8"/>
        <v>Exo</v>
      </c>
      <c r="U29" s="237" t="str">
        <f t="shared" si="9"/>
        <v>TExo5</v>
      </c>
      <c r="V29" s="237">
        <f t="shared" ref="V29" si="13">IF($C22="","",10)</f>
        <v>10</v>
      </c>
      <c r="W29" s="241">
        <f t="shared" si="11"/>
        <v>1</v>
      </c>
    </row>
    <row r="30" spans="1:29" outlineLevel="1" x14ac:dyDescent="0.25">
      <c r="L30" s="203" t="str">
        <f t="shared" si="0"/>
        <v>SPP</v>
      </c>
      <c r="M30" s="237" t="str">
        <f t="shared" si="1"/>
        <v>SPP5</v>
      </c>
      <c r="N30" s="237">
        <f t="shared" si="2"/>
        <v>10</v>
      </c>
      <c r="O30" s="241">
        <f t="shared" si="3"/>
        <v>1</v>
      </c>
      <c r="P30" s="203" t="str">
        <f t="shared" si="4"/>
        <v>HP</v>
      </c>
      <c r="Q30" s="237" t="str">
        <f t="shared" si="5"/>
        <v>HP5</v>
      </c>
      <c r="R30" s="237">
        <f t="shared" ref="R30" si="14">IF($C23="","",10)</f>
        <v>10</v>
      </c>
      <c r="S30" s="241">
        <f t="shared" si="7"/>
        <v>1</v>
      </c>
      <c r="T30" s="203" t="str">
        <f t="shared" si="8"/>
        <v>Exo</v>
      </c>
      <c r="U30" s="237" t="str">
        <f t="shared" si="9"/>
        <v>TExo5</v>
      </c>
      <c r="V30" s="237">
        <f t="shared" ref="V30" si="15">IF($C23="","",10)</f>
        <v>10</v>
      </c>
      <c r="W30" s="241">
        <f t="shared" si="11"/>
        <v>1</v>
      </c>
    </row>
    <row r="31" spans="1:29" outlineLevel="1" x14ac:dyDescent="0.25">
      <c r="L31" s="204" t="str">
        <f t="shared" si="0"/>
        <v>ITI</v>
      </c>
      <c r="M31" s="242" t="str">
        <f t="shared" si="1"/>
        <v>ITI5</v>
      </c>
      <c r="N31" s="242">
        <f t="shared" si="2"/>
        <v>10</v>
      </c>
      <c r="O31" s="243">
        <f t="shared" si="3"/>
        <v>1</v>
      </c>
      <c r="P31" s="204" t="str">
        <f t="shared" si="4"/>
        <v>New</v>
      </c>
      <c r="Q31" s="242" t="str">
        <f t="shared" si="5"/>
        <v>Flashbang</v>
      </c>
      <c r="R31" s="242">
        <f t="shared" ref="R31" si="16">IF($C24="","",10)</f>
        <v>10</v>
      </c>
      <c r="S31" s="243">
        <f t="shared" si="7"/>
        <v>1</v>
      </c>
      <c r="T31" s="204" t="str">
        <f t="shared" si="8"/>
        <v>Armor</v>
      </c>
      <c r="U31" s="242" t="str">
        <f t="shared" si="9"/>
        <v>Armor5</v>
      </c>
      <c r="V31" s="242">
        <f t="shared" ref="V31" si="17">IF($C24="","",10)</f>
        <v>10</v>
      </c>
      <c r="W31" s="243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6" t="s">
        <v>5710</v>
      </c>
      <c r="C35" s="257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6920</v>
      </c>
      <c r="F39" s="208" t="s">
        <v>6921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4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4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4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4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4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4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4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8">
        <v>1</v>
      </c>
      <c r="C55" s="245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8">
        <v>2</v>
      </c>
      <c r="C56" s="245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8">
        <v>3</v>
      </c>
      <c r="C57" s="245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8">
        <v>4</v>
      </c>
      <c r="C58" s="245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8">
        <v>5</v>
      </c>
      <c r="C59" s="245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8">
        <v>6</v>
      </c>
      <c r="C60" s="245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8">
        <v>7</v>
      </c>
      <c r="C61" s="245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8">
        <v>8</v>
      </c>
      <c r="C62" s="245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6810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6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6" t="s">
        <v>1809</v>
      </c>
    </row>
    <row r="68" spans="1:16" outlineLevel="1" x14ac:dyDescent="0.25">
      <c r="A68" s="250"/>
      <c r="B68" s="251">
        <v>1</v>
      </c>
      <c r="C68" s="252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3">
        <v>100</v>
      </c>
      <c r="P68" s="221"/>
    </row>
    <row r="69" spans="1:16" outlineLevel="1" x14ac:dyDescent="0.25">
      <c r="A69" s="212"/>
      <c r="B69" s="208">
        <v>2</v>
      </c>
      <c r="C69" s="245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4">
        <v>102</v>
      </c>
    </row>
    <row r="70" spans="1:16" outlineLevel="1" x14ac:dyDescent="0.25">
      <c r="A70" s="212"/>
      <c r="B70" s="208">
        <v>3</v>
      </c>
      <c r="C70" s="245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4">
        <v>104</v>
      </c>
    </row>
    <row r="71" spans="1:16" outlineLevel="1" x14ac:dyDescent="0.25">
      <c r="A71" s="212"/>
      <c r="B71" s="208">
        <v>4</v>
      </c>
      <c r="C71" s="245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4">
        <v>105</v>
      </c>
    </row>
    <row r="72" spans="1:16" outlineLevel="1" x14ac:dyDescent="0.25">
      <c r="A72" s="212"/>
      <c r="B72" s="208">
        <v>5</v>
      </c>
      <c r="C72" s="245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4">
        <v>106</v>
      </c>
    </row>
    <row r="73" spans="1:16" outlineLevel="1" x14ac:dyDescent="0.25">
      <c r="A73" s="202"/>
      <c r="B73" s="170">
        <v>6</v>
      </c>
      <c r="C73" s="171" t="s">
        <v>6969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5">
        <v>101</v>
      </c>
    </row>
    <row r="74" spans="1:16" s="194" customFormat="1" outlineLevel="1" x14ac:dyDescent="0.25"/>
    <row r="75" spans="1:16" outlineLevel="1" x14ac:dyDescent="0.25">
      <c r="A75" s="164" t="s">
        <v>6640</v>
      </c>
      <c r="B75" s="164"/>
      <c r="C75" s="164"/>
      <c r="E75" s="221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8">
        <v>1</v>
      </c>
      <c r="B77" s="199"/>
      <c r="C77" s="180"/>
    </row>
    <row r="78" spans="1:16" outlineLevel="1" x14ac:dyDescent="0.25">
      <c r="A78" s="238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6645</v>
      </c>
    </row>
    <row r="82" spans="1:3" outlineLevel="1" x14ac:dyDescent="0.25">
      <c r="A82" s="198" t="s">
        <v>6636</v>
      </c>
      <c r="B82" s="186" t="s">
        <v>6631</v>
      </c>
      <c r="C82" s="187" t="s">
        <v>769</v>
      </c>
    </row>
    <row r="83" spans="1:3" outlineLevel="1" x14ac:dyDescent="0.25">
      <c r="A83" s="238">
        <v>1</v>
      </c>
      <c r="B83" s="199"/>
      <c r="C83" s="180"/>
    </row>
    <row r="84" spans="1:3" outlineLevel="1" x14ac:dyDescent="0.25">
      <c r="A84" s="238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8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6896</v>
      </c>
      <c r="B3" s="226" t="s">
        <v>6895</v>
      </c>
    </row>
    <row r="4" spans="1:2" x14ac:dyDescent="0.25">
      <c r="A4" t="s">
        <v>6352</v>
      </c>
      <c r="B4" s="226" t="s">
        <v>5672</v>
      </c>
    </row>
    <row r="5" spans="1:2" x14ac:dyDescent="0.25">
      <c r="A5" t="s">
        <v>6353</v>
      </c>
      <c r="B5" s="227" t="s">
        <v>6354</v>
      </c>
    </row>
    <row r="6" spans="1:2" x14ac:dyDescent="0.25">
      <c r="A6" t="s">
        <v>6355</v>
      </c>
      <c r="B6" s="226" t="s">
        <v>6356</v>
      </c>
    </row>
    <row r="7" spans="1:2" x14ac:dyDescent="0.25">
      <c r="A7" t="s">
        <v>6357</v>
      </c>
      <c r="B7" s="226" t="s">
        <v>6358</v>
      </c>
    </row>
    <row r="8" spans="1:2" x14ac:dyDescent="0.25">
      <c r="A8" t="s">
        <v>6359</v>
      </c>
      <c r="B8" s="226" t="s">
        <v>6360</v>
      </c>
    </row>
    <row r="9" spans="1:2" x14ac:dyDescent="0.25">
      <c r="A9" t="s">
        <v>6361</v>
      </c>
      <c r="B9" s="226" t="s">
        <v>6362</v>
      </c>
    </row>
    <row r="10" spans="1:2" x14ac:dyDescent="0.25">
      <c r="A10" t="s">
        <v>6363</v>
      </c>
      <c r="B10" s="226" t="s">
        <v>6364</v>
      </c>
    </row>
    <row r="11" spans="1:2" x14ac:dyDescent="0.25">
      <c r="A11" t="s">
        <v>6894</v>
      </c>
      <c r="B11" s="226" t="s">
        <v>6893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0" t="s">
        <v>573</v>
      </c>
      <c r="E2" s="231"/>
      <c r="F2" s="231"/>
      <c r="G2" s="231"/>
      <c r="H2" s="231"/>
      <c r="I2" s="231"/>
      <c r="J2" s="231"/>
      <c r="K2" s="231"/>
      <c r="L2" s="232"/>
      <c r="M2" s="54"/>
      <c r="N2" s="230" t="s">
        <v>705</v>
      </c>
      <c r="O2" s="231"/>
      <c r="P2" s="231"/>
      <c r="Q2" s="232"/>
      <c r="R2" s="230" t="s">
        <v>706</v>
      </c>
      <c r="S2" s="231"/>
      <c r="T2" s="231"/>
      <c r="U2" s="232"/>
      <c r="V2" s="230" t="s">
        <v>707</v>
      </c>
      <c r="W2" s="231"/>
      <c r="X2" s="231"/>
      <c r="Y2" s="232"/>
      <c r="AA2" s="222" t="s">
        <v>959</v>
      </c>
      <c r="AB2" s="223"/>
      <c r="AC2" s="223"/>
      <c r="AD2" s="223"/>
      <c r="AE2" s="224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8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8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8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8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9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8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8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8"/>
      <c r="AM11" s="161">
        <v>3</v>
      </c>
      <c r="AN11" s="161">
        <v>5</v>
      </c>
      <c r="AO11" s="161"/>
    </row>
    <row r="12" spans="1:41" x14ac:dyDescent="0.25">
      <c r="A12" t="s">
        <v>6421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8"/>
    </row>
    <row r="13" spans="1:41" x14ac:dyDescent="0.25">
      <c r="A13" t="s">
        <v>6420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9"/>
    </row>
    <row r="14" spans="1:41" x14ac:dyDescent="0.25">
      <c r="A14" t="s">
        <v>6909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8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6419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8"/>
      <c r="AM15" s="161">
        <v>2</v>
      </c>
      <c r="AN15" s="161">
        <v>4</v>
      </c>
      <c r="AO15" s="161"/>
    </row>
    <row r="16" spans="1:41" x14ac:dyDescent="0.25">
      <c r="A16" t="s">
        <v>6489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8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8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9"/>
    </row>
    <row r="19" spans="1:41" x14ac:dyDescent="0.25">
      <c r="A19" t="s">
        <v>6558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8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8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8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8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9"/>
    </row>
    <row r="24" spans="1:41" x14ac:dyDescent="0.25">
      <c r="A24" t="s">
        <v>6650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8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8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8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8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9"/>
    </row>
    <row r="29" spans="1:41" x14ac:dyDescent="0.25">
      <c r="A29" t="s">
        <v>6912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8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6910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8"/>
      <c r="AM30" s="161">
        <v>5</v>
      </c>
      <c r="AN30" s="161">
        <v>3</v>
      </c>
      <c r="AO30" s="161"/>
    </row>
    <row r="31" spans="1:41" x14ac:dyDescent="0.25">
      <c r="A31" t="s">
        <v>6906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8"/>
      <c r="AM31" s="161">
        <v>2</v>
      </c>
      <c r="AN31" s="161">
        <v>4</v>
      </c>
      <c r="AO31" s="161"/>
    </row>
    <row r="32" spans="1:41" x14ac:dyDescent="0.25">
      <c r="A32" t="s">
        <v>6911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8"/>
    </row>
    <row r="33" spans="1:41" x14ac:dyDescent="0.25">
      <c r="A33" t="s">
        <v>6908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9"/>
    </row>
    <row r="34" spans="1:41" x14ac:dyDescent="0.25">
      <c r="A34" t="s">
        <v>6907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8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8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8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8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9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8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8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8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8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9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8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8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8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8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9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8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8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8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8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9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8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8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8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8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9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8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8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8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8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9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8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8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8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8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9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8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8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8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8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9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8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8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8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8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9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8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8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8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8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9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8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8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8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8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9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8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8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8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8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9"/>
    </row>
    <row r="94" spans="3:41" x14ac:dyDescent="0.25">
      <c r="C94" t="s">
        <v>6906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8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8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8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8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9"/>
    </row>
    <row r="99" spans="3:41" x14ac:dyDescent="0.25">
      <c r="C99" t="s">
        <v>6907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8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8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8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8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9"/>
    </row>
    <row r="104" spans="3:41" x14ac:dyDescent="0.25">
      <c r="C104" t="s">
        <v>6910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8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8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8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8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9"/>
    </row>
    <row r="109" spans="3:41" x14ac:dyDescent="0.25">
      <c r="C109" t="s">
        <v>6911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8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8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8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8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9"/>
    </row>
    <row r="114" spans="3:41" x14ac:dyDescent="0.25">
      <c r="C114" t="s">
        <v>6912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8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8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8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8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9"/>
    </row>
    <row r="119" spans="3:41" x14ac:dyDescent="0.25">
      <c r="C119" t="s">
        <v>6908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8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8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8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8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9"/>
    </row>
    <row r="124" spans="3:41" x14ac:dyDescent="0.25">
      <c r="C124" t="s">
        <v>6419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8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8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8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8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9"/>
    </row>
    <row r="129" spans="3:41" x14ac:dyDescent="0.25">
      <c r="C129" t="s">
        <v>6420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8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8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8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6418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8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9"/>
    </row>
    <row r="134" spans="3:41" x14ac:dyDescent="0.25">
      <c r="C134" t="s">
        <v>6909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8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8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8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8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9"/>
    </row>
    <row r="139" spans="3:41" x14ac:dyDescent="0.25">
      <c r="C139" t="s">
        <v>6421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8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8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8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6417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8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9"/>
    </row>
    <row r="144" spans="3:41" x14ac:dyDescent="0.25">
      <c r="C144" t="s">
        <v>6489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8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8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8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8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9"/>
    </row>
    <row r="149" spans="3:41" x14ac:dyDescent="0.25">
      <c r="C149" t="s">
        <v>6558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8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8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8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8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9"/>
    </row>
    <row r="154" spans="3:41" x14ac:dyDescent="0.25">
      <c r="C154" t="s">
        <v>6650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8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8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8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8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9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6919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6897</v>
      </c>
      <c r="O4" s="180" t="s">
        <v>6898</v>
      </c>
      <c r="Q4" s="192"/>
      <c r="S4" s="161">
        <v>3</v>
      </c>
      <c r="T4" s="161"/>
      <c r="U4" s="161"/>
    </row>
    <row r="5" spans="1:21" x14ac:dyDescent="0.25">
      <c r="A5" t="s">
        <v>6922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6923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6922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6897</v>
      </c>
      <c r="O13" s="180" t="s">
        <v>6898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6897</v>
      </c>
      <c r="O22" s="180" t="s">
        <v>6898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6897</v>
      </c>
      <c r="O31" s="180" t="s">
        <v>6898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6897</v>
      </c>
      <c r="O40" s="180" t="s">
        <v>6898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6897</v>
      </c>
      <c r="O49" s="180" t="s">
        <v>6898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6897</v>
      </c>
      <c r="O58" s="180" t="s">
        <v>6898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6923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6902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4" t="str">
        <f t="shared" si="0"/>
        <v/>
      </c>
      <c r="B26" s="214" t="str">
        <f>IFERROR(INDEX('SF Chip Data'!A:A,MATCH(Main!M68,'SF Chip Data'!B:B,0)),"")</f>
        <v/>
      </c>
      <c r="C26" s="214">
        <v>0</v>
      </c>
      <c r="D26" s="214" t="str">
        <f t="shared" ref="D26:D31" si="3">D20</f>
        <v/>
      </c>
      <c r="E26" s="214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5">
        <f>IF(COUNTA(SF!A2:A10)=0,"",2)</f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6503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6559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6559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[480188]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6809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9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3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5815</v>
      </c>
      <c r="C37" s="1">
        <v>6</v>
      </c>
      <c r="D37" t="s">
        <v>5814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1724</v>
      </c>
      <c r="C40" s="1">
        <v>6</v>
      </c>
      <c r="D40" t="s">
        <v>1725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6632</v>
      </c>
      <c r="B1" s="43" t="s">
        <v>942</v>
      </c>
      <c r="C1" s="43" t="s">
        <v>943</v>
      </c>
      <c r="E1" s="43" t="s">
        <v>6633</v>
      </c>
      <c r="F1" s="43" t="s">
        <v>942</v>
      </c>
      <c r="G1" s="43" t="s">
        <v>943</v>
      </c>
    </row>
    <row r="2" spans="1:7" x14ac:dyDescent="0.25">
      <c r="A2" s="9" t="s">
        <v>6646</v>
      </c>
      <c r="B2" s="1">
        <v>50008</v>
      </c>
      <c r="C2" s="1">
        <v>30011</v>
      </c>
      <c r="E2" s="9" t="s">
        <v>6649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6635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6634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6647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6504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6648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18"/>
  <sheetViews>
    <sheetView topLeftCell="AA1" workbookViewId="0">
      <pane ySplit="1" topLeftCell="A293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9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47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9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9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9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9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9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9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9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9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9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9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9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9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9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9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9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9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9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9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9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9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9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9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9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9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9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9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9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9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9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9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9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9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9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9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9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9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9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9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9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9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9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9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9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9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9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9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9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9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9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9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9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9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9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9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9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9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9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9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9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9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9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9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9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9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9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9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9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9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9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9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9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9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9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9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9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9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9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9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9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9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9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9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9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9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9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9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9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9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9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9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9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9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9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9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9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9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9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9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9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9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9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9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9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9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9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9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9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9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9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9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9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9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9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9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9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9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9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9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9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9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9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9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9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9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9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9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9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9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9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9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9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9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9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9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9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9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9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9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9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9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9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9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9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9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9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9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9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9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9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9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9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9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9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9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9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9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9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9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9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9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9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9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9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9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9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9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9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9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9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9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9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9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9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9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9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9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9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9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9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9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9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9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9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9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9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9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9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9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9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9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9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9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9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9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9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9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9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9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9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9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9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9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9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9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9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9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9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9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9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9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9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9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9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9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9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9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9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9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9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9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9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9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9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9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9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9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9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9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9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9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9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9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9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9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9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9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9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9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9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9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9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9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9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9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9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9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9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9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9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9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9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9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9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9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9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9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9" t="s">
        <v>6418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9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9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9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9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9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9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9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9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9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9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9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9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9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9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9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9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9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6445</v>
      </c>
      <c r="C277" s="1" t="s">
        <v>6446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9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6447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6448</v>
      </c>
      <c r="C278" s="1" t="s">
        <v>6449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9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6450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6451</v>
      </c>
      <c r="C279" s="1" t="s">
        <v>6452</v>
      </c>
      <c r="D279" s="1">
        <v>5</v>
      </c>
      <c r="E279" s="1">
        <v>2</v>
      </c>
      <c r="F279" s="1">
        <v>19</v>
      </c>
      <c r="G279" s="1" t="s">
        <v>6453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9" t="s">
        <v>181</v>
      </c>
      <c r="AH279" s="1">
        <v>3180</v>
      </c>
      <c r="AI279" s="1" t="s">
        <v>6454</v>
      </c>
      <c r="AJ279" s="1">
        <v>0</v>
      </c>
      <c r="AK279" s="1" t="s">
        <v>5267</v>
      </c>
      <c r="AL279" s="1" t="s">
        <v>6455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6456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6457</v>
      </c>
      <c r="C280" s="1" t="s">
        <v>6458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9" t="s">
        <v>1619</v>
      </c>
      <c r="AH280" s="1">
        <v>3300</v>
      </c>
      <c r="AI280" s="1" t="s">
        <v>1881</v>
      </c>
      <c r="AJ280" s="1">
        <v>0</v>
      </c>
      <c r="AK280" s="1" t="s">
        <v>6459</v>
      </c>
      <c r="AL280" s="1" t="s">
        <v>6460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6461</v>
      </c>
      <c r="C281" s="1" t="s">
        <v>6462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9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6463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6491</v>
      </c>
      <c r="C282" s="1" t="s">
        <v>6492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9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6493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6537</v>
      </c>
      <c r="C283" s="1" t="s">
        <v>6538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9" t="s">
        <v>6507</v>
      </c>
      <c r="AH283" s="1">
        <v>3600</v>
      </c>
      <c r="AI283" s="1" t="s">
        <v>1881</v>
      </c>
      <c r="AJ283" s="1">
        <v>0</v>
      </c>
      <c r="AK283" s="1" t="s">
        <v>6535</v>
      </c>
      <c r="AL283" s="1" t="s">
        <v>6539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6540</v>
      </c>
      <c r="C284" s="1" t="s">
        <v>6541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9" t="s">
        <v>6515</v>
      </c>
      <c r="AH284" s="1">
        <v>3600</v>
      </c>
      <c r="AI284" s="1" t="s">
        <v>1881</v>
      </c>
      <c r="AJ284" s="1">
        <v>0</v>
      </c>
      <c r="AK284" s="1" t="s">
        <v>6534</v>
      </c>
      <c r="AL284" s="1" t="s">
        <v>6542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6543</v>
      </c>
      <c r="C285" s="1" t="s">
        <v>6544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9" t="s">
        <v>6553</v>
      </c>
      <c r="AH285" s="1">
        <v>3600</v>
      </c>
      <c r="AI285" s="1" t="s">
        <v>6545</v>
      </c>
      <c r="AJ285" s="1">
        <v>0</v>
      </c>
      <c r="AK285" s="1" t="s">
        <v>6536</v>
      </c>
      <c r="AL285" s="1" t="s">
        <v>6546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6547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6548</v>
      </c>
      <c r="C286" s="1" t="s">
        <v>6549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9" t="s">
        <v>6528</v>
      </c>
      <c r="AH286" s="1">
        <v>2700</v>
      </c>
      <c r="AI286" s="1" t="s">
        <v>6550</v>
      </c>
      <c r="AJ286" s="1">
        <v>0</v>
      </c>
      <c r="AK286" s="1" t="s">
        <v>6551</v>
      </c>
      <c r="AL286" s="1" t="s">
        <v>6552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6560</v>
      </c>
      <c r="C287" s="1" t="s">
        <v>6561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9" t="s">
        <v>231</v>
      </c>
      <c r="AH287" s="1">
        <v>3600</v>
      </c>
      <c r="AI287" s="1" t="s">
        <v>721</v>
      </c>
      <c r="AJ287" s="1">
        <v>0</v>
      </c>
      <c r="AK287" s="1" t="s">
        <v>6562</v>
      </c>
      <c r="AL287" s="1" t="s">
        <v>6563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6564</v>
      </c>
      <c r="AS287" s="1">
        <v>0</v>
      </c>
      <c r="AT287" s="1" t="s">
        <v>6565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6583</v>
      </c>
      <c r="C288" t="s">
        <v>6584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9" t="s">
        <v>1632</v>
      </c>
      <c r="AH288" s="1">
        <v>3600</v>
      </c>
      <c r="AI288" t="s">
        <v>2245</v>
      </c>
      <c r="AJ288">
        <v>0</v>
      </c>
      <c r="AK288" s="1" t="s">
        <v>6585</v>
      </c>
      <c r="AL288" s="1" t="s">
        <v>6586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6587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6588</v>
      </c>
      <c r="C289" t="s">
        <v>6589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6590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9" t="s">
        <v>112</v>
      </c>
      <c r="AH289" s="1">
        <v>3600</v>
      </c>
      <c r="AI289" t="s">
        <v>1881</v>
      </c>
      <c r="AJ289">
        <v>0</v>
      </c>
      <c r="AK289" s="1" t="s">
        <v>6591</v>
      </c>
      <c r="AL289" s="1" t="s">
        <v>6592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6593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6594</v>
      </c>
      <c r="C290" t="s">
        <v>6595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9" t="s">
        <v>71</v>
      </c>
      <c r="AH290" s="1">
        <v>3600</v>
      </c>
      <c r="AI290" t="s">
        <v>1881</v>
      </c>
      <c r="AJ290">
        <v>0</v>
      </c>
      <c r="AK290" s="1" t="s">
        <v>6596</v>
      </c>
      <c r="AL290" s="1" t="s">
        <v>6597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6598</v>
      </c>
      <c r="C291" t="s">
        <v>6599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9" t="s">
        <v>1641</v>
      </c>
      <c r="AH291" s="1">
        <v>3000</v>
      </c>
      <c r="AI291" t="s">
        <v>6600</v>
      </c>
      <c r="AJ291">
        <v>0</v>
      </c>
      <c r="AK291" s="1" t="s">
        <v>6601</v>
      </c>
      <c r="AL291" s="1" t="s">
        <v>6602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6603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6657</v>
      </c>
      <c r="C292" t="s">
        <v>6658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9" t="s">
        <v>812</v>
      </c>
      <c r="AH292" s="1">
        <v>3600</v>
      </c>
      <c r="AI292" t="s">
        <v>1881</v>
      </c>
      <c r="AJ292">
        <v>0</v>
      </c>
      <c r="AK292" s="1" t="s">
        <v>6659</v>
      </c>
      <c r="AL292" s="1" t="s">
        <v>6660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6661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6662</v>
      </c>
      <c r="C293" t="s">
        <v>6663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9" t="s">
        <v>213</v>
      </c>
      <c r="AH293" s="1">
        <v>3600</v>
      </c>
      <c r="AI293" t="s">
        <v>1881</v>
      </c>
      <c r="AJ293">
        <v>0</v>
      </c>
      <c r="AK293" s="1" t="s">
        <v>6664</v>
      </c>
      <c r="AL293" s="1" t="s">
        <v>6665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6666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6669</v>
      </c>
      <c r="C294" t="s">
        <v>6670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6671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9" t="s">
        <v>104</v>
      </c>
      <c r="AH294" s="1">
        <v>3600</v>
      </c>
      <c r="AI294" t="s">
        <v>6672</v>
      </c>
      <c r="AJ294">
        <v>0</v>
      </c>
      <c r="AK294" s="1" t="s">
        <v>6673</v>
      </c>
      <c r="AL294" s="1" t="s">
        <v>6674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6675</v>
      </c>
      <c r="AS294">
        <v>0</v>
      </c>
      <c r="AT294" t="s">
        <v>6676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6779</v>
      </c>
      <c r="C295" t="s">
        <v>6780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9" t="s">
        <v>6802</v>
      </c>
      <c r="AH295" s="1">
        <v>3600</v>
      </c>
      <c r="AI295" t="s">
        <v>1881</v>
      </c>
      <c r="AJ295">
        <v>0</v>
      </c>
      <c r="AK295" s="1" t="s">
        <v>6781</v>
      </c>
      <c r="AL295" s="1" t="s">
        <v>6782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6783</v>
      </c>
      <c r="C296" t="s">
        <v>6784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6671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9" t="s">
        <v>6803</v>
      </c>
      <c r="AH296" s="1">
        <v>3360</v>
      </c>
      <c r="AI296" t="s">
        <v>1881</v>
      </c>
      <c r="AJ296">
        <v>0</v>
      </c>
      <c r="AK296" s="1" t="s">
        <v>6777</v>
      </c>
      <c r="AL296" s="1" t="s">
        <v>6785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6786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6787</v>
      </c>
      <c r="C297" t="s">
        <v>6788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6789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9" t="s">
        <v>6804</v>
      </c>
      <c r="AH297" s="1">
        <v>3300</v>
      </c>
      <c r="AI297" t="s">
        <v>1881</v>
      </c>
      <c r="AJ297">
        <v>0</v>
      </c>
      <c r="AK297" s="1" t="s">
        <v>6778</v>
      </c>
      <c r="AL297" s="1" t="s">
        <v>6790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6791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6792</v>
      </c>
      <c r="C298" t="s">
        <v>6793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9" t="s">
        <v>6806</v>
      </c>
      <c r="AH298" s="1">
        <v>3060</v>
      </c>
      <c r="AI298" t="s">
        <v>1881</v>
      </c>
      <c r="AJ298">
        <v>0</v>
      </c>
      <c r="AK298" s="1" t="s">
        <v>6794</v>
      </c>
      <c r="AL298" s="1" t="s">
        <v>6795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6796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6797</v>
      </c>
      <c r="C299" t="s">
        <v>6798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9" t="s">
        <v>1661</v>
      </c>
      <c r="AH299" s="1">
        <v>2700</v>
      </c>
      <c r="AI299" t="s">
        <v>6799</v>
      </c>
      <c r="AJ299">
        <v>0</v>
      </c>
      <c r="AK299" s="1" t="s">
        <v>6800</v>
      </c>
      <c r="AL299" s="1" t="s">
        <v>6801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6811</v>
      </c>
      <c r="C300" t="s">
        <v>6812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9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6813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6814</v>
      </c>
      <c r="C301" t="s">
        <v>6815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9" t="s">
        <v>129</v>
      </c>
      <c r="AH301" s="1">
        <v>3540</v>
      </c>
      <c r="AI301" t="s">
        <v>6816</v>
      </c>
      <c r="AJ301">
        <v>0</v>
      </c>
      <c r="AK301" s="1" t="s">
        <v>6817</v>
      </c>
      <c r="AL301" s="1" t="s">
        <v>6818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6819</v>
      </c>
      <c r="C302" t="s">
        <v>6820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9" t="s">
        <v>3216</v>
      </c>
      <c r="AH302" s="1">
        <v>2820</v>
      </c>
      <c r="AI302" t="s">
        <v>2437</v>
      </c>
      <c r="AJ302">
        <v>0</v>
      </c>
      <c r="AK302" s="1" t="s">
        <v>6821</v>
      </c>
      <c r="AL302" s="1" t="s">
        <v>6822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6823</v>
      </c>
      <c r="C303" t="s">
        <v>6824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9" t="s">
        <v>168</v>
      </c>
      <c r="AH303" s="1">
        <v>3600</v>
      </c>
      <c r="AI303" t="s">
        <v>6825</v>
      </c>
      <c r="AJ303">
        <v>0</v>
      </c>
      <c r="AK303" s="1" t="s">
        <v>6826</v>
      </c>
      <c r="AL303" s="1" t="s">
        <v>6827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6828</v>
      </c>
      <c r="AS303">
        <v>0</v>
      </c>
      <c r="AT303" t="s">
        <v>6829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6840</v>
      </c>
      <c r="C304" t="s">
        <v>6841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6842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9" t="s">
        <v>6887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6843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6844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6845</v>
      </c>
      <c r="C305" t="s">
        <v>6846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9" t="s">
        <v>6888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6847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6848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6849</v>
      </c>
      <c r="C306" t="s">
        <v>6850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9" t="s">
        <v>6889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6851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6852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6853</v>
      </c>
      <c r="C307" t="s">
        <v>6854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9" t="s">
        <v>6890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6855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6856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6857</v>
      </c>
      <c r="C308" t="s">
        <v>6858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6859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9" t="s">
        <v>6981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6860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6861</v>
      </c>
      <c r="C309" t="s">
        <v>6862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9" t="s">
        <v>6891</v>
      </c>
      <c r="AH309" s="1">
        <v>2580</v>
      </c>
      <c r="AI309" t="s">
        <v>6816</v>
      </c>
      <c r="AJ309">
        <v>0</v>
      </c>
      <c r="AK309" s="1" t="s">
        <v>329</v>
      </c>
      <c r="AL309" s="1" t="s">
        <v>6863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6864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6865</v>
      </c>
      <c r="C310" t="s">
        <v>6866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9" t="s">
        <v>6892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6867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6868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6869</v>
      </c>
      <c r="C311" t="s">
        <v>6870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9" t="s">
        <v>6982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6871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6872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6873</v>
      </c>
      <c r="C312" t="s">
        <v>6874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9" t="s">
        <v>6983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6875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6876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6877</v>
      </c>
      <c r="C313" t="s">
        <v>6878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9" t="s">
        <v>6984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6879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6880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6881</v>
      </c>
      <c r="C314" t="s">
        <v>6882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9" t="s">
        <v>1643</v>
      </c>
      <c r="AH314" s="1">
        <v>3000</v>
      </c>
      <c r="AI314" t="s">
        <v>1881</v>
      </c>
      <c r="AJ314">
        <v>0</v>
      </c>
      <c r="AK314" s="1" t="s">
        <v>6883</v>
      </c>
      <c r="AL314" s="1" t="s">
        <v>6884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6885</v>
      </c>
      <c r="AS314">
        <v>0</v>
      </c>
      <c r="AT314" t="s">
        <v>6886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6913</v>
      </c>
      <c r="C315" t="s">
        <v>6914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9" t="s">
        <v>154</v>
      </c>
      <c r="AH315" s="1">
        <v>3600</v>
      </c>
      <c r="AI315" t="s">
        <v>2444</v>
      </c>
      <c r="AJ315">
        <v>0</v>
      </c>
      <c r="AK315" s="1" t="s">
        <v>6915</v>
      </c>
      <c r="AL315" s="1" t="s">
        <v>6916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6917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6958</v>
      </c>
      <c r="C316" t="s">
        <v>6959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9" t="s">
        <v>6952</v>
      </c>
      <c r="AH316" s="1">
        <v>3600</v>
      </c>
      <c r="AI316" t="s">
        <v>1881</v>
      </c>
      <c r="AJ316">
        <v>0</v>
      </c>
      <c r="AK316" s="1" t="s">
        <v>6960</v>
      </c>
      <c r="AL316" s="1" t="s">
        <v>6961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6962</v>
      </c>
      <c r="C317" t="s">
        <v>6963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6964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9" t="s">
        <v>6944</v>
      </c>
      <c r="AH317" s="1">
        <v>3600</v>
      </c>
      <c r="AI317" t="s">
        <v>1881</v>
      </c>
      <c r="AJ317">
        <v>0</v>
      </c>
      <c r="AK317" s="1" t="s">
        <v>6965</v>
      </c>
      <c r="AL317" s="1" t="s">
        <v>6966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6967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6977</v>
      </c>
      <c r="C318" t="s">
        <v>6978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9" t="s">
        <v>210</v>
      </c>
      <c r="AH318" s="1">
        <v>3600</v>
      </c>
      <c r="AI318" t="s">
        <v>1881</v>
      </c>
      <c r="AJ318">
        <v>0</v>
      </c>
      <c r="AK318" s="1" t="s">
        <v>5238</v>
      </c>
      <c r="AL318" s="1" t="s">
        <v>6979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6980</v>
      </c>
      <c r="AU318">
        <v>10</v>
      </c>
      <c r="AV318">
        <v>19047</v>
      </c>
      <c r="AW318">
        <v>0</v>
      </c>
      <c r="AX318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73"/>
  <sheetViews>
    <sheetView workbookViewId="0">
      <pane ySplit="1" topLeftCell="A552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9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47" t="s">
        <v>6807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6667</v>
      </c>
      <c r="BF1" t="s">
        <v>6668</v>
      </c>
    </row>
    <row r="2" spans="1:60" x14ac:dyDescent="0.25">
      <c r="A2" s="1">
        <v>1</v>
      </c>
      <c r="B2" s="1" t="s">
        <v>2674</v>
      </c>
      <c r="C2" s="248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48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48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48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48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48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48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48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48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48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48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48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48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48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48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48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48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48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48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48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48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48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48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48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48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48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48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48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48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48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48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48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48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48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48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48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48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48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48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48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48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48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48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48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48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48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48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48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48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48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48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48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48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48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48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48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48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48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48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48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48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48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48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48" t="s">
        <v>6805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48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48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48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48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48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48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48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48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48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48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48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48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48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48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48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48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48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48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48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48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48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48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48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48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48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48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48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48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48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48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48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48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48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48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48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48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48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48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48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48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48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48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48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48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48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48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48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48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48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48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48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48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48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48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48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48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48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48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48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48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48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48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48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48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48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48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48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48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48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48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48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48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48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48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48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48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48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48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48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48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48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48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48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48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48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48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48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48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48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48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48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48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48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48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48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48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48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48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48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48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48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48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48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48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48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48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48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48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48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48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48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48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48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48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48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48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48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48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48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48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48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48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48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48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48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48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48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48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48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48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48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48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48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48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48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48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48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48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48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48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48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48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48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48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48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48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48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48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48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48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48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48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48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48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48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48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48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48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48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48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48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48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48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48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48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48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48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48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48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48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48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48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48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48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48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48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48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48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48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48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48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48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48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48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48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48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48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48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48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48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48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48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48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48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48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48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48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48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48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48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48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48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48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48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48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48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48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48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48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48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48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48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48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48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48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48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48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48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48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48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48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48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48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48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48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48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48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48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48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48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48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48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48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48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48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48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48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48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48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48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48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48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48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48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48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48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48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48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48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48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48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48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48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48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48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48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48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48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48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48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48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48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48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48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48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48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48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48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48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48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48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48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48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48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48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48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48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48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48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48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48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48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48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48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48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48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48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48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48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48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48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6422</v>
      </c>
      <c r="C357" s="248" t="s">
        <v>2173</v>
      </c>
      <c r="D357" s="1" t="s">
        <v>2173</v>
      </c>
      <c r="E357" s="1" t="s">
        <v>329</v>
      </c>
      <c r="F357" s="1" t="s">
        <v>329</v>
      </c>
      <c r="G357" s="1" t="s">
        <v>6423</v>
      </c>
      <c r="H357" s="1" t="s">
        <v>6424</v>
      </c>
      <c r="I357" s="1" t="s">
        <v>6425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6426</v>
      </c>
      <c r="AK357" s="1" t="s">
        <v>6427</v>
      </c>
      <c r="AL357" s="1">
        <v>13</v>
      </c>
      <c r="AM357" s="1" t="s">
        <v>399</v>
      </c>
      <c r="AN357" s="1" t="s">
        <v>6428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6429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6430</v>
      </c>
      <c r="C358" s="248" t="s">
        <v>6431</v>
      </c>
      <c r="D358" s="1" t="s">
        <v>6431</v>
      </c>
      <c r="E358" s="1" t="s">
        <v>329</v>
      </c>
      <c r="F358" s="1" t="s">
        <v>329</v>
      </c>
      <c r="G358" s="1" t="s">
        <v>6432</v>
      </c>
      <c r="H358" s="1" t="s">
        <v>6433</v>
      </c>
      <c r="I358" s="1" t="s">
        <v>6434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6435</v>
      </c>
      <c r="AK358" s="1" t="s">
        <v>6436</v>
      </c>
      <c r="AL358" s="1">
        <v>8</v>
      </c>
      <c r="AM358" s="1" t="s">
        <v>399</v>
      </c>
      <c r="AN358" s="1" t="s">
        <v>6437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6429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6438</v>
      </c>
      <c r="C359" s="248" t="s">
        <v>6439</v>
      </c>
      <c r="D359" s="1" t="s">
        <v>6439</v>
      </c>
      <c r="E359" s="1" t="s">
        <v>329</v>
      </c>
      <c r="F359" s="1" t="s">
        <v>329</v>
      </c>
      <c r="G359" s="1" t="s">
        <v>6440</v>
      </c>
      <c r="H359" s="1" t="s">
        <v>6441</v>
      </c>
      <c r="I359" s="1" t="s">
        <v>6442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6443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6444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6429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6605</v>
      </c>
      <c r="C360" s="249" t="s">
        <v>6606</v>
      </c>
      <c r="D360" t="s">
        <v>6606</v>
      </c>
      <c r="E360" t="s">
        <v>329</v>
      </c>
      <c r="F360" t="s">
        <v>329</v>
      </c>
      <c r="G360" t="s">
        <v>6607</v>
      </c>
      <c r="H360" t="s">
        <v>6608</v>
      </c>
      <c r="I360" t="s">
        <v>6609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6610</v>
      </c>
      <c r="AK360" t="s">
        <v>6611</v>
      </c>
      <c r="AL360">
        <v>8</v>
      </c>
      <c r="AM360" t="s">
        <v>388</v>
      </c>
      <c r="AN360" t="s">
        <v>6612</v>
      </c>
      <c r="AO360" t="s">
        <v>6613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6614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6615</v>
      </c>
      <c r="C361" s="249" t="s">
        <v>6616</v>
      </c>
      <c r="D361" t="s">
        <v>6616</v>
      </c>
      <c r="E361" t="s">
        <v>329</v>
      </c>
      <c r="F361" t="s">
        <v>329</v>
      </c>
      <c r="G361" t="s">
        <v>6617</v>
      </c>
      <c r="H361" t="s">
        <v>6618</v>
      </c>
      <c r="I361" t="s">
        <v>6619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6620</v>
      </c>
      <c r="AK361" t="s">
        <v>6621</v>
      </c>
      <c r="AL361">
        <v>9</v>
      </c>
      <c r="AM361" t="s">
        <v>4754</v>
      </c>
      <c r="AN361" t="s">
        <v>6622</v>
      </c>
      <c r="AO361" t="s">
        <v>6623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6614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6624</v>
      </c>
      <c r="C362" s="249" t="s">
        <v>6625</v>
      </c>
      <c r="D362" t="s">
        <v>6625</v>
      </c>
      <c r="E362" t="s">
        <v>329</v>
      </c>
      <c r="F362" t="s">
        <v>329</v>
      </c>
      <c r="G362" t="s">
        <v>6626</v>
      </c>
      <c r="H362" t="s">
        <v>6627</v>
      </c>
      <c r="I362" t="s">
        <v>6628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6629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6614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48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48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48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48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48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48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48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48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48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48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48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48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48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48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48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48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48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48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48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48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48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48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48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48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48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48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48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48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48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48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48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48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48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48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48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48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48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48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48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48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48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48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48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48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48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48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48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48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48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48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48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48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48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48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48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48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48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48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48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48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48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48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48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48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48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48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48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48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48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48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48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48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48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48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48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48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48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48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48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48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48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48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48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48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48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48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48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48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48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48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48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48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48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48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48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48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48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48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48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48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48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48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48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48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48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48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48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48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48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48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48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48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48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48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48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48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48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48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48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48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48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48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48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48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48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48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48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6651</v>
      </c>
      <c r="C490" s="249" t="s">
        <v>6652</v>
      </c>
      <c r="D490" t="s">
        <v>6652</v>
      </c>
      <c r="E490" t="s">
        <v>329</v>
      </c>
      <c r="F490" t="s">
        <v>329</v>
      </c>
      <c r="G490" t="s">
        <v>6653</v>
      </c>
      <c r="H490" t="s">
        <v>6654</v>
      </c>
      <c r="I490" t="s">
        <v>6655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6656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48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48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48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48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48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6506</v>
      </c>
      <c r="C496" s="248" t="s">
        <v>6507</v>
      </c>
      <c r="D496" s="1" t="s">
        <v>6507</v>
      </c>
      <c r="E496" s="1"/>
      <c r="F496" s="1"/>
      <c r="G496" s="1" t="s">
        <v>6508</v>
      </c>
      <c r="H496" s="1" t="s">
        <v>6509</v>
      </c>
      <c r="I496" s="1" t="s">
        <v>6510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6511</v>
      </c>
      <c r="AL496" s="1">
        <v>13</v>
      </c>
      <c r="AM496" s="1" t="s">
        <v>1844</v>
      </c>
      <c r="AN496" s="1" t="s">
        <v>6512</v>
      </c>
      <c r="AO496" s="1" t="s">
        <v>6513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48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48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48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48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48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48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48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48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48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48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48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48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48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48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48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48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48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48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48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48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48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48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48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6514</v>
      </c>
      <c r="C520" s="248" t="s">
        <v>6515</v>
      </c>
      <c r="D520" s="1" t="s">
        <v>6515</v>
      </c>
      <c r="E520" s="1"/>
      <c r="F520" s="1"/>
      <c r="G520" s="1" t="s">
        <v>6516</v>
      </c>
      <c r="H520" s="1" t="s">
        <v>6517</v>
      </c>
      <c r="I520" s="1" t="s">
        <v>6518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6505</v>
      </c>
      <c r="AK520" s="1" t="s">
        <v>6519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48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48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48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48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48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48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48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48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48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48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6520</v>
      </c>
      <c r="C531" s="248" t="s">
        <v>6553</v>
      </c>
      <c r="D531" s="1" t="s">
        <v>6521</v>
      </c>
      <c r="E531" s="1"/>
      <c r="F531" s="1"/>
      <c r="G531" s="1" t="s">
        <v>6522</v>
      </c>
      <c r="H531" s="1" t="s">
        <v>6523</v>
      </c>
      <c r="I531" s="1" t="s">
        <v>6524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6525</v>
      </c>
      <c r="AK531" s="1" t="s">
        <v>6526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48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48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48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48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48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48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48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48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48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48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48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48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48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48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48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48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48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48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6527</v>
      </c>
      <c r="C550" s="248" t="s">
        <v>6528</v>
      </c>
      <c r="D550" s="1" t="s">
        <v>6528</v>
      </c>
      <c r="E550" s="1"/>
      <c r="F550" s="1"/>
      <c r="G550" s="1" t="s">
        <v>6529</v>
      </c>
      <c r="H550" s="1" t="s">
        <v>6530</v>
      </c>
      <c r="I550" s="1" t="s">
        <v>6531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6532</v>
      </c>
      <c r="AK550" s="1" t="s">
        <v>6533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48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48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48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48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48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48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6685</v>
      </c>
      <c r="C557" s="248" t="s">
        <v>6686</v>
      </c>
      <c r="D557" s="1" t="s">
        <v>6686</v>
      </c>
      <c r="E557" s="1" t="s">
        <v>329</v>
      </c>
      <c r="F557" s="1" t="s">
        <v>329</v>
      </c>
      <c r="G557" s="1" t="s">
        <v>6687</v>
      </c>
      <c r="H557" s="1" t="s">
        <v>6688</v>
      </c>
      <c r="I557" s="1" t="s">
        <v>6689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6690</v>
      </c>
      <c r="AK557" s="1" t="s">
        <v>6691</v>
      </c>
      <c r="AL557" s="1">
        <v>14</v>
      </c>
      <c r="AM557" s="1" t="s">
        <v>1844</v>
      </c>
      <c r="AN557" s="1" t="s">
        <v>6692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6693</v>
      </c>
      <c r="AX557" s="1" t="s">
        <v>6694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6695</v>
      </c>
      <c r="C558" s="248" t="s">
        <v>6696</v>
      </c>
      <c r="D558" s="1" t="s">
        <v>6696</v>
      </c>
      <c r="E558" s="1" t="s">
        <v>329</v>
      </c>
      <c r="F558" s="1" t="s">
        <v>329</v>
      </c>
      <c r="G558" s="1" t="s">
        <v>6697</v>
      </c>
      <c r="H558" s="1" t="s">
        <v>6698</v>
      </c>
      <c r="I558" s="1" t="s">
        <v>6699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6700</v>
      </c>
      <c r="AK558" s="1" t="s">
        <v>6701</v>
      </c>
      <c r="AL558" s="1">
        <v>13</v>
      </c>
      <c r="AM558" s="1" t="s">
        <v>1844</v>
      </c>
      <c r="AN558" s="1" t="s">
        <v>5766</v>
      </c>
      <c r="AO558" s="1" t="s">
        <v>6702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6693</v>
      </c>
      <c r="AX558" s="1" t="s">
        <v>6694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6703</v>
      </c>
      <c r="C559" s="248" t="s">
        <v>6704</v>
      </c>
      <c r="D559" s="1" t="s">
        <v>6704</v>
      </c>
      <c r="E559" s="1" t="s">
        <v>329</v>
      </c>
      <c r="F559" s="1" t="s">
        <v>329</v>
      </c>
      <c r="G559" s="1" t="s">
        <v>6705</v>
      </c>
      <c r="H559" s="1" t="s">
        <v>6706</v>
      </c>
      <c r="I559" s="1" t="s">
        <v>6707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6708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6693</v>
      </c>
      <c r="AX559" s="1" t="s">
        <v>6709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6710</v>
      </c>
      <c r="C560" s="248" t="s">
        <v>6711</v>
      </c>
      <c r="D560" s="1" t="s">
        <v>6711</v>
      </c>
      <c r="E560" s="1" t="s">
        <v>329</v>
      </c>
      <c r="F560" s="1" t="s">
        <v>329</v>
      </c>
      <c r="G560" s="1" t="s">
        <v>6712</v>
      </c>
      <c r="H560" s="1" t="s">
        <v>6713</v>
      </c>
      <c r="I560" s="1" t="s">
        <v>6714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6715</v>
      </c>
      <c r="AK560" s="1" t="s">
        <v>6716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6693</v>
      </c>
      <c r="AX560" s="1" t="s">
        <v>6717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6718</v>
      </c>
      <c r="C561" s="248" t="s">
        <v>6719</v>
      </c>
      <c r="D561" s="1" t="s">
        <v>6719</v>
      </c>
      <c r="E561" s="1" t="s">
        <v>329</v>
      </c>
      <c r="F561" s="1" t="s">
        <v>329</v>
      </c>
      <c r="G561" s="1" t="s">
        <v>6720</v>
      </c>
      <c r="H561" s="1" t="s">
        <v>6721</v>
      </c>
      <c r="I561" s="1" t="s">
        <v>6722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6723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6693</v>
      </c>
      <c r="AX561" s="1" t="s">
        <v>6709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6724</v>
      </c>
      <c r="C562" s="248" t="s">
        <v>6725</v>
      </c>
      <c r="D562" s="1" t="s">
        <v>6725</v>
      </c>
      <c r="E562" s="1" t="s">
        <v>329</v>
      </c>
      <c r="F562" s="1" t="s">
        <v>329</v>
      </c>
      <c r="G562" s="1" t="s">
        <v>6726</v>
      </c>
      <c r="H562" s="1" t="s">
        <v>6727</v>
      </c>
      <c r="I562" s="1" t="s">
        <v>6728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6729</v>
      </c>
      <c r="AK562" s="1" t="s">
        <v>6730</v>
      </c>
      <c r="AL562" s="1">
        <v>19</v>
      </c>
      <c r="AM562" s="1" t="s">
        <v>388</v>
      </c>
      <c r="AN562" s="1" t="s">
        <v>6731</v>
      </c>
      <c r="AO562" s="1" t="s">
        <v>6732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6693</v>
      </c>
      <c r="AX562" s="1" t="s">
        <v>6709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6733</v>
      </c>
      <c r="C563" s="248" t="s">
        <v>6734</v>
      </c>
      <c r="D563" s="1" t="s">
        <v>6734</v>
      </c>
      <c r="E563" s="1" t="s">
        <v>329</v>
      </c>
      <c r="F563" s="1" t="s">
        <v>329</v>
      </c>
      <c r="G563" s="1" t="s">
        <v>6735</v>
      </c>
      <c r="H563" s="1" t="s">
        <v>6736</v>
      </c>
      <c r="I563" s="1" t="s">
        <v>6737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6738</v>
      </c>
      <c r="C564" s="248" t="s">
        <v>6739</v>
      </c>
      <c r="D564" s="1" t="s">
        <v>6739</v>
      </c>
      <c r="E564" s="1" t="s">
        <v>329</v>
      </c>
      <c r="F564" s="1" t="s">
        <v>329</v>
      </c>
      <c r="G564" s="1" t="s">
        <v>6740</v>
      </c>
      <c r="H564" s="1" t="s">
        <v>6741</v>
      </c>
      <c r="I564" s="1" t="s">
        <v>6742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6743</v>
      </c>
      <c r="C565" s="248" t="s">
        <v>6744</v>
      </c>
      <c r="D565" s="1" t="s">
        <v>6744</v>
      </c>
      <c r="E565" s="1" t="s">
        <v>329</v>
      </c>
      <c r="F565" s="1" t="s">
        <v>329</v>
      </c>
      <c r="G565" s="1" t="s">
        <v>6745</v>
      </c>
      <c r="H565" s="1" t="s">
        <v>6746</v>
      </c>
      <c r="I565" s="1" t="s">
        <v>6747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6748</v>
      </c>
      <c r="C566" s="248" t="s">
        <v>6802</v>
      </c>
      <c r="D566" s="1" t="s">
        <v>6749</v>
      </c>
      <c r="E566" s="1" t="s">
        <v>6677</v>
      </c>
      <c r="F566" s="1" t="s">
        <v>6678</v>
      </c>
      <c r="G566" s="1" t="s">
        <v>6750</v>
      </c>
      <c r="H566" s="1" t="s">
        <v>6751</v>
      </c>
      <c r="I566" s="1" t="s">
        <v>6752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6753</v>
      </c>
      <c r="AK566" s="1" t="s">
        <v>6754</v>
      </c>
      <c r="AL566" s="1">
        <v>13</v>
      </c>
      <c r="AM566" s="1" t="s">
        <v>1844</v>
      </c>
      <c r="AN566" s="1" t="s">
        <v>4818</v>
      </c>
      <c r="AO566" s="1" t="s">
        <v>6755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6756</v>
      </c>
      <c r="C567" s="248" t="s">
        <v>6803</v>
      </c>
      <c r="D567" s="1" t="s">
        <v>6757</v>
      </c>
      <c r="E567" s="1" t="s">
        <v>6679</v>
      </c>
      <c r="F567" s="1" t="s">
        <v>6680</v>
      </c>
      <c r="G567" s="1" t="s">
        <v>6758</v>
      </c>
      <c r="H567" s="1" t="s">
        <v>6759</v>
      </c>
      <c r="I567" s="1" t="s">
        <v>6760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6761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6762</v>
      </c>
      <c r="C568" s="248" t="s">
        <v>6804</v>
      </c>
      <c r="D568" s="1" t="s">
        <v>6763</v>
      </c>
      <c r="E568" s="1" t="s">
        <v>6681</v>
      </c>
      <c r="F568" s="1" t="s">
        <v>6682</v>
      </c>
      <c r="G568" s="1" t="s">
        <v>6764</v>
      </c>
      <c r="H568" s="1" t="s">
        <v>6765</v>
      </c>
      <c r="I568" s="1" t="s">
        <v>6766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6767</v>
      </c>
      <c r="AK568" s="1" t="s">
        <v>6768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6769</v>
      </c>
      <c r="C569" s="248" t="s">
        <v>6806</v>
      </c>
      <c r="D569" s="1" t="s">
        <v>6770</v>
      </c>
      <c r="E569" s="1" t="s">
        <v>6683</v>
      </c>
      <c r="F569" s="1" t="s">
        <v>6684</v>
      </c>
      <c r="G569" s="1" t="s">
        <v>6771</v>
      </c>
      <c r="H569" s="1" t="s">
        <v>6772</v>
      </c>
      <c r="I569" s="1" t="s">
        <v>6773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6774</v>
      </c>
      <c r="AK569" s="1" t="s">
        <v>6775</v>
      </c>
      <c r="AL569" s="1">
        <v>13</v>
      </c>
      <c r="AM569" s="1" t="s">
        <v>4757</v>
      </c>
      <c r="AN569" s="1" t="s">
        <v>4902</v>
      </c>
      <c r="AO569" s="1" t="s">
        <v>6776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>
        <v>375</v>
      </c>
      <c r="B570" t="s">
        <v>6924</v>
      </c>
      <c r="C570" s="249" t="s">
        <v>6925</v>
      </c>
      <c r="D570" t="s">
        <v>6925</v>
      </c>
      <c r="E570" t="s">
        <v>329</v>
      </c>
      <c r="F570" t="s">
        <v>329</v>
      </c>
      <c r="G570" t="s">
        <v>6926</v>
      </c>
      <c r="H570" t="s">
        <v>6927</v>
      </c>
      <c r="I570" t="s">
        <v>6928</v>
      </c>
      <c r="J570">
        <v>1</v>
      </c>
      <c r="K570">
        <v>5</v>
      </c>
      <c r="L570">
        <v>4800</v>
      </c>
      <c r="M570">
        <v>10</v>
      </c>
      <c r="N570">
        <v>10</v>
      </c>
      <c r="O570">
        <v>5</v>
      </c>
      <c r="P570">
        <v>5</v>
      </c>
      <c r="Q570">
        <v>2</v>
      </c>
      <c r="R570">
        <v>2</v>
      </c>
      <c r="S570">
        <v>2</v>
      </c>
      <c r="T570">
        <v>0</v>
      </c>
      <c r="U570">
        <v>90</v>
      </c>
      <c r="V570">
        <v>128</v>
      </c>
      <c r="W570">
        <v>105</v>
      </c>
      <c r="X570">
        <v>100</v>
      </c>
      <c r="Y570">
        <v>120</v>
      </c>
      <c r="Z570">
        <v>150</v>
      </c>
      <c r="AA570">
        <v>0</v>
      </c>
      <c r="AB570">
        <v>15</v>
      </c>
      <c r="AC570">
        <v>20</v>
      </c>
      <c r="AD570">
        <v>0</v>
      </c>
      <c r="AE570">
        <v>120</v>
      </c>
      <c r="AF570">
        <v>100</v>
      </c>
      <c r="AG570">
        <v>750610</v>
      </c>
      <c r="AH570">
        <v>0</v>
      </c>
      <c r="AI570">
        <v>300101</v>
      </c>
      <c r="AJ570" t="s">
        <v>6929</v>
      </c>
      <c r="AK570" t="s">
        <v>6930</v>
      </c>
      <c r="AL570">
        <v>18</v>
      </c>
      <c r="AM570" t="s">
        <v>1844</v>
      </c>
      <c r="AN570" t="s">
        <v>6931</v>
      </c>
      <c r="AO570" t="s">
        <v>6932</v>
      </c>
      <c r="AP570">
        <v>0</v>
      </c>
      <c r="AQ570" t="s">
        <v>1125</v>
      </c>
      <c r="AR570" t="s">
        <v>1126</v>
      </c>
      <c r="AS570" t="s">
        <v>1127</v>
      </c>
      <c r="AT570" t="s">
        <v>329</v>
      </c>
      <c r="AU570">
        <v>4</v>
      </c>
      <c r="AV570">
        <v>0</v>
      </c>
      <c r="AW570" t="s">
        <v>6933</v>
      </c>
      <c r="AX570" t="s">
        <v>4800</v>
      </c>
      <c r="AY570">
        <v>5</v>
      </c>
      <c r="AZ570">
        <v>0</v>
      </c>
      <c r="BA570" t="s">
        <v>329</v>
      </c>
      <c r="BB570" t="s">
        <v>329</v>
      </c>
      <c r="BC570" t="s">
        <v>4758</v>
      </c>
      <c r="BD570">
        <v>10701</v>
      </c>
      <c r="BE570">
        <v>0</v>
      </c>
    </row>
    <row r="571" spans="1:60" x14ac:dyDescent="0.25">
      <c r="A571">
        <v>376</v>
      </c>
      <c r="B571" t="s">
        <v>6934</v>
      </c>
      <c r="C571" s="249" t="s">
        <v>6935</v>
      </c>
      <c r="D571" t="s">
        <v>6935</v>
      </c>
      <c r="E571" t="s">
        <v>329</v>
      </c>
      <c r="F571" t="s">
        <v>329</v>
      </c>
      <c r="G571" t="s">
        <v>6936</v>
      </c>
      <c r="H571" t="s">
        <v>6937</v>
      </c>
      <c r="I571" t="s">
        <v>6938</v>
      </c>
      <c r="J571">
        <v>2</v>
      </c>
      <c r="K571">
        <v>5</v>
      </c>
      <c r="L571">
        <v>9600</v>
      </c>
      <c r="M571">
        <v>25</v>
      </c>
      <c r="N571">
        <v>20</v>
      </c>
      <c r="O571">
        <v>15</v>
      </c>
      <c r="P571">
        <v>10</v>
      </c>
      <c r="Q571">
        <v>5</v>
      </c>
      <c r="R571">
        <v>5</v>
      </c>
      <c r="S571">
        <v>2</v>
      </c>
      <c r="T571">
        <v>0</v>
      </c>
      <c r="U571">
        <v>150</v>
      </c>
      <c r="V571">
        <v>100</v>
      </c>
      <c r="W571">
        <v>108</v>
      </c>
      <c r="X571">
        <v>100</v>
      </c>
      <c r="Y571">
        <v>105</v>
      </c>
      <c r="Z571">
        <v>105</v>
      </c>
      <c r="AA571">
        <v>0</v>
      </c>
      <c r="AB571">
        <v>15</v>
      </c>
      <c r="AC571">
        <v>5</v>
      </c>
      <c r="AD571">
        <v>0</v>
      </c>
      <c r="AE571">
        <v>105</v>
      </c>
      <c r="AF571">
        <v>100</v>
      </c>
      <c r="AG571">
        <v>750602</v>
      </c>
      <c r="AH571">
        <v>0</v>
      </c>
      <c r="AI571">
        <v>300102</v>
      </c>
      <c r="AJ571" t="s">
        <v>6939</v>
      </c>
      <c r="AK571" t="s">
        <v>6940</v>
      </c>
      <c r="AL571">
        <v>14</v>
      </c>
      <c r="AM571" t="s">
        <v>1844</v>
      </c>
      <c r="AN571" t="s">
        <v>6941</v>
      </c>
      <c r="AO571" t="s">
        <v>6942</v>
      </c>
      <c r="AP571">
        <v>0</v>
      </c>
      <c r="AQ571" t="s">
        <v>1136</v>
      </c>
      <c r="AR571" t="s">
        <v>1126</v>
      </c>
      <c r="AS571" t="s">
        <v>1137</v>
      </c>
      <c r="AT571" t="s">
        <v>329</v>
      </c>
      <c r="AU571">
        <v>150</v>
      </c>
      <c r="AV571">
        <v>0</v>
      </c>
      <c r="AW571" t="s">
        <v>6933</v>
      </c>
      <c r="AX571" t="s">
        <v>332</v>
      </c>
      <c r="AY571">
        <v>5</v>
      </c>
      <c r="AZ571">
        <v>0</v>
      </c>
      <c r="BA571" t="s">
        <v>329</v>
      </c>
      <c r="BB571" t="s">
        <v>329</v>
      </c>
      <c r="BC571" t="s">
        <v>4807</v>
      </c>
      <c r="BD571">
        <v>10703</v>
      </c>
      <c r="BE571">
        <v>0</v>
      </c>
    </row>
    <row r="572" spans="1:60" x14ac:dyDescent="0.25">
      <c r="A572">
        <v>377</v>
      </c>
      <c r="B572" t="s">
        <v>6943</v>
      </c>
      <c r="C572" s="249" t="s">
        <v>6944</v>
      </c>
      <c r="D572" t="s">
        <v>6945</v>
      </c>
      <c r="E572" t="s">
        <v>329</v>
      </c>
      <c r="F572" t="s">
        <v>329</v>
      </c>
      <c r="G572" t="s">
        <v>6946</v>
      </c>
      <c r="H572" t="s">
        <v>6947</v>
      </c>
      <c r="I572" t="s">
        <v>6948</v>
      </c>
      <c r="J572">
        <v>3</v>
      </c>
      <c r="K572">
        <v>5</v>
      </c>
      <c r="L572">
        <v>16200</v>
      </c>
      <c r="M572">
        <v>15</v>
      </c>
      <c r="N572">
        <v>30</v>
      </c>
      <c r="O572">
        <v>10</v>
      </c>
      <c r="P572">
        <v>15</v>
      </c>
      <c r="Q572">
        <v>5</v>
      </c>
      <c r="R572">
        <v>2</v>
      </c>
      <c r="S572">
        <v>5</v>
      </c>
      <c r="T572">
        <v>0</v>
      </c>
      <c r="U572">
        <v>96</v>
      </c>
      <c r="V572">
        <v>100</v>
      </c>
      <c r="W572">
        <v>120</v>
      </c>
      <c r="X572">
        <v>100</v>
      </c>
      <c r="Y572">
        <v>130</v>
      </c>
      <c r="Z572">
        <v>80</v>
      </c>
      <c r="AA572">
        <v>0</v>
      </c>
      <c r="AB572">
        <v>15</v>
      </c>
      <c r="AC572">
        <v>40</v>
      </c>
      <c r="AD572">
        <v>0</v>
      </c>
      <c r="AE572">
        <v>130</v>
      </c>
      <c r="AF572">
        <v>100</v>
      </c>
      <c r="AG572">
        <v>119701</v>
      </c>
      <c r="AH572">
        <v>0</v>
      </c>
      <c r="AI572">
        <v>300104</v>
      </c>
      <c r="AJ572" t="s">
        <v>6949</v>
      </c>
      <c r="AK572" t="s">
        <v>6950</v>
      </c>
      <c r="AL572">
        <v>13</v>
      </c>
      <c r="AM572" t="s">
        <v>355</v>
      </c>
      <c r="AN572" t="s">
        <v>5422</v>
      </c>
      <c r="AO572" t="s">
        <v>5101</v>
      </c>
      <c r="AP572">
        <v>0</v>
      </c>
      <c r="AQ572" t="s">
        <v>1753</v>
      </c>
      <c r="AR572" t="s">
        <v>1148</v>
      </c>
      <c r="AS572" t="s">
        <v>1149</v>
      </c>
      <c r="AT572" t="s">
        <v>329</v>
      </c>
      <c r="AU572">
        <v>241</v>
      </c>
      <c r="AV572">
        <v>0</v>
      </c>
      <c r="AW572" t="s">
        <v>6933</v>
      </c>
      <c r="AX572" t="s">
        <v>332</v>
      </c>
      <c r="AY572">
        <v>5</v>
      </c>
      <c r="AZ572">
        <v>0</v>
      </c>
      <c r="BA572" t="s">
        <v>329</v>
      </c>
      <c r="BB572" t="s">
        <v>329</v>
      </c>
      <c r="BC572" t="s">
        <v>4891</v>
      </c>
      <c r="BD572">
        <v>10402</v>
      </c>
      <c r="BE572">
        <v>0</v>
      </c>
    </row>
    <row r="573" spans="1:60" x14ac:dyDescent="0.25">
      <c r="A573">
        <v>378</v>
      </c>
      <c r="B573" t="s">
        <v>6951</v>
      </c>
      <c r="C573" s="249" t="s">
        <v>6952</v>
      </c>
      <c r="D573" t="s">
        <v>6953</v>
      </c>
      <c r="E573" t="s">
        <v>329</v>
      </c>
      <c r="F573" t="s">
        <v>329</v>
      </c>
      <c r="G573" t="s">
        <v>6954</v>
      </c>
      <c r="H573" t="s">
        <v>6955</v>
      </c>
      <c r="I573" t="s">
        <v>6956</v>
      </c>
      <c r="J573">
        <v>4</v>
      </c>
      <c r="K573">
        <v>5</v>
      </c>
      <c r="L573">
        <v>16200</v>
      </c>
      <c r="M573">
        <v>20</v>
      </c>
      <c r="N573">
        <v>20</v>
      </c>
      <c r="O573">
        <v>10</v>
      </c>
      <c r="P573">
        <v>10</v>
      </c>
      <c r="Q573">
        <v>2</v>
      </c>
      <c r="R573">
        <v>5</v>
      </c>
      <c r="S573">
        <v>5</v>
      </c>
      <c r="T573">
        <v>0</v>
      </c>
      <c r="U573">
        <v>100</v>
      </c>
      <c r="V573">
        <v>108</v>
      </c>
      <c r="W573">
        <v>108</v>
      </c>
      <c r="X573">
        <v>100</v>
      </c>
      <c r="Y573">
        <v>98</v>
      </c>
      <c r="Z573">
        <v>105</v>
      </c>
      <c r="AA573">
        <v>0</v>
      </c>
      <c r="AB573">
        <v>15</v>
      </c>
      <c r="AC573">
        <v>20</v>
      </c>
      <c r="AD573">
        <v>0</v>
      </c>
      <c r="AE573">
        <v>145</v>
      </c>
      <c r="AF573">
        <v>100</v>
      </c>
      <c r="AG573">
        <v>119601</v>
      </c>
      <c r="AH573">
        <v>0</v>
      </c>
      <c r="AI573">
        <v>300103</v>
      </c>
      <c r="AJ573" t="s">
        <v>6957</v>
      </c>
      <c r="AK573" t="s">
        <v>329</v>
      </c>
      <c r="AL573">
        <v>13</v>
      </c>
      <c r="AM573" t="s">
        <v>355</v>
      </c>
      <c r="AN573" t="s">
        <v>5422</v>
      </c>
      <c r="AO573" t="s">
        <v>5101</v>
      </c>
      <c r="AP573">
        <v>0</v>
      </c>
      <c r="AQ573" t="s">
        <v>1137</v>
      </c>
      <c r="AR573" t="s">
        <v>4906</v>
      </c>
      <c r="AS573" t="s">
        <v>1136</v>
      </c>
      <c r="AT573" t="s">
        <v>329</v>
      </c>
      <c r="AU573">
        <v>48</v>
      </c>
      <c r="AV573">
        <v>0</v>
      </c>
      <c r="AW573" t="s">
        <v>6933</v>
      </c>
      <c r="AX573" t="s">
        <v>332</v>
      </c>
      <c r="AY573">
        <v>5</v>
      </c>
      <c r="AZ573">
        <v>0</v>
      </c>
      <c r="BA573" t="s">
        <v>329</v>
      </c>
      <c r="BB573" t="s">
        <v>329</v>
      </c>
      <c r="BC573" t="s">
        <v>4891</v>
      </c>
      <c r="BD573">
        <v>10201</v>
      </c>
      <c r="BE57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0"/>
  <sheetViews>
    <sheetView workbookViewId="0">
      <pane ySplit="1" topLeftCell="A2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6494</v>
      </c>
      <c r="C6" t="s">
        <v>6495</v>
      </c>
      <c r="D6" t="s">
        <v>6496</v>
      </c>
      <c r="E6" t="s">
        <v>6497</v>
      </c>
      <c r="G6" t="s">
        <v>4523</v>
      </c>
      <c r="H6" t="s">
        <v>6498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6499</v>
      </c>
      <c r="X6" t="s">
        <v>6500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6501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6831</v>
      </c>
      <c r="C11" t="s">
        <v>6832</v>
      </c>
      <c r="D11" t="s">
        <v>6832</v>
      </c>
      <c r="E11" t="s">
        <v>6833</v>
      </c>
      <c r="F11" t="s">
        <v>6830</v>
      </c>
      <c r="G11" t="s">
        <v>4523</v>
      </c>
      <c r="H11" t="s">
        <v>6834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6835</v>
      </c>
      <c r="X11" t="s">
        <v>6836</v>
      </c>
      <c r="Y11" t="s">
        <v>6837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6838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6968</v>
      </c>
      <c r="C19" t="s">
        <v>6969</v>
      </c>
      <c r="D19" t="s">
        <v>6969</v>
      </c>
      <c r="E19" t="s">
        <v>6970</v>
      </c>
      <c r="F19" t="s">
        <v>6830</v>
      </c>
      <c r="G19" t="s">
        <v>4523</v>
      </c>
      <c r="H19" t="s">
        <v>6971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6972</v>
      </c>
      <c r="X19" t="s">
        <v>6973</v>
      </c>
      <c r="Y19" t="s">
        <v>6974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6975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6566</v>
      </c>
      <c r="C21" t="s">
        <v>6567</v>
      </c>
      <c r="D21" t="s">
        <v>6567</v>
      </c>
      <c r="E21" t="s">
        <v>6568</v>
      </c>
      <c r="G21" t="s">
        <v>4523</v>
      </c>
      <c r="H21" t="s">
        <v>6569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6570</v>
      </c>
      <c r="X21" t="s">
        <v>6571</v>
      </c>
      <c r="Y21" t="s">
        <v>6572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6573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1007</v>
      </c>
      <c r="B23" t="s">
        <v>4631</v>
      </c>
      <c r="C23" t="s">
        <v>985</v>
      </c>
      <c r="D23" t="s">
        <v>985</v>
      </c>
      <c r="E23" t="s">
        <v>4632</v>
      </c>
      <c r="G23" t="s">
        <v>4523</v>
      </c>
      <c r="H23" t="s">
        <v>4633</v>
      </c>
      <c r="I23">
        <v>1</v>
      </c>
      <c r="J23">
        <v>1</v>
      </c>
      <c r="K23" t="s">
        <v>978</v>
      </c>
      <c r="L23">
        <v>1</v>
      </c>
      <c r="M23">
        <v>107</v>
      </c>
      <c r="N23" t="s">
        <v>979</v>
      </c>
      <c r="O23">
        <v>10</v>
      </c>
      <c r="P23">
        <v>0</v>
      </c>
      <c r="Q23">
        <v>5</v>
      </c>
      <c r="R23">
        <v>900833</v>
      </c>
      <c r="S23">
        <v>2</v>
      </c>
      <c r="T23">
        <v>30008</v>
      </c>
      <c r="U23">
        <v>900831</v>
      </c>
      <c r="V23">
        <v>900832</v>
      </c>
      <c r="W23" t="s">
        <v>4634</v>
      </c>
      <c r="X23" t="s">
        <v>329</v>
      </c>
      <c r="Y23" t="s">
        <v>4635</v>
      </c>
      <c r="Z23">
        <v>900830</v>
      </c>
      <c r="AA23">
        <v>10</v>
      </c>
      <c r="AB23">
        <v>10</v>
      </c>
      <c r="AC23">
        <v>5</v>
      </c>
      <c r="AD23">
        <v>5</v>
      </c>
      <c r="AE23">
        <v>105</v>
      </c>
      <c r="AF23">
        <v>105</v>
      </c>
      <c r="AG23">
        <v>105</v>
      </c>
      <c r="AH23">
        <v>105</v>
      </c>
      <c r="AI23">
        <v>105</v>
      </c>
      <c r="AJ23">
        <v>0</v>
      </c>
      <c r="AK23">
        <v>15</v>
      </c>
      <c r="AL23">
        <v>40</v>
      </c>
      <c r="AM23">
        <v>150</v>
      </c>
      <c r="AN23">
        <v>100</v>
      </c>
      <c r="AO23">
        <v>15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4636</v>
      </c>
      <c r="AV23" t="s">
        <v>4529</v>
      </c>
      <c r="AW23" t="s">
        <v>4529</v>
      </c>
      <c r="AX23" t="s">
        <v>4529</v>
      </c>
      <c r="AY23">
        <v>21</v>
      </c>
      <c r="AZ23">
        <v>11002</v>
      </c>
      <c r="BA23">
        <v>1</v>
      </c>
      <c r="BB23" t="s">
        <v>4530</v>
      </c>
      <c r="BC23" t="s">
        <v>1844</v>
      </c>
      <c r="BD23">
        <v>930007</v>
      </c>
      <c r="BE23" t="s">
        <v>4531</v>
      </c>
      <c r="BF23" t="s">
        <v>4532</v>
      </c>
      <c r="BG23">
        <v>88</v>
      </c>
      <c r="BH23">
        <v>10603</v>
      </c>
    </row>
    <row r="24" spans="1:61" x14ac:dyDescent="0.25">
      <c r="A24">
        <v>2003</v>
      </c>
      <c r="B24" t="s">
        <v>4637</v>
      </c>
      <c r="C24" t="s">
        <v>996</v>
      </c>
      <c r="D24" t="s">
        <v>996</v>
      </c>
      <c r="E24" t="s">
        <v>4638</v>
      </c>
      <c r="G24" t="s">
        <v>4523</v>
      </c>
      <c r="H24" t="s">
        <v>4639</v>
      </c>
      <c r="I24">
        <v>1</v>
      </c>
      <c r="J24">
        <v>2</v>
      </c>
      <c r="K24" t="s">
        <v>997</v>
      </c>
      <c r="L24">
        <v>5</v>
      </c>
      <c r="M24">
        <v>203</v>
      </c>
      <c r="N24" t="s">
        <v>979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600701</v>
      </c>
      <c r="V24">
        <v>600703</v>
      </c>
      <c r="W24" t="s">
        <v>1844</v>
      </c>
      <c r="X24" t="s">
        <v>4537</v>
      </c>
      <c r="Y24" t="s">
        <v>4640</v>
      </c>
      <c r="Z24">
        <v>600704</v>
      </c>
      <c r="AA24">
        <v>10</v>
      </c>
      <c r="AB24">
        <v>10</v>
      </c>
      <c r="AC24">
        <v>5</v>
      </c>
      <c r="AD24">
        <v>5</v>
      </c>
      <c r="AE24">
        <v>140</v>
      </c>
      <c r="AF24">
        <v>90</v>
      </c>
      <c r="AG24">
        <v>75</v>
      </c>
      <c r="AH24">
        <v>110</v>
      </c>
      <c r="AI24">
        <v>40</v>
      </c>
      <c r="AJ24">
        <v>100</v>
      </c>
      <c r="AK24">
        <v>15</v>
      </c>
      <c r="AL24">
        <v>20</v>
      </c>
      <c r="AM24">
        <v>150</v>
      </c>
      <c r="AN24">
        <v>95</v>
      </c>
      <c r="AO24">
        <v>8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15</v>
      </c>
      <c r="AZ24">
        <v>3045</v>
      </c>
      <c r="BA24">
        <v>9</v>
      </c>
      <c r="BB24" t="s">
        <v>4530</v>
      </c>
      <c r="BC24" t="s">
        <v>1844</v>
      </c>
      <c r="BD24">
        <v>910015</v>
      </c>
      <c r="BE24" t="s">
        <v>4531</v>
      </c>
      <c r="BF24" t="s">
        <v>4532</v>
      </c>
      <c r="BG24">
        <v>100</v>
      </c>
      <c r="BH24">
        <v>0</v>
      </c>
    </row>
    <row r="25" spans="1:61" x14ac:dyDescent="0.25">
      <c r="A25">
        <v>2014</v>
      </c>
      <c r="B25" t="s">
        <v>4641</v>
      </c>
      <c r="C25" t="s">
        <v>1010</v>
      </c>
      <c r="D25" t="s">
        <v>1010</v>
      </c>
      <c r="E25" t="s">
        <v>4642</v>
      </c>
      <c r="G25" t="s">
        <v>4523</v>
      </c>
      <c r="H25" t="s">
        <v>4643</v>
      </c>
      <c r="I25">
        <v>1</v>
      </c>
      <c r="J25">
        <v>2</v>
      </c>
      <c r="K25" t="s">
        <v>997</v>
      </c>
      <c r="L25">
        <v>5</v>
      </c>
      <c r="M25">
        <v>214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902200</v>
      </c>
      <c r="V25">
        <v>902201</v>
      </c>
      <c r="W25" t="s">
        <v>1844</v>
      </c>
      <c r="X25" t="s">
        <v>4537</v>
      </c>
      <c r="Y25" t="s">
        <v>329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180</v>
      </c>
      <c r="AF25">
        <v>75</v>
      </c>
      <c r="AG25">
        <v>50</v>
      </c>
      <c r="AH25">
        <v>110</v>
      </c>
      <c r="AI25">
        <v>50</v>
      </c>
      <c r="AJ25">
        <v>105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60</v>
      </c>
      <c r="AZ25">
        <v>3045</v>
      </c>
      <c r="BA25">
        <v>9</v>
      </c>
      <c r="BB25" t="s">
        <v>4530</v>
      </c>
      <c r="BC25" t="s">
        <v>1844</v>
      </c>
      <c r="BD25">
        <v>911011</v>
      </c>
      <c r="BE25" t="s">
        <v>4531</v>
      </c>
      <c r="BF25" t="s">
        <v>4532</v>
      </c>
      <c r="BG25">
        <v>95</v>
      </c>
      <c r="BH25">
        <v>0</v>
      </c>
    </row>
    <row r="26" spans="1:61" x14ac:dyDescent="0.25">
      <c r="A26">
        <v>2001</v>
      </c>
      <c r="B26" t="s">
        <v>4644</v>
      </c>
      <c r="C26" t="s">
        <v>994</v>
      </c>
      <c r="D26" t="s">
        <v>994</v>
      </c>
      <c r="E26" t="s">
        <v>4645</v>
      </c>
      <c r="G26" t="s">
        <v>4523</v>
      </c>
      <c r="H26" t="s">
        <v>4646</v>
      </c>
      <c r="I26">
        <v>1</v>
      </c>
      <c r="J26">
        <v>2</v>
      </c>
      <c r="K26" t="s">
        <v>981</v>
      </c>
      <c r="L26">
        <v>5</v>
      </c>
      <c r="M26">
        <v>201</v>
      </c>
      <c r="N26" t="s">
        <v>979</v>
      </c>
      <c r="O26">
        <v>4</v>
      </c>
      <c r="P26">
        <v>0</v>
      </c>
      <c r="Q26">
        <v>4</v>
      </c>
      <c r="R26">
        <v>0</v>
      </c>
      <c r="S26">
        <v>1</v>
      </c>
      <c r="T26">
        <v>0</v>
      </c>
      <c r="U26">
        <v>900578</v>
      </c>
      <c r="V26">
        <v>900579</v>
      </c>
      <c r="W26" t="s">
        <v>1844</v>
      </c>
      <c r="X26" t="s">
        <v>4537</v>
      </c>
      <c r="Y26" t="s">
        <v>4647</v>
      </c>
      <c r="Z26">
        <v>900577</v>
      </c>
      <c r="AA26">
        <v>10</v>
      </c>
      <c r="AB26">
        <v>10</v>
      </c>
      <c r="AC26">
        <v>5</v>
      </c>
      <c r="AD26">
        <v>5</v>
      </c>
      <c r="AE26">
        <v>75</v>
      </c>
      <c r="AF26">
        <v>62</v>
      </c>
      <c r="AG26">
        <v>80</v>
      </c>
      <c r="AH26">
        <v>100</v>
      </c>
      <c r="AI26">
        <v>90</v>
      </c>
      <c r="AJ26">
        <v>0</v>
      </c>
      <c r="AK26">
        <v>180</v>
      </c>
      <c r="AL26">
        <v>10</v>
      </c>
      <c r="AM26">
        <v>150</v>
      </c>
      <c r="AN26">
        <v>95</v>
      </c>
      <c r="AO26">
        <v>20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28</v>
      </c>
      <c r="AZ26">
        <v>3045</v>
      </c>
      <c r="BA26">
        <v>7</v>
      </c>
      <c r="BB26" t="s">
        <v>4530</v>
      </c>
      <c r="BC26" t="s">
        <v>1844</v>
      </c>
      <c r="BD26">
        <v>910017</v>
      </c>
      <c r="BE26" t="s">
        <v>4531</v>
      </c>
      <c r="BF26" t="s">
        <v>4532</v>
      </c>
      <c r="BG26">
        <v>75</v>
      </c>
      <c r="BH26">
        <v>0</v>
      </c>
    </row>
    <row r="27" spans="1:61" x14ac:dyDescent="0.25">
      <c r="A27">
        <v>2002</v>
      </c>
      <c r="B27" t="s">
        <v>4648</v>
      </c>
      <c r="C27" t="s">
        <v>995</v>
      </c>
      <c r="D27" t="s">
        <v>995</v>
      </c>
      <c r="E27" t="s">
        <v>4649</v>
      </c>
      <c r="G27" t="s">
        <v>4523</v>
      </c>
      <c r="H27" t="s">
        <v>4650</v>
      </c>
      <c r="I27">
        <v>1</v>
      </c>
      <c r="J27">
        <v>2</v>
      </c>
      <c r="K27" t="s">
        <v>981</v>
      </c>
      <c r="L27">
        <v>5</v>
      </c>
      <c r="M27">
        <v>202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900520</v>
      </c>
      <c r="V27">
        <v>900527</v>
      </c>
      <c r="W27" t="s">
        <v>1844</v>
      </c>
      <c r="X27" t="s">
        <v>4651</v>
      </c>
      <c r="Y27" t="s">
        <v>329</v>
      </c>
      <c r="Z27">
        <v>900519</v>
      </c>
      <c r="AA27">
        <v>10</v>
      </c>
      <c r="AB27">
        <v>10</v>
      </c>
      <c r="AC27">
        <v>5</v>
      </c>
      <c r="AD27">
        <v>5</v>
      </c>
      <c r="AE27">
        <v>132</v>
      </c>
      <c r="AF27">
        <v>105</v>
      </c>
      <c r="AG27">
        <v>65</v>
      </c>
      <c r="AH27">
        <v>105</v>
      </c>
      <c r="AI27">
        <v>75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329</v>
      </c>
      <c r="AV27" t="s">
        <v>329</v>
      </c>
      <c r="AW27" t="s">
        <v>329</v>
      </c>
      <c r="AX27" t="s">
        <v>329</v>
      </c>
      <c r="AY27">
        <v>12</v>
      </c>
      <c r="AZ27">
        <v>3045</v>
      </c>
      <c r="BA27">
        <v>8</v>
      </c>
      <c r="BB27" t="s">
        <v>4530</v>
      </c>
      <c r="BC27" t="s">
        <v>1844</v>
      </c>
      <c r="BD27">
        <v>910008</v>
      </c>
      <c r="BE27" t="s">
        <v>4531</v>
      </c>
      <c r="BF27" t="s">
        <v>4532</v>
      </c>
      <c r="BG27">
        <v>90</v>
      </c>
      <c r="BH27">
        <v>0</v>
      </c>
    </row>
    <row r="28" spans="1:61" x14ac:dyDescent="0.25">
      <c r="A28">
        <v>2012</v>
      </c>
      <c r="B28" t="s">
        <v>4652</v>
      </c>
      <c r="C28" t="s">
        <v>1008</v>
      </c>
      <c r="D28" t="s">
        <v>1008</v>
      </c>
      <c r="E28" t="s">
        <v>4653</v>
      </c>
      <c r="G28" t="s">
        <v>4523</v>
      </c>
      <c r="H28" t="s">
        <v>4654</v>
      </c>
      <c r="I28">
        <v>1</v>
      </c>
      <c r="J28">
        <v>2</v>
      </c>
      <c r="K28" t="s">
        <v>981</v>
      </c>
      <c r="L28">
        <v>5</v>
      </c>
      <c r="M28">
        <v>212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900982</v>
      </c>
      <c r="V28">
        <v>900981</v>
      </c>
      <c r="W28" t="s">
        <v>1844</v>
      </c>
      <c r="X28" t="s">
        <v>4537</v>
      </c>
      <c r="Y28" t="s">
        <v>4655</v>
      </c>
      <c r="Z28">
        <v>900980</v>
      </c>
      <c r="AA28">
        <v>10</v>
      </c>
      <c r="AB28">
        <v>10</v>
      </c>
      <c r="AC28">
        <v>5</v>
      </c>
      <c r="AD28">
        <v>5</v>
      </c>
      <c r="AE28">
        <v>135</v>
      </c>
      <c r="AF28">
        <v>122</v>
      </c>
      <c r="AG28">
        <v>65</v>
      </c>
      <c r="AH28">
        <v>115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58</v>
      </c>
      <c r="AZ28">
        <v>3045</v>
      </c>
      <c r="BA28">
        <v>8</v>
      </c>
      <c r="BB28" t="s">
        <v>4530</v>
      </c>
      <c r="BC28" t="s">
        <v>1844</v>
      </c>
      <c r="BD28">
        <v>911008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2016</v>
      </c>
      <c r="B29" t="s">
        <v>5699</v>
      </c>
      <c r="C29" t="s">
        <v>5703</v>
      </c>
      <c r="D29" t="s">
        <v>5700</v>
      </c>
      <c r="E29" t="s">
        <v>5701</v>
      </c>
      <c r="G29" t="s">
        <v>4523</v>
      </c>
      <c r="H29" t="s">
        <v>5702</v>
      </c>
      <c r="I29">
        <v>1</v>
      </c>
      <c r="J29">
        <v>2</v>
      </c>
      <c r="K29" t="s">
        <v>981</v>
      </c>
      <c r="L29">
        <v>5</v>
      </c>
      <c r="M29">
        <v>216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900746</v>
      </c>
      <c r="V29">
        <v>750298</v>
      </c>
      <c r="W29" t="s">
        <v>1844</v>
      </c>
      <c r="X29" t="s">
        <v>4537</v>
      </c>
      <c r="Y29" t="s">
        <v>4659</v>
      </c>
      <c r="Z29">
        <v>900745</v>
      </c>
      <c r="AA29">
        <v>10</v>
      </c>
      <c r="AB29">
        <v>10</v>
      </c>
      <c r="AC29">
        <v>5</v>
      </c>
      <c r="AD29">
        <v>5</v>
      </c>
      <c r="AE29">
        <v>200</v>
      </c>
      <c r="AF29">
        <v>115</v>
      </c>
      <c r="AG29">
        <v>75</v>
      </c>
      <c r="AH29">
        <v>165</v>
      </c>
      <c r="AI29">
        <v>40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108</v>
      </c>
      <c r="AZ29">
        <v>3045</v>
      </c>
      <c r="BA29">
        <v>8</v>
      </c>
      <c r="BB29" t="s">
        <v>4530</v>
      </c>
      <c r="BC29" t="s">
        <v>1844</v>
      </c>
      <c r="BD29">
        <v>913124</v>
      </c>
      <c r="BE29" t="s">
        <v>4531</v>
      </c>
      <c r="BF29" t="s">
        <v>4532</v>
      </c>
      <c r="BG29">
        <v>95</v>
      </c>
      <c r="BH29">
        <v>0</v>
      </c>
    </row>
    <row r="30" spans="1:61" x14ac:dyDescent="0.25">
      <c r="A30">
        <v>2008</v>
      </c>
      <c r="B30" t="s">
        <v>4656</v>
      </c>
      <c r="C30" t="s">
        <v>1003</v>
      </c>
      <c r="D30" t="s">
        <v>1003</v>
      </c>
      <c r="E30" t="s">
        <v>4657</v>
      </c>
      <c r="G30" t="s">
        <v>4523</v>
      </c>
      <c r="H30" t="s">
        <v>4658</v>
      </c>
      <c r="I30">
        <v>1</v>
      </c>
      <c r="J30">
        <v>2</v>
      </c>
      <c r="K30" t="s">
        <v>981</v>
      </c>
      <c r="L30">
        <v>5</v>
      </c>
      <c r="M30">
        <v>208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900744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140</v>
      </c>
      <c r="AF30">
        <v>100</v>
      </c>
      <c r="AG30">
        <v>75</v>
      </c>
      <c r="AH30">
        <v>130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57</v>
      </c>
      <c r="AZ30">
        <v>3045</v>
      </c>
      <c r="BA30">
        <v>8</v>
      </c>
      <c r="BB30" t="s">
        <v>4530</v>
      </c>
      <c r="BC30" t="s">
        <v>1844</v>
      </c>
      <c r="BD30">
        <v>911007</v>
      </c>
      <c r="BE30" t="s">
        <v>4531</v>
      </c>
      <c r="BF30" t="s">
        <v>4532</v>
      </c>
      <c r="BG30">
        <v>90</v>
      </c>
      <c r="BH30">
        <v>0</v>
      </c>
    </row>
    <row r="31" spans="1:61" x14ac:dyDescent="0.25">
      <c r="A31">
        <v>2015</v>
      </c>
      <c r="B31" t="s">
        <v>4533</v>
      </c>
      <c r="C31" t="s">
        <v>4534</v>
      </c>
      <c r="D31" t="s">
        <v>4534</v>
      </c>
      <c r="E31" t="s">
        <v>4535</v>
      </c>
      <c r="G31" t="s">
        <v>4523</v>
      </c>
      <c r="H31" t="s">
        <v>4536</v>
      </c>
      <c r="I31">
        <v>1</v>
      </c>
      <c r="J31">
        <v>2</v>
      </c>
      <c r="K31" t="s">
        <v>978</v>
      </c>
      <c r="L31">
        <v>5</v>
      </c>
      <c r="M31">
        <v>215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750056</v>
      </c>
      <c r="V31">
        <v>750058</v>
      </c>
      <c r="W31" t="s">
        <v>1844</v>
      </c>
      <c r="X31" t="s">
        <v>4537</v>
      </c>
      <c r="Y31" t="s">
        <v>329</v>
      </c>
      <c r="Z31">
        <v>750057</v>
      </c>
      <c r="AA31">
        <v>10</v>
      </c>
      <c r="AB31">
        <v>10</v>
      </c>
      <c r="AC31">
        <v>5</v>
      </c>
      <c r="AD31">
        <v>5</v>
      </c>
      <c r="AE31">
        <v>80</v>
      </c>
      <c r="AF31">
        <v>140</v>
      </c>
      <c r="AG31">
        <v>70</v>
      </c>
      <c r="AH31">
        <v>130</v>
      </c>
      <c r="AI31">
        <v>55</v>
      </c>
      <c r="AJ31">
        <v>0</v>
      </c>
      <c r="AK31">
        <v>180</v>
      </c>
      <c r="AL31">
        <v>50</v>
      </c>
      <c r="AM31">
        <v>200</v>
      </c>
      <c r="AN31">
        <v>95</v>
      </c>
      <c r="AO31">
        <v>6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329</v>
      </c>
      <c r="AV31" t="s">
        <v>329</v>
      </c>
      <c r="AW31" t="s">
        <v>329</v>
      </c>
      <c r="AX31" t="s">
        <v>329</v>
      </c>
      <c r="AY31">
        <v>56</v>
      </c>
      <c r="AZ31">
        <v>3045</v>
      </c>
      <c r="BA31">
        <v>17</v>
      </c>
      <c r="BB31" t="s">
        <v>4530</v>
      </c>
      <c r="BC31" t="s">
        <v>1844</v>
      </c>
      <c r="BD31">
        <v>911006</v>
      </c>
      <c r="BE31" t="s">
        <v>4531</v>
      </c>
      <c r="BF31" t="s">
        <v>4532</v>
      </c>
      <c r="BG31">
        <v>95</v>
      </c>
      <c r="BH31">
        <v>0</v>
      </c>
    </row>
    <row r="32" spans="1:61" x14ac:dyDescent="0.25">
      <c r="A32">
        <v>2006</v>
      </c>
      <c r="B32" t="s">
        <v>4660</v>
      </c>
      <c r="C32" t="s">
        <v>1002</v>
      </c>
      <c r="D32" t="s">
        <v>1002</v>
      </c>
      <c r="E32" t="s">
        <v>4661</v>
      </c>
      <c r="G32" t="s">
        <v>4523</v>
      </c>
      <c r="H32" t="s">
        <v>4662</v>
      </c>
      <c r="I32">
        <v>1</v>
      </c>
      <c r="J32">
        <v>2</v>
      </c>
      <c r="K32" t="s">
        <v>999</v>
      </c>
      <c r="L32">
        <v>1</v>
      </c>
      <c r="M32">
        <v>206</v>
      </c>
      <c r="N32" t="s">
        <v>979</v>
      </c>
      <c r="O32">
        <v>10</v>
      </c>
      <c r="P32">
        <v>0</v>
      </c>
      <c r="Q32">
        <v>4</v>
      </c>
      <c r="R32">
        <v>0</v>
      </c>
      <c r="S32">
        <v>1</v>
      </c>
      <c r="T32">
        <v>0</v>
      </c>
      <c r="U32">
        <v>900617</v>
      </c>
      <c r="V32">
        <v>900618</v>
      </c>
      <c r="W32" t="s">
        <v>1844</v>
      </c>
      <c r="X32" t="s">
        <v>4663</v>
      </c>
      <c r="Y32" t="s">
        <v>4664</v>
      </c>
      <c r="Z32">
        <v>900615</v>
      </c>
      <c r="AA32">
        <v>10</v>
      </c>
      <c r="AB32">
        <v>10</v>
      </c>
      <c r="AC32">
        <v>5</v>
      </c>
      <c r="AD32">
        <v>5</v>
      </c>
      <c r="AE32">
        <v>165</v>
      </c>
      <c r="AF32">
        <v>130</v>
      </c>
      <c r="AG32">
        <v>85</v>
      </c>
      <c r="AH32">
        <v>110</v>
      </c>
      <c r="AI32">
        <v>50</v>
      </c>
      <c r="AJ32">
        <v>120</v>
      </c>
      <c r="AK32">
        <v>180</v>
      </c>
      <c r="AL32">
        <v>20</v>
      </c>
      <c r="AM32">
        <v>150</v>
      </c>
      <c r="AN32">
        <v>75</v>
      </c>
      <c r="AO32">
        <v>8</v>
      </c>
      <c r="AP32">
        <v>0</v>
      </c>
      <c r="AQ32">
        <v>2</v>
      </c>
      <c r="AR32">
        <v>15</v>
      </c>
      <c r="AS32">
        <v>500</v>
      </c>
      <c r="AT32">
        <v>5</v>
      </c>
      <c r="AU32" t="s">
        <v>329</v>
      </c>
      <c r="AV32" t="s">
        <v>329</v>
      </c>
      <c r="AW32" t="s">
        <v>329</v>
      </c>
      <c r="AX32" t="s">
        <v>329</v>
      </c>
      <c r="AY32">
        <v>16</v>
      </c>
      <c r="AZ32">
        <v>3045</v>
      </c>
      <c r="BA32">
        <v>9</v>
      </c>
      <c r="BB32" t="s">
        <v>4530</v>
      </c>
      <c r="BC32" t="s">
        <v>1844</v>
      </c>
      <c r="BD32">
        <v>910010</v>
      </c>
      <c r="BE32" t="s">
        <v>4531</v>
      </c>
      <c r="BF32" t="s">
        <v>4532</v>
      </c>
      <c r="BG32">
        <v>100</v>
      </c>
      <c r="BH32">
        <v>0</v>
      </c>
    </row>
    <row r="33" spans="1:61" x14ac:dyDescent="0.25">
      <c r="A33">
        <v>2004</v>
      </c>
      <c r="B33" t="s">
        <v>4665</v>
      </c>
      <c r="C33" t="s">
        <v>998</v>
      </c>
      <c r="D33" t="s">
        <v>998</v>
      </c>
      <c r="E33" t="s">
        <v>4666</v>
      </c>
      <c r="G33" t="s">
        <v>4523</v>
      </c>
      <c r="H33" t="s">
        <v>4667</v>
      </c>
      <c r="I33">
        <v>1</v>
      </c>
      <c r="J33">
        <v>2</v>
      </c>
      <c r="K33" t="s">
        <v>999</v>
      </c>
      <c r="L33">
        <v>5</v>
      </c>
      <c r="M33">
        <v>204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900612</v>
      </c>
      <c r="V33">
        <v>900613</v>
      </c>
      <c r="W33" t="s">
        <v>1844</v>
      </c>
      <c r="X33" t="s">
        <v>4537</v>
      </c>
      <c r="Y33" t="s">
        <v>329</v>
      </c>
      <c r="Z33">
        <v>900611</v>
      </c>
      <c r="AA33">
        <v>10</v>
      </c>
      <c r="AB33">
        <v>10</v>
      </c>
      <c r="AC33">
        <v>5</v>
      </c>
      <c r="AD33">
        <v>5</v>
      </c>
      <c r="AE33">
        <v>98</v>
      </c>
      <c r="AF33">
        <v>165</v>
      </c>
      <c r="AG33">
        <v>60</v>
      </c>
      <c r="AH33">
        <v>110</v>
      </c>
      <c r="AI33">
        <v>30</v>
      </c>
      <c r="AJ33">
        <v>50</v>
      </c>
      <c r="AK33">
        <v>100</v>
      </c>
      <c r="AL33">
        <v>20</v>
      </c>
      <c r="AM33">
        <v>150</v>
      </c>
      <c r="AN33">
        <v>95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14</v>
      </c>
      <c r="AZ33">
        <v>3045</v>
      </c>
      <c r="BA33">
        <v>9</v>
      </c>
      <c r="BB33" t="s">
        <v>4530</v>
      </c>
      <c r="BC33" t="s">
        <v>1844</v>
      </c>
      <c r="BD33">
        <v>910016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2011</v>
      </c>
      <c r="B34" t="s">
        <v>4668</v>
      </c>
      <c r="C34" t="s">
        <v>1006</v>
      </c>
      <c r="D34" t="s">
        <v>1006</v>
      </c>
      <c r="E34" t="s">
        <v>4669</v>
      </c>
      <c r="G34" t="s">
        <v>4523</v>
      </c>
      <c r="H34" t="s">
        <v>4670</v>
      </c>
      <c r="I34">
        <v>1</v>
      </c>
      <c r="J34">
        <v>2</v>
      </c>
      <c r="K34" t="s">
        <v>1007</v>
      </c>
      <c r="L34">
        <v>5</v>
      </c>
      <c r="M34">
        <v>211</v>
      </c>
      <c r="N34" t="s">
        <v>979</v>
      </c>
      <c r="O34">
        <v>4</v>
      </c>
      <c r="P34">
        <v>0</v>
      </c>
      <c r="Q34">
        <v>4</v>
      </c>
      <c r="R34">
        <v>0</v>
      </c>
      <c r="S34">
        <v>1</v>
      </c>
      <c r="T34">
        <v>0</v>
      </c>
      <c r="U34">
        <v>900934</v>
      </c>
      <c r="V34">
        <v>900937</v>
      </c>
      <c r="W34" t="s">
        <v>1844</v>
      </c>
      <c r="X34" t="s">
        <v>4537</v>
      </c>
      <c r="Y34" t="s">
        <v>4671</v>
      </c>
      <c r="Z34">
        <v>900574</v>
      </c>
      <c r="AA34">
        <v>10</v>
      </c>
      <c r="AB34">
        <v>10</v>
      </c>
      <c r="AC34">
        <v>5</v>
      </c>
      <c r="AD34">
        <v>5</v>
      </c>
      <c r="AE34">
        <v>95</v>
      </c>
      <c r="AF34">
        <v>75</v>
      </c>
      <c r="AG34">
        <v>120</v>
      </c>
      <c r="AH34">
        <v>110</v>
      </c>
      <c r="AI34">
        <v>95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4</v>
      </c>
      <c r="AU34" t="s">
        <v>329</v>
      </c>
      <c r="AV34" t="s">
        <v>329</v>
      </c>
      <c r="AW34" t="s">
        <v>329</v>
      </c>
      <c r="AX34" t="s">
        <v>329</v>
      </c>
      <c r="AY34">
        <v>55</v>
      </c>
      <c r="AZ34">
        <v>3045</v>
      </c>
      <c r="BA34">
        <v>21</v>
      </c>
      <c r="BB34" t="s">
        <v>4530</v>
      </c>
      <c r="BC34" t="s">
        <v>1844</v>
      </c>
      <c r="BD34">
        <v>911001</v>
      </c>
      <c r="BE34" t="s">
        <v>4531</v>
      </c>
      <c r="BF34" t="s">
        <v>4532</v>
      </c>
      <c r="BG34">
        <v>80</v>
      </c>
      <c r="BH34">
        <v>0</v>
      </c>
    </row>
    <row r="35" spans="1:61" x14ac:dyDescent="0.25">
      <c r="A35">
        <v>2018</v>
      </c>
      <c r="B35" t="s">
        <v>6574</v>
      </c>
      <c r="C35" t="s">
        <v>6582</v>
      </c>
      <c r="D35" t="s">
        <v>6575</v>
      </c>
      <c r="E35" t="s">
        <v>6576</v>
      </c>
      <c r="G35" t="s">
        <v>4523</v>
      </c>
      <c r="H35" t="s">
        <v>6577</v>
      </c>
      <c r="I35">
        <v>1</v>
      </c>
      <c r="J35">
        <v>2</v>
      </c>
      <c r="K35" t="s">
        <v>999</v>
      </c>
      <c r="L35">
        <v>1</v>
      </c>
      <c r="M35">
        <v>218</v>
      </c>
      <c r="N35" t="s">
        <v>6578</v>
      </c>
      <c r="O35">
        <v>8</v>
      </c>
      <c r="P35">
        <v>0</v>
      </c>
      <c r="Q35">
        <v>4</v>
      </c>
      <c r="R35">
        <v>0</v>
      </c>
      <c r="S35">
        <v>1</v>
      </c>
      <c r="T35">
        <v>0</v>
      </c>
      <c r="U35">
        <v>750433</v>
      </c>
      <c r="V35">
        <v>750444</v>
      </c>
      <c r="W35" t="s">
        <v>1844</v>
      </c>
      <c r="X35" t="s">
        <v>6579</v>
      </c>
      <c r="Y35" t="s">
        <v>6580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330</v>
      </c>
      <c r="AG35">
        <v>95</v>
      </c>
      <c r="AH35">
        <v>300</v>
      </c>
      <c r="AI35">
        <v>0</v>
      </c>
      <c r="AJ35">
        <v>85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123</v>
      </c>
      <c r="AZ35">
        <v>3045</v>
      </c>
      <c r="BA35">
        <v>21</v>
      </c>
      <c r="BB35" t="s">
        <v>4530</v>
      </c>
      <c r="BC35" t="s">
        <v>1844</v>
      </c>
      <c r="BD35">
        <v>913217</v>
      </c>
      <c r="BE35" t="s">
        <v>4531</v>
      </c>
      <c r="BF35" t="s">
        <v>4532</v>
      </c>
      <c r="BG35">
        <v>100</v>
      </c>
      <c r="BH35">
        <v>0</v>
      </c>
      <c r="BI35">
        <v>0</v>
      </c>
    </row>
    <row r="36" spans="1:61" x14ac:dyDescent="0.25">
      <c r="A36">
        <v>2009</v>
      </c>
      <c r="B36" t="s">
        <v>4672</v>
      </c>
      <c r="C36" t="s">
        <v>1004</v>
      </c>
      <c r="D36" t="s">
        <v>1004</v>
      </c>
      <c r="E36" t="s">
        <v>4673</v>
      </c>
      <c r="G36" t="s">
        <v>4523</v>
      </c>
      <c r="H36" t="s">
        <v>4674</v>
      </c>
      <c r="I36">
        <v>1</v>
      </c>
      <c r="J36">
        <v>2</v>
      </c>
      <c r="K36" t="s">
        <v>978</v>
      </c>
      <c r="L36">
        <v>5</v>
      </c>
      <c r="M36">
        <v>209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900770</v>
      </c>
      <c r="V36">
        <v>910774</v>
      </c>
      <c r="W36" t="s">
        <v>1844</v>
      </c>
      <c r="X36" t="s">
        <v>4675</v>
      </c>
      <c r="Y36" t="s">
        <v>4676</v>
      </c>
      <c r="Z36">
        <v>900772</v>
      </c>
      <c r="AA36">
        <v>10</v>
      </c>
      <c r="AB36">
        <v>10</v>
      </c>
      <c r="AC36">
        <v>5</v>
      </c>
      <c r="AD36">
        <v>5</v>
      </c>
      <c r="AE36">
        <v>115</v>
      </c>
      <c r="AF36">
        <v>72</v>
      </c>
      <c r="AG36">
        <v>100</v>
      </c>
      <c r="AH36">
        <v>85</v>
      </c>
      <c r="AI36">
        <v>140</v>
      </c>
      <c r="AJ36">
        <v>0</v>
      </c>
      <c r="AK36">
        <v>15</v>
      </c>
      <c r="AL36">
        <v>10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86</v>
      </c>
      <c r="AZ36">
        <v>3045</v>
      </c>
      <c r="BA36">
        <v>8</v>
      </c>
      <c r="BB36" t="s">
        <v>4530</v>
      </c>
      <c r="BC36" t="s">
        <v>1844</v>
      </c>
      <c r="BD36">
        <v>911104</v>
      </c>
      <c r="BE36" t="s">
        <v>4531</v>
      </c>
      <c r="BF36" t="s">
        <v>4532</v>
      </c>
      <c r="BG36">
        <v>90</v>
      </c>
      <c r="BH36">
        <v>0</v>
      </c>
    </row>
    <row r="37" spans="1:61" x14ac:dyDescent="0.25">
      <c r="A37">
        <v>2013</v>
      </c>
      <c r="B37" t="s">
        <v>4677</v>
      </c>
      <c r="C37" t="s">
        <v>1009</v>
      </c>
      <c r="D37" t="s">
        <v>1009</v>
      </c>
      <c r="E37" t="s">
        <v>4678</v>
      </c>
      <c r="G37" t="s">
        <v>4523</v>
      </c>
      <c r="H37" t="s">
        <v>4679</v>
      </c>
      <c r="I37">
        <v>1</v>
      </c>
      <c r="J37">
        <v>2</v>
      </c>
      <c r="K37" t="s">
        <v>978</v>
      </c>
      <c r="L37">
        <v>5</v>
      </c>
      <c r="M37">
        <v>213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901251</v>
      </c>
      <c r="V37">
        <v>901253</v>
      </c>
      <c r="W37" t="s">
        <v>1844</v>
      </c>
      <c r="X37" t="s">
        <v>4680</v>
      </c>
      <c r="Y37" t="s">
        <v>4681</v>
      </c>
      <c r="Z37">
        <v>901250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100</v>
      </c>
      <c r="AG37">
        <v>115</v>
      </c>
      <c r="AH37">
        <v>80</v>
      </c>
      <c r="AI37">
        <v>45</v>
      </c>
      <c r="AJ37">
        <v>0</v>
      </c>
      <c r="AK37">
        <v>180</v>
      </c>
      <c r="AL37">
        <v>5</v>
      </c>
      <c r="AM37">
        <v>150</v>
      </c>
      <c r="AN37">
        <v>95</v>
      </c>
      <c r="AO37">
        <v>5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329</v>
      </c>
      <c r="AV37" t="s">
        <v>329</v>
      </c>
      <c r="AW37" t="s">
        <v>329</v>
      </c>
      <c r="AX37" t="s">
        <v>329</v>
      </c>
      <c r="AY37">
        <v>59</v>
      </c>
      <c r="AZ37">
        <v>3045</v>
      </c>
      <c r="BA37">
        <v>18</v>
      </c>
      <c r="BB37" t="s">
        <v>4530</v>
      </c>
      <c r="BC37" t="s">
        <v>1844</v>
      </c>
      <c r="BD37">
        <v>911012</v>
      </c>
      <c r="BE37" t="s">
        <v>4531</v>
      </c>
      <c r="BF37" t="s">
        <v>4532</v>
      </c>
      <c r="BG37">
        <v>95</v>
      </c>
      <c r="BH37">
        <v>0</v>
      </c>
    </row>
    <row r="38" spans="1:61" x14ac:dyDescent="0.25">
      <c r="A38">
        <v>2005</v>
      </c>
      <c r="B38" t="s">
        <v>4682</v>
      </c>
      <c r="C38" t="s">
        <v>1000</v>
      </c>
      <c r="D38" t="s">
        <v>1000</v>
      </c>
      <c r="E38" t="s">
        <v>4683</v>
      </c>
      <c r="G38" t="s">
        <v>4523</v>
      </c>
      <c r="H38" t="s">
        <v>4684</v>
      </c>
      <c r="I38">
        <v>1</v>
      </c>
      <c r="J38">
        <v>2</v>
      </c>
      <c r="K38" t="s">
        <v>1001</v>
      </c>
      <c r="L38">
        <v>5</v>
      </c>
      <c r="M38">
        <v>205</v>
      </c>
      <c r="N38" t="s">
        <v>979</v>
      </c>
      <c r="O38">
        <v>3</v>
      </c>
      <c r="P38">
        <v>0</v>
      </c>
      <c r="Q38">
        <v>4</v>
      </c>
      <c r="R38">
        <v>0</v>
      </c>
      <c r="S38">
        <v>1</v>
      </c>
      <c r="T38">
        <v>0</v>
      </c>
      <c r="U38">
        <v>900653</v>
      </c>
      <c r="V38">
        <v>900661</v>
      </c>
      <c r="W38" t="s">
        <v>1844</v>
      </c>
      <c r="X38" t="s">
        <v>4685</v>
      </c>
      <c r="Y38" t="s">
        <v>4686</v>
      </c>
      <c r="Z38">
        <v>900655</v>
      </c>
      <c r="AA38">
        <v>10</v>
      </c>
      <c r="AB38">
        <v>10</v>
      </c>
      <c r="AC38">
        <v>5</v>
      </c>
      <c r="AD38">
        <v>5</v>
      </c>
      <c r="AE38">
        <v>36</v>
      </c>
      <c r="AF38">
        <v>100</v>
      </c>
      <c r="AG38">
        <v>105</v>
      </c>
      <c r="AH38">
        <v>105</v>
      </c>
      <c r="AI38">
        <v>50</v>
      </c>
      <c r="AJ38">
        <v>60</v>
      </c>
      <c r="AK38">
        <v>15</v>
      </c>
      <c r="AL38">
        <v>20</v>
      </c>
      <c r="AM38">
        <v>150</v>
      </c>
      <c r="AN38">
        <v>95</v>
      </c>
      <c r="AO38">
        <v>10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30</v>
      </c>
      <c r="AZ38">
        <v>3045</v>
      </c>
      <c r="BA38">
        <v>9</v>
      </c>
      <c r="BB38" t="s">
        <v>4530</v>
      </c>
      <c r="BC38" t="s">
        <v>1844</v>
      </c>
      <c r="BD38">
        <v>910018</v>
      </c>
      <c r="BE38" t="s">
        <v>4531</v>
      </c>
      <c r="BF38" t="s">
        <v>4532</v>
      </c>
      <c r="BG38">
        <v>100</v>
      </c>
      <c r="BH38">
        <v>0</v>
      </c>
    </row>
    <row r="39" spans="1:61" x14ac:dyDescent="0.25">
      <c r="A39">
        <v>2017</v>
      </c>
      <c r="B39" t="s">
        <v>6396</v>
      </c>
      <c r="C39" t="s">
        <v>6403</v>
      </c>
      <c r="D39" t="s">
        <v>6397</v>
      </c>
      <c r="E39" t="s">
        <v>6398</v>
      </c>
      <c r="G39" t="s">
        <v>4523</v>
      </c>
      <c r="H39" t="s">
        <v>6399</v>
      </c>
      <c r="I39">
        <v>1</v>
      </c>
      <c r="J39">
        <v>2</v>
      </c>
      <c r="K39" t="s">
        <v>978</v>
      </c>
      <c r="L39">
        <v>5</v>
      </c>
      <c r="M39">
        <v>217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900841</v>
      </c>
      <c r="V39">
        <v>750377</v>
      </c>
      <c r="W39" t="s">
        <v>1844</v>
      </c>
      <c r="X39" t="s">
        <v>4537</v>
      </c>
      <c r="Y39" t="s">
        <v>329</v>
      </c>
      <c r="Z39">
        <v>750378</v>
      </c>
      <c r="AA39">
        <v>10</v>
      </c>
      <c r="AB39">
        <v>10</v>
      </c>
      <c r="AC39">
        <v>5</v>
      </c>
      <c r="AD39">
        <v>5</v>
      </c>
      <c r="AE39">
        <v>110</v>
      </c>
      <c r="AF39">
        <v>80</v>
      </c>
      <c r="AG39">
        <v>110</v>
      </c>
      <c r="AH39">
        <v>125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121</v>
      </c>
      <c r="AZ39">
        <v>3045</v>
      </c>
      <c r="BA39">
        <v>8</v>
      </c>
      <c r="BB39" t="s">
        <v>4530</v>
      </c>
      <c r="BC39" t="s">
        <v>1844</v>
      </c>
      <c r="BD39">
        <v>913101</v>
      </c>
      <c r="BE39" t="s">
        <v>4531</v>
      </c>
      <c r="BF39" t="s">
        <v>4532</v>
      </c>
      <c r="BG39">
        <v>90</v>
      </c>
      <c r="BH39">
        <v>0</v>
      </c>
      <c r="BI39">
        <v>0</v>
      </c>
    </row>
    <row r="40" spans="1:61" x14ac:dyDescent="0.25">
      <c r="A40">
        <v>2010</v>
      </c>
      <c r="B40" t="s">
        <v>4687</v>
      </c>
      <c r="C40" t="s">
        <v>1005</v>
      </c>
      <c r="D40" t="s">
        <v>1005</v>
      </c>
      <c r="E40" t="s">
        <v>4688</v>
      </c>
      <c r="G40" t="s">
        <v>4523</v>
      </c>
      <c r="H40" t="s">
        <v>4689</v>
      </c>
      <c r="I40">
        <v>1</v>
      </c>
      <c r="J40">
        <v>2</v>
      </c>
      <c r="K40" t="s">
        <v>978</v>
      </c>
      <c r="L40">
        <v>5</v>
      </c>
      <c r="M40">
        <v>210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900842</v>
      </c>
      <c r="W40" t="s">
        <v>1844</v>
      </c>
      <c r="X40" t="s">
        <v>4537</v>
      </c>
      <c r="Y40" t="s">
        <v>4690</v>
      </c>
      <c r="Z40">
        <v>900840</v>
      </c>
      <c r="AA40">
        <v>10</v>
      </c>
      <c r="AB40">
        <v>10</v>
      </c>
      <c r="AC40">
        <v>5</v>
      </c>
      <c r="AD40">
        <v>5</v>
      </c>
      <c r="AE40">
        <v>95</v>
      </c>
      <c r="AF40">
        <v>95</v>
      </c>
      <c r="AG40">
        <v>105</v>
      </c>
      <c r="AH40">
        <v>115</v>
      </c>
      <c r="AI40">
        <v>95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94</v>
      </c>
      <c r="AZ40">
        <v>3045</v>
      </c>
      <c r="BA40">
        <v>8</v>
      </c>
      <c r="BB40" t="s">
        <v>4530</v>
      </c>
      <c r="BC40" t="s">
        <v>1844</v>
      </c>
      <c r="BD40">
        <v>911105</v>
      </c>
      <c r="BE40" t="s">
        <v>4531</v>
      </c>
      <c r="BF40" t="s">
        <v>4532</v>
      </c>
      <c r="BG40">
        <v>90</v>
      </c>
      <c r="BH40">
        <v>0</v>
      </c>
    </row>
    <row r="41" spans="1:61" x14ac:dyDescent="0.25">
      <c r="A41">
        <v>3006</v>
      </c>
      <c r="B41" t="s">
        <v>4691</v>
      </c>
      <c r="C41" t="s">
        <v>1016</v>
      </c>
      <c r="D41" t="s">
        <v>1016</v>
      </c>
      <c r="E41" t="s">
        <v>4692</v>
      </c>
      <c r="G41" t="s">
        <v>4523</v>
      </c>
      <c r="H41" t="s">
        <v>4693</v>
      </c>
      <c r="I41">
        <v>1</v>
      </c>
      <c r="J41">
        <v>3</v>
      </c>
      <c r="K41" t="s">
        <v>1007</v>
      </c>
      <c r="L41">
        <v>5</v>
      </c>
      <c r="M41">
        <v>306</v>
      </c>
      <c r="N41" t="s">
        <v>979</v>
      </c>
      <c r="O41">
        <v>2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900676</v>
      </c>
      <c r="W41" t="s">
        <v>1844</v>
      </c>
      <c r="X41" t="s">
        <v>4685</v>
      </c>
      <c r="Y41" t="s">
        <v>4694</v>
      </c>
      <c r="Z41">
        <v>900654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90</v>
      </c>
      <c r="AG41">
        <v>100</v>
      </c>
      <c r="AH41">
        <v>100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6</v>
      </c>
      <c r="AZ41">
        <v>3045</v>
      </c>
      <c r="BA41">
        <v>18</v>
      </c>
      <c r="BB41" t="s">
        <v>4530</v>
      </c>
      <c r="BC41" t="s">
        <v>1844</v>
      </c>
      <c r="BD41">
        <v>910003</v>
      </c>
      <c r="BE41" t="s">
        <v>4531</v>
      </c>
      <c r="BF41" t="s">
        <v>4532</v>
      </c>
      <c r="BG41">
        <v>95</v>
      </c>
      <c r="BH41">
        <v>0</v>
      </c>
    </row>
    <row r="42" spans="1:61" x14ac:dyDescent="0.25">
      <c r="A42">
        <v>3010</v>
      </c>
      <c r="B42" t="s">
        <v>4695</v>
      </c>
      <c r="C42" t="s">
        <v>1021</v>
      </c>
      <c r="D42" t="s">
        <v>1021</v>
      </c>
      <c r="E42" t="s">
        <v>4696</v>
      </c>
      <c r="G42" t="s">
        <v>4523</v>
      </c>
      <c r="H42" t="s">
        <v>4697</v>
      </c>
      <c r="I42">
        <v>1</v>
      </c>
      <c r="J42">
        <v>3</v>
      </c>
      <c r="K42" t="s">
        <v>999</v>
      </c>
      <c r="L42">
        <v>1</v>
      </c>
      <c r="M42">
        <v>310</v>
      </c>
      <c r="N42" t="s">
        <v>979</v>
      </c>
      <c r="O42">
        <v>8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901041</v>
      </c>
      <c r="W42" t="s">
        <v>1844</v>
      </c>
      <c r="X42" t="s">
        <v>4698</v>
      </c>
      <c r="Y42" t="s">
        <v>329</v>
      </c>
      <c r="Z42">
        <v>900107</v>
      </c>
      <c r="AA42">
        <v>10</v>
      </c>
      <c r="AB42">
        <v>10</v>
      </c>
      <c r="AC42">
        <v>5</v>
      </c>
      <c r="AD42">
        <v>5</v>
      </c>
      <c r="AE42">
        <v>160</v>
      </c>
      <c r="AF42">
        <v>320</v>
      </c>
      <c r="AG42">
        <v>90</v>
      </c>
      <c r="AH42">
        <v>350</v>
      </c>
      <c r="AI42">
        <v>0</v>
      </c>
      <c r="AJ42">
        <v>90</v>
      </c>
      <c r="AK42">
        <v>100</v>
      </c>
      <c r="AL42">
        <v>5</v>
      </c>
      <c r="AM42">
        <v>150</v>
      </c>
      <c r="AN42">
        <v>75</v>
      </c>
      <c r="AO42">
        <v>3</v>
      </c>
      <c r="AP42">
        <v>0</v>
      </c>
      <c r="AQ42">
        <v>2</v>
      </c>
      <c r="AR42">
        <v>15</v>
      </c>
      <c r="AS42">
        <v>500</v>
      </c>
      <c r="AT42">
        <v>5</v>
      </c>
      <c r="AU42" t="s">
        <v>329</v>
      </c>
      <c r="AV42" t="s">
        <v>329</v>
      </c>
      <c r="AW42" t="s">
        <v>329</v>
      </c>
      <c r="AX42" t="s">
        <v>329</v>
      </c>
      <c r="AY42">
        <v>99</v>
      </c>
      <c r="AZ42">
        <v>3045</v>
      </c>
      <c r="BA42">
        <v>21</v>
      </c>
      <c r="BB42" t="s">
        <v>4530</v>
      </c>
      <c r="BC42" t="s">
        <v>1844</v>
      </c>
      <c r="BD42">
        <v>910021</v>
      </c>
      <c r="BE42" t="s">
        <v>4531</v>
      </c>
      <c r="BF42" t="s">
        <v>4532</v>
      </c>
      <c r="BG42">
        <v>100</v>
      </c>
      <c r="BH42">
        <v>0</v>
      </c>
    </row>
    <row r="43" spans="1:61" x14ac:dyDescent="0.25">
      <c r="A43">
        <v>3003</v>
      </c>
      <c r="B43" t="s">
        <v>4699</v>
      </c>
      <c r="C43" t="s">
        <v>1013</v>
      </c>
      <c r="D43" t="s">
        <v>1013</v>
      </c>
      <c r="E43" t="s">
        <v>4700</v>
      </c>
      <c r="G43" t="s">
        <v>4523</v>
      </c>
      <c r="H43" t="s">
        <v>4701</v>
      </c>
      <c r="I43">
        <v>1</v>
      </c>
      <c r="J43">
        <v>3</v>
      </c>
      <c r="K43" t="s">
        <v>981</v>
      </c>
      <c r="L43">
        <v>5</v>
      </c>
      <c r="M43">
        <v>303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900525</v>
      </c>
      <c r="W43" t="s">
        <v>1844</v>
      </c>
      <c r="X43" t="s">
        <v>4537</v>
      </c>
      <c r="Y43" t="s">
        <v>4702</v>
      </c>
      <c r="Z43">
        <v>900524</v>
      </c>
      <c r="AA43">
        <v>10</v>
      </c>
      <c r="AB43">
        <v>10</v>
      </c>
      <c r="AC43">
        <v>5</v>
      </c>
      <c r="AD43">
        <v>5</v>
      </c>
      <c r="AE43">
        <v>135</v>
      </c>
      <c r="AF43">
        <v>80</v>
      </c>
      <c r="AG43">
        <v>75</v>
      </c>
      <c r="AH43">
        <v>120</v>
      </c>
      <c r="AI43">
        <v>80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10</v>
      </c>
      <c r="AZ43">
        <v>3045</v>
      </c>
      <c r="BA43">
        <v>16</v>
      </c>
      <c r="BB43" t="s">
        <v>4530</v>
      </c>
      <c r="BC43" t="s">
        <v>1844</v>
      </c>
      <c r="BD43">
        <v>910007</v>
      </c>
      <c r="BE43" t="s">
        <v>4531</v>
      </c>
      <c r="BF43" t="s">
        <v>4532</v>
      </c>
      <c r="BG43">
        <v>92</v>
      </c>
      <c r="BH43">
        <v>0</v>
      </c>
    </row>
    <row r="44" spans="1:61" x14ac:dyDescent="0.25">
      <c r="A44">
        <v>3004</v>
      </c>
      <c r="B44" t="s">
        <v>4703</v>
      </c>
      <c r="C44" t="s">
        <v>1014</v>
      </c>
      <c r="D44" t="s">
        <v>1014</v>
      </c>
      <c r="E44" t="s">
        <v>4704</v>
      </c>
      <c r="G44" t="s">
        <v>4523</v>
      </c>
      <c r="H44" t="s">
        <v>4705</v>
      </c>
      <c r="I44">
        <v>1</v>
      </c>
      <c r="J44">
        <v>3</v>
      </c>
      <c r="K44" t="s">
        <v>978</v>
      </c>
      <c r="L44">
        <v>5</v>
      </c>
      <c r="M44">
        <v>304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900523</v>
      </c>
      <c r="W44" t="s">
        <v>1844</v>
      </c>
      <c r="X44" t="s">
        <v>4537</v>
      </c>
      <c r="Y44" t="s">
        <v>329</v>
      </c>
      <c r="Z44">
        <v>900522</v>
      </c>
      <c r="AA44">
        <v>10</v>
      </c>
      <c r="AB44">
        <v>10</v>
      </c>
      <c r="AC44">
        <v>5</v>
      </c>
      <c r="AD44">
        <v>5</v>
      </c>
      <c r="AE44">
        <v>65</v>
      </c>
      <c r="AF44">
        <v>105</v>
      </c>
      <c r="AG44">
        <v>65</v>
      </c>
      <c r="AH44">
        <v>125</v>
      </c>
      <c r="AI44">
        <v>55</v>
      </c>
      <c r="AJ44">
        <v>0</v>
      </c>
      <c r="AK44">
        <v>180</v>
      </c>
      <c r="AL44">
        <v>50</v>
      </c>
      <c r="AM44">
        <v>200</v>
      </c>
      <c r="AN44">
        <v>95</v>
      </c>
      <c r="AO44">
        <v>6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9</v>
      </c>
      <c r="AZ44">
        <v>3045</v>
      </c>
      <c r="BA44">
        <v>17</v>
      </c>
      <c r="BB44" t="s">
        <v>4530</v>
      </c>
      <c r="BC44" t="s">
        <v>1844</v>
      </c>
      <c r="BD44">
        <v>910006</v>
      </c>
      <c r="BE44" t="s">
        <v>4531</v>
      </c>
      <c r="BF44" t="s">
        <v>4532</v>
      </c>
      <c r="BG44">
        <v>100</v>
      </c>
      <c r="BH44">
        <v>0</v>
      </c>
    </row>
    <row r="45" spans="1:61" x14ac:dyDescent="0.25">
      <c r="A45">
        <v>3009</v>
      </c>
      <c r="B45" t="s">
        <v>4706</v>
      </c>
      <c r="C45" t="s">
        <v>1019</v>
      </c>
      <c r="D45" t="s">
        <v>1019</v>
      </c>
      <c r="E45" t="s">
        <v>4707</v>
      </c>
      <c r="G45" t="s">
        <v>4523</v>
      </c>
      <c r="H45" t="s">
        <v>4708</v>
      </c>
      <c r="I45">
        <v>1</v>
      </c>
      <c r="J45">
        <v>3</v>
      </c>
      <c r="K45" t="s">
        <v>1020</v>
      </c>
      <c r="L45">
        <v>5</v>
      </c>
      <c r="M45">
        <v>309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900741</v>
      </c>
      <c r="W45" t="s">
        <v>1844</v>
      </c>
      <c r="X45" t="s">
        <v>4537</v>
      </c>
      <c r="Y45" t="s">
        <v>329</v>
      </c>
      <c r="Z45">
        <v>900740</v>
      </c>
      <c r="AA45">
        <v>10</v>
      </c>
      <c r="AB45">
        <v>10</v>
      </c>
      <c r="AC45">
        <v>5</v>
      </c>
      <c r="AD45">
        <v>5</v>
      </c>
      <c r="AE45">
        <v>55</v>
      </c>
      <c r="AF45">
        <v>72</v>
      </c>
      <c r="AG45">
        <v>50</v>
      </c>
      <c r="AH45">
        <v>130</v>
      </c>
      <c r="AI45">
        <v>90</v>
      </c>
      <c r="AJ45">
        <v>0</v>
      </c>
      <c r="AK45">
        <v>100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13</v>
      </c>
      <c r="AZ45">
        <v>3045</v>
      </c>
      <c r="BA45">
        <v>21</v>
      </c>
      <c r="BB45" t="s">
        <v>4530</v>
      </c>
      <c r="BC45" t="s">
        <v>1844</v>
      </c>
      <c r="BD45">
        <v>910009</v>
      </c>
      <c r="BE45" t="s">
        <v>4531</v>
      </c>
      <c r="BF45" t="s">
        <v>4532</v>
      </c>
      <c r="BG45">
        <v>80</v>
      </c>
      <c r="BH45">
        <v>0</v>
      </c>
    </row>
    <row r="46" spans="1:61" x14ac:dyDescent="0.25">
      <c r="A46">
        <v>3008</v>
      </c>
      <c r="B46" t="s">
        <v>4709</v>
      </c>
      <c r="C46" t="s">
        <v>1018</v>
      </c>
      <c r="D46" t="s">
        <v>1018</v>
      </c>
      <c r="E46" t="s">
        <v>4710</v>
      </c>
      <c r="G46" t="s">
        <v>4523</v>
      </c>
      <c r="H46" t="s">
        <v>4711</v>
      </c>
      <c r="I46">
        <v>1</v>
      </c>
      <c r="J46">
        <v>3</v>
      </c>
      <c r="K46" t="s">
        <v>1007</v>
      </c>
      <c r="L46">
        <v>5</v>
      </c>
      <c r="M46">
        <v>308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900575</v>
      </c>
      <c r="W46" t="s">
        <v>1844</v>
      </c>
      <c r="X46" t="s">
        <v>4537</v>
      </c>
      <c r="Y46" t="s">
        <v>4712</v>
      </c>
      <c r="Z46">
        <v>900574</v>
      </c>
      <c r="AA46">
        <v>10</v>
      </c>
      <c r="AB46">
        <v>10</v>
      </c>
      <c r="AC46">
        <v>5</v>
      </c>
      <c r="AD46">
        <v>5</v>
      </c>
      <c r="AE46">
        <v>90</v>
      </c>
      <c r="AF46">
        <v>68</v>
      </c>
      <c r="AG46">
        <v>120</v>
      </c>
      <c r="AH46">
        <v>110</v>
      </c>
      <c r="AI46">
        <v>95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4</v>
      </c>
      <c r="AU46" t="s">
        <v>329</v>
      </c>
      <c r="AV46" t="s">
        <v>329</v>
      </c>
      <c r="AW46" t="s">
        <v>329</v>
      </c>
      <c r="AX46" t="s">
        <v>329</v>
      </c>
      <c r="AY46">
        <v>2</v>
      </c>
      <c r="AZ46">
        <v>3045</v>
      </c>
      <c r="BA46">
        <v>21</v>
      </c>
      <c r="BB46" t="s">
        <v>4530</v>
      </c>
      <c r="BC46" t="s">
        <v>1844</v>
      </c>
      <c r="BD46">
        <v>910001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3001</v>
      </c>
      <c r="B47" t="s">
        <v>4713</v>
      </c>
      <c r="C47" t="s">
        <v>1011</v>
      </c>
      <c r="D47" t="s">
        <v>1011</v>
      </c>
      <c r="E47" t="s">
        <v>4714</v>
      </c>
      <c r="G47" t="s">
        <v>4523</v>
      </c>
      <c r="H47" t="s">
        <v>4715</v>
      </c>
      <c r="I47">
        <v>1</v>
      </c>
      <c r="J47">
        <v>3</v>
      </c>
      <c r="K47" t="s">
        <v>978</v>
      </c>
      <c r="L47">
        <v>5</v>
      </c>
      <c r="M47">
        <v>301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600501</v>
      </c>
      <c r="W47" t="s">
        <v>1844</v>
      </c>
      <c r="X47" t="s">
        <v>4537</v>
      </c>
      <c r="Y47" t="s">
        <v>4716</v>
      </c>
      <c r="Z47">
        <v>600503</v>
      </c>
      <c r="AA47">
        <v>10</v>
      </c>
      <c r="AB47">
        <v>10</v>
      </c>
      <c r="AC47">
        <v>5</v>
      </c>
      <c r="AD47">
        <v>5</v>
      </c>
      <c r="AE47">
        <v>100</v>
      </c>
      <c r="AF47">
        <v>62</v>
      </c>
      <c r="AG47">
        <v>100</v>
      </c>
      <c r="AH47">
        <v>65</v>
      </c>
      <c r="AI47">
        <v>130</v>
      </c>
      <c r="AJ47">
        <v>0</v>
      </c>
      <c r="AK47">
        <v>15</v>
      </c>
      <c r="AL47">
        <v>10</v>
      </c>
      <c r="AM47">
        <v>150</v>
      </c>
      <c r="AN47">
        <v>95</v>
      </c>
      <c r="AO47">
        <v>15</v>
      </c>
      <c r="AP47">
        <v>0</v>
      </c>
      <c r="AQ47">
        <v>2</v>
      </c>
      <c r="AR47">
        <v>15</v>
      </c>
      <c r="AS47">
        <v>500</v>
      </c>
      <c r="AT47">
        <v>7</v>
      </c>
      <c r="AU47" t="s">
        <v>329</v>
      </c>
      <c r="AV47" t="s">
        <v>329</v>
      </c>
      <c r="AW47" t="s">
        <v>329</v>
      </c>
      <c r="AX47" t="s">
        <v>329</v>
      </c>
      <c r="AY47">
        <v>4</v>
      </c>
      <c r="AZ47">
        <v>3045</v>
      </c>
      <c r="BA47">
        <v>14</v>
      </c>
      <c r="BB47" t="s">
        <v>4530</v>
      </c>
      <c r="BC47" t="s">
        <v>1844</v>
      </c>
      <c r="BD47">
        <v>910004</v>
      </c>
      <c r="BE47" t="s">
        <v>4531</v>
      </c>
      <c r="BF47" t="s">
        <v>4532</v>
      </c>
      <c r="BG47">
        <v>95</v>
      </c>
      <c r="BH47">
        <v>0</v>
      </c>
    </row>
    <row r="48" spans="1:61" x14ac:dyDescent="0.25">
      <c r="A48">
        <v>3007</v>
      </c>
      <c r="B48" t="s">
        <v>4717</v>
      </c>
      <c r="C48" t="s">
        <v>1017</v>
      </c>
      <c r="D48" t="s">
        <v>1017</v>
      </c>
      <c r="E48" t="s">
        <v>4718</v>
      </c>
      <c r="G48" t="s">
        <v>4523</v>
      </c>
      <c r="H48" t="s">
        <v>4719</v>
      </c>
      <c r="I48">
        <v>1</v>
      </c>
      <c r="J48">
        <v>3</v>
      </c>
      <c r="K48" t="s">
        <v>1007</v>
      </c>
      <c r="L48">
        <v>5</v>
      </c>
      <c r="M48">
        <v>307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900573</v>
      </c>
      <c r="W48" t="s">
        <v>1844</v>
      </c>
      <c r="X48" t="s">
        <v>4537</v>
      </c>
      <c r="Y48" t="s">
        <v>329</v>
      </c>
      <c r="Z48">
        <v>900572</v>
      </c>
      <c r="AA48">
        <v>10</v>
      </c>
      <c r="AB48">
        <v>10</v>
      </c>
      <c r="AC48">
        <v>5</v>
      </c>
      <c r="AD48">
        <v>5</v>
      </c>
      <c r="AE48">
        <v>75</v>
      </c>
      <c r="AF48">
        <v>72</v>
      </c>
      <c r="AG48">
        <v>100</v>
      </c>
      <c r="AH48">
        <v>100</v>
      </c>
      <c r="AI48">
        <v>140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5</v>
      </c>
      <c r="AU48" t="s">
        <v>329</v>
      </c>
      <c r="AV48" t="s">
        <v>329</v>
      </c>
      <c r="AW48" t="s">
        <v>329</v>
      </c>
      <c r="AX48" t="s">
        <v>329</v>
      </c>
      <c r="AY48">
        <v>3</v>
      </c>
      <c r="AZ48">
        <v>3045</v>
      </c>
      <c r="BA48">
        <v>20</v>
      </c>
      <c r="BB48" t="s">
        <v>4530</v>
      </c>
      <c r="BC48" t="s">
        <v>1844</v>
      </c>
      <c r="BD48">
        <v>910002</v>
      </c>
      <c r="BE48" t="s">
        <v>4531</v>
      </c>
      <c r="BF48" t="s">
        <v>4532</v>
      </c>
      <c r="BG48">
        <v>80</v>
      </c>
      <c r="BH48">
        <v>0</v>
      </c>
    </row>
    <row r="49" spans="1:60" x14ac:dyDescent="0.25">
      <c r="A49">
        <v>3005</v>
      </c>
      <c r="B49" t="s">
        <v>4720</v>
      </c>
      <c r="C49" t="s">
        <v>1015</v>
      </c>
      <c r="D49" t="s">
        <v>1015</v>
      </c>
      <c r="E49" t="s">
        <v>4721</v>
      </c>
      <c r="G49" t="s">
        <v>4523</v>
      </c>
      <c r="H49" t="s">
        <v>4722</v>
      </c>
      <c r="I49">
        <v>1</v>
      </c>
      <c r="J49">
        <v>3</v>
      </c>
      <c r="K49" t="s">
        <v>978</v>
      </c>
      <c r="L49">
        <v>5</v>
      </c>
      <c r="M49">
        <v>305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900571</v>
      </c>
      <c r="W49" t="s">
        <v>1844</v>
      </c>
      <c r="X49" t="s">
        <v>4537</v>
      </c>
      <c r="Y49" t="s">
        <v>4723</v>
      </c>
      <c r="Z49">
        <v>900570</v>
      </c>
      <c r="AA49">
        <v>10</v>
      </c>
      <c r="AB49">
        <v>10</v>
      </c>
      <c r="AC49">
        <v>5</v>
      </c>
      <c r="AD49">
        <v>5</v>
      </c>
      <c r="AE49">
        <v>80</v>
      </c>
      <c r="AF49">
        <v>80</v>
      </c>
      <c r="AG49">
        <v>115</v>
      </c>
      <c r="AH49">
        <v>50</v>
      </c>
      <c r="AI49">
        <v>45</v>
      </c>
      <c r="AJ49">
        <v>0</v>
      </c>
      <c r="AK49">
        <v>180</v>
      </c>
      <c r="AL49">
        <v>5</v>
      </c>
      <c r="AM49">
        <v>150</v>
      </c>
      <c r="AN49">
        <v>95</v>
      </c>
      <c r="AO49">
        <v>5</v>
      </c>
      <c r="AP49">
        <v>0</v>
      </c>
      <c r="AQ49">
        <v>2</v>
      </c>
      <c r="AR49">
        <v>15</v>
      </c>
      <c r="AS49">
        <v>500</v>
      </c>
      <c r="AT49">
        <v>9</v>
      </c>
      <c r="AU49" t="s">
        <v>329</v>
      </c>
      <c r="AV49" t="s">
        <v>329</v>
      </c>
      <c r="AW49" t="s">
        <v>329</v>
      </c>
      <c r="AX49" t="s">
        <v>329</v>
      </c>
      <c r="AY49">
        <v>29</v>
      </c>
      <c r="AZ49">
        <v>3045</v>
      </c>
      <c r="BA49">
        <v>18</v>
      </c>
      <c r="BB49" t="s">
        <v>4530</v>
      </c>
      <c r="BC49" t="s">
        <v>1844</v>
      </c>
      <c r="BD49">
        <v>910012</v>
      </c>
      <c r="BE49" t="s">
        <v>4531</v>
      </c>
      <c r="BF49" t="s">
        <v>4532</v>
      </c>
      <c r="BG49">
        <v>95</v>
      </c>
      <c r="BH49">
        <v>0</v>
      </c>
    </row>
    <row r="50" spans="1:60" x14ac:dyDescent="0.25">
      <c r="A50">
        <v>3002</v>
      </c>
      <c r="B50" t="s">
        <v>4724</v>
      </c>
      <c r="C50" t="s">
        <v>1012</v>
      </c>
      <c r="D50" t="s">
        <v>1012</v>
      </c>
      <c r="E50" t="s">
        <v>4725</v>
      </c>
      <c r="G50" t="s">
        <v>4523</v>
      </c>
      <c r="H50" t="s">
        <v>4726</v>
      </c>
      <c r="I50">
        <v>1</v>
      </c>
      <c r="J50">
        <v>3</v>
      </c>
      <c r="K50" t="s">
        <v>978</v>
      </c>
      <c r="L50">
        <v>5</v>
      </c>
      <c r="M50">
        <v>302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600601</v>
      </c>
      <c r="W50" t="s">
        <v>1844</v>
      </c>
      <c r="X50" t="s">
        <v>4537</v>
      </c>
      <c r="Y50" t="s">
        <v>329</v>
      </c>
      <c r="Z50">
        <v>600602</v>
      </c>
      <c r="AA50">
        <v>10</v>
      </c>
      <c r="AB50">
        <v>10</v>
      </c>
      <c r="AC50">
        <v>5</v>
      </c>
      <c r="AD50">
        <v>5</v>
      </c>
      <c r="AE50">
        <v>92</v>
      </c>
      <c r="AF50">
        <v>85</v>
      </c>
      <c r="AG50">
        <v>100</v>
      </c>
      <c r="AH50">
        <v>110</v>
      </c>
      <c r="AI50">
        <v>90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7</v>
      </c>
      <c r="AZ50">
        <v>3045</v>
      </c>
      <c r="BA50">
        <v>15</v>
      </c>
      <c r="BB50" t="s">
        <v>4530</v>
      </c>
      <c r="BC50" t="s">
        <v>1844</v>
      </c>
      <c r="BD50">
        <v>910005</v>
      </c>
      <c r="BE50" t="s">
        <v>4531</v>
      </c>
      <c r="BF50" t="s">
        <v>4532</v>
      </c>
      <c r="BG50">
        <v>100</v>
      </c>
      <c r="BH50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0">
    <sortCondition ref="J2:J50"/>
    <sortCondition ref="C2:C5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6897</v>
      </c>
      <c r="C4" t="s">
        <v>1088</v>
      </c>
    </row>
    <row r="5" spans="1:3" x14ac:dyDescent="0.25">
      <c r="A5" s="1">
        <v>1004</v>
      </c>
      <c r="B5" t="s">
        <v>6898</v>
      </c>
      <c r="C5" t="s">
        <v>1089</v>
      </c>
    </row>
    <row r="6" spans="1:3" x14ac:dyDescent="0.25">
      <c r="A6" s="1">
        <v>1005</v>
      </c>
      <c r="B6" t="s">
        <v>6899</v>
      </c>
      <c r="C6" t="s">
        <v>1090</v>
      </c>
    </row>
    <row r="7" spans="1:3" x14ac:dyDescent="0.25">
      <c r="A7" s="1">
        <v>2003</v>
      </c>
      <c r="B7" t="s">
        <v>6900</v>
      </c>
      <c r="C7" t="s">
        <v>1091</v>
      </c>
    </row>
    <row r="8" spans="1:3" x14ac:dyDescent="0.25">
      <c r="A8" s="1">
        <v>2004</v>
      </c>
      <c r="B8" t="s">
        <v>6901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6902</v>
      </c>
      <c r="C10" t="s">
        <v>1094</v>
      </c>
    </row>
    <row r="11" spans="1:3" x14ac:dyDescent="0.25">
      <c r="A11" s="1">
        <v>3003</v>
      </c>
      <c r="B11" t="s">
        <v>6903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6904</v>
      </c>
      <c r="C13" t="s">
        <v>1097</v>
      </c>
    </row>
    <row r="14" spans="1:3" x14ac:dyDescent="0.25">
      <c r="A14" s="1">
        <v>3006</v>
      </c>
      <c r="B14" t="s">
        <v>6905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1"/>
  <sheetViews>
    <sheetView workbookViewId="0">
      <pane ySplit="1" topLeftCell="A270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6502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6501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6501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6501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6581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6573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6573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6573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6573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6839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6838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6838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6838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6838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6976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6975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6975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6975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6975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4" t="s">
        <v>765</v>
      </c>
      <c r="B1" s="234"/>
      <c r="C1" s="234"/>
      <c r="E1" s="234" t="s">
        <v>766</v>
      </c>
      <c r="F1" s="234"/>
      <c r="G1" s="234"/>
      <c r="I1" s="234" t="s">
        <v>865</v>
      </c>
      <c r="J1" s="234"/>
      <c r="K1" s="234"/>
      <c r="M1" s="234" t="s">
        <v>1042</v>
      </c>
      <c r="N1" s="234"/>
      <c r="O1" s="234"/>
      <c r="Q1" s="235" t="s">
        <v>767</v>
      </c>
      <c r="R1" s="235"/>
      <c r="S1" s="235"/>
      <c r="T1" s="235"/>
      <c r="U1" s="235"/>
      <c r="V1" s="235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6637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6641</v>
      </c>
      <c r="L8" s="131" t="s">
        <v>6630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6642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6643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6644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6638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6639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6485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6486</v>
      </c>
      <c r="C29" s="152" t="e">
        <f ca="1">RIGHT(D29,LEN(D29)-LEN("file:///")-1)</f>
        <v>#VALUE!</v>
      </c>
      <c r="D29" s="236" t="e">
        <f ca="1">LEFT(E29,FIND("@",SUBSTITUTE(E29,"/","@",LEN(E29)-LEN(SUBSTITUTE(E29,"/",""))),1))</f>
        <v>#VALUE!</v>
      </c>
      <c r="E29" s="236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6604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6604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6604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6604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6604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6604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1104</v>
      </c>
      <c r="C36" s="150" t="str">
        <f t="shared" ca="1" si="0"/>
        <v>C:\Users\danny\Documents\GitHub\GFLBattleSim-JSONGenerator\Preset\sangvis_with_user_info.json</v>
      </c>
      <c r="D36" s="153" t="s">
        <v>6604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1105</v>
      </c>
      <c r="C37" s="150" t="str">
        <f t="shared" ca="1" si="0"/>
        <v>C:\Users\danny\Documents\GitHub\GFLBattleSim-JSONGenerator\Preset\sangvis_team_with_user_info.json</v>
      </c>
      <c r="D37" s="153" t="s">
        <v>6604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1106</v>
      </c>
      <c r="C38" s="150" t="str">
        <f t="shared" ca="1" si="0"/>
        <v>C:\Users\danny\Documents\GitHub\GFLBattleSim-JSONGenerator\Preset\sangvis_chip_with_user_info.json</v>
      </c>
      <c r="D38" s="153" t="s">
        <v>6604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6604</v>
      </c>
      <c r="E39" s="150" t="str">
        <f>"GFBattleSimulator.json"</f>
        <v>GFBattleSimulator.json</v>
      </c>
    </row>
    <row r="40" spans="2:9" x14ac:dyDescent="0.25">
      <c r="B40" t="s">
        <v>1812</v>
      </c>
      <c r="C40" s="150" t="str">
        <f t="shared" ca="1" si="0"/>
        <v>C:\Users\danny\Documents\GitHub\GFLBattleSim-JSONGenerator\Preset\battle_day\spot_act_info.json</v>
      </c>
      <c r="D40" s="153" t="s">
        <v>6604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1813</v>
      </c>
      <c r="C41" s="150" t="str">
        <f t="shared" ca="1" si="0"/>
        <v>C:\Users\danny\Documents\GitHub\GFLBattleSim-JSONGenerator\Preset\battle_night_new\spot_act_info.json</v>
      </c>
      <c r="D41" s="153" t="s">
        <v>6604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5546</v>
      </c>
    </row>
    <row r="44" spans="2:9" x14ac:dyDescent="0.25">
      <c r="B44" t="s">
        <v>770</v>
      </c>
      <c r="C44" s="220" t="s">
        <v>5816</v>
      </c>
    </row>
    <row r="45" spans="2:9" x14ac:dyDescent="0.25">
      <c r="B45" t="s">
        <v>771</v>
      </c>
      <c r="C45" s="220" t="s">
        <v>5669</v>
      </c>
    </row>
    <row r="46" spans="2:9" x14ac:dyDescent="0.25">
      <c r="B46" t="s">
        <v>6380</v>
      </c>
      <c r="C46" s="220" t="s">
        <v>6401</v>
      </c>
    </row>
    <row r="47" spans="2:9" x14ac:dyDescent="0.25">
      <c r="B47" t="s">
        <v>6381</v>
      </c>
      <c r="C47" s="220" t="s">
        <v>6382</v>
      </c>
    </row>
    <row r="48" spans="2:9" x14ac:dyDescent="0.25">
      <c r="B48" s="220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V1" workbookViewId="0">
      <pane ySplit="1" topLeftCell="A2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6481</v>
      </c>
      <c r="AZ1" s="43" t="s">
        <v>6464</v>
      </c>
      <c r="BA1" s="43" t="s">
        <v>6465</v>
      </c>
      <c r="BB1" s="43" t="s">
        <v>6482</v>
      </c>
      <c r="BC1" s="43" t="s">
        <v>6483</v>
      </c>
      <c r="BD1" s="43" t="s">
        <v>6484</v>
      </c>
      <c r="BE1" s="43" t="s">
        <v>6466</v>
      </c>
      <c r="BF1" s="43" t="s">
        <v>6469</v>
      </c>
      <c r="BG1" s="43" t="s">
        <v>6472</v>
      </c>
      <c r="BH1" s="43" t="s">
        <v>6475</v>
      </c>
      <c r="BI1" s="43" t="s">
        <v>6478</v>
      </c>
      <c r="BJ1" s="43" t="s">
        <v>6467</v>
      </c>
      <c r="BK1" s="43" t="s">
        <v>6470</v>
      </c>
      <c r="BL1" s="43" t="s">
        <v>6473</v>
      </c>
      <c r="BM1" s="43" t="s">
        <v>6476</v>
      </c>
      <c r="BN1" s="43" t="s">
        <v>6479</v>
      </c>
      <c r="BO1" s="43" t="s">
        <v>6468</v>
      </c>
      <c r="BP1" s="43" t="s">
        <v>6471</v>
      </c>
      <c r="BQ1" s="43" t="s">
        <v>6474</v>
      </c>
      <c r="BR1" s="43" t="s">
        <v>6477</v>
      </c>
      <c r="BS1" s="43" t="s">
        <v>6480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6803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6804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6925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6553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234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6888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157</v>
      </c>
      <c r="K8" s="9" t="s">
        <v>6935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6719</v>
      </c>
      <c r="U8" s="9" t="s">
        <v>1670</v>
      </c>
      <c r="X8" s="9" t="s">
        <v>790</v>
      </c>
      <c r="Y8" s="9" t="s">
        <v>837</v>
      </c>
      <c r="Z8" t="s">
        <v>6725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6889</v>
      </c>
      <c r="AV8" t="s">
        <v>210</v>
      </c>
      <c r="AZ8" s="1" t="str">
        <f t="shared" si="2"/>
        <v>AK12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1667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1673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6890</v>
      </c>
      <c r="AV9" t="s">
        <v>923</v>
      </c>
      <c r="AZ9" s="1" t="str">
        <f t="shared" si="2"/>
        <v>AK15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ADS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715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922</v>
      </c>
      <c r="AZ10" s="1" t="str">
        <f t="shared" si="2"/>
        <v>AKAlfa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Agent416HV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1664</v>
      </c>
      <c r="K11" t="s">
        <v>1698</v>
      </c>
      <c r="N11" s="9" t="s">
        <v>1637</v>
      </c>
      <c r="O11" s="9" t="s">
        <v>6528</v>
      </c>
      <c r="P11" s="9" t="s">
        <v>143</v>
      </c>
      <c r="S11" s="9" t="s">
        <v>203</v>
      </c>
      <c r="T11" s="9" t="s">
        <v>1662</v>
      </c>
      <c r="U11" s="9" t="s">
        <v>252</v>
      </c>
      <c r="X11" s="9" t="s">
        <v>240</v>
      </c>
      <c r="Y11" s="9" t="s">
        <v>114</v>
      </c>
      <c r="Z11" s="9" t="s">
        <v>6515</v>
      </c>
      <c r="AD11" t="s">
        <v>4769</v>
      </c>
      <c r="AE11" s="9" t="s">
        <v>145</v>
      </c>
      <c r="AL11" s="40"/>
      <c r="AU11" t="s">
        <v>909</v>
      </c>
      <c r="AV11" t="s">
        <v>924</v>
      </c>
      <c r="AZ11" s="1" t="str">
        <f t="shared" si="2"/>
        <v>AN94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Agent416VFL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254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t="s">
        <v>6711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6981</v>
      </c>
      <c r="AV12" t="s">
        <v>919</v>
      </c>
      <c r="AZ12" s="1" t="str">
        <f t="shared" si="2"/>
        <v>Angelica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Agent416XExo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730</v>
      </c>
      <c r="K13" s="9" t="s">
        <v>804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s="9" t="s">
        <v>155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6891</v>
      </c>
      <c r="AV13" t="s">
        <v>921</v>
      </c>
      <c r="AZ13" s="1" t="str">
        <f t="shared" si="2"/>
        <v>AR18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AgentVectorHP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6696</v>
      </c>
      <c r="F14" s="9" t="s">
        <v>820</v>
      </c>
      <c r="G14" s="9"/>
      <c r="I14" s="9" t="s">
        <v>1617</v>
      </c>
      <c r="J14" s="9" t="s">
        <v>6431</v>
      </c>
      <c r="K14" s="9" t="s">
        <v>1416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6892</v>
      </c>
      <c r="AV14" t="s">
        <v>920</v>
      </c>
      <c r="AZ14" s="1" t="str">
        <f t="shared" si="2"/>
        <v>ART556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AgentVectorSPP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s="9" t="s">
        <v>815</v>
      </c>
      <c r="G15" s="9"/>
      <c r="I15" s="9" t="s">
        <v>81</v>
      </c>
      <c r="J15" s="9" t="s">
        <v>2173</v>
      </c>
      <c r="K15" s="9" t="s">
        <v>82</v>
      </c>
      <c r="N15" s="9" t="s">
        <v>142</v>
      </c>
      <c r="O15" t="s">
        <v>6704</v>
      </c>
      <c r="P15" s="9" t="s">
        <v>96</v>
      </c>
      <c r="S15" s="9" t="s">
        <v>1677</v>
      </c>
      <c r="T15" s="9" t="s">
        <v>1682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5784</v>
      </c>
      <c r="AZ15" s="1" t="str">
        <f t="shared" si="2"/>
        <v>AS ValMod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AgentVectorTExo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t="s">
        <v>6686</v>
      </c>
      <c r="G16" s="9"/>
      <c r="I16" s="9" t="s">
        <v>828</v>
      </c>
      <c r="J16" s="9" t="s">
        <v>1634</v>
      </c>
      <c r="K16" s="9" t="s">
        <v>190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124</v>
      </c>
      <c r="Y16" s="9" t="s">
        <v>787</v>
      </c>
      <c r="Z16" s="9" t="s">
        <v>786</v>
      </c>
      <c r="AD16" s="9" t="s">
        <v>1646</v>
      </c>
      <c r="AE16" t="s">
        <v>6616</v>
      </c>
      <c r="AL16" s="40"/>
      <c r="AM16" s="40"/>
      <c r="AP16" s="40"/>
      <c r="AU16" t="s">
        <v>926</v>
      </c>
      <c r="AV16" t="s">
        <v>708</v>
      </c>
      <c r="AZ16" s="1" t="str">
        <f t="shared" si="2"/>
        <v>AUG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AK15Mod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6507</v>
      </c>
      <c r="F17" s="9" t="s">
        <v>121</v>
      </c>
      <c r="G17" s="9"/>
      <c r="I17" s="9" t="s">
        <v>1680</v>
      </c>
      <c r="J17" s="9" t="s">
        <v>226</v>
      </c>
      <c r="K17" s="9" t="s">
        <v>1652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1193</v>
      </c>
      <c r="Y17" s="9" t="s">
        <v>1658</v>
      </c>
      <c r="Z17" s="9" t="s">
        <v>1669</v>
      </c>
      <c r="AD17" t="s">
        <v>6625</v>
      </c>
      <c r="AE17" s="9" t="s">
        <v>1641</v>
      </c>
      <c r="AU17" t="s">
        <v>927</v>
      </c>
      <c r="AV17" t="s">
        <v>709</v>
      </c>
      <c r="AZ17" s="1" t="str">
        <f t="shared" si="2"/>
        <v>FAL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AK47-1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193</v>
      </c>
      <c r="G18" s="9"/>
      <c r="I18" s="9" t="s">
        <v>181</v>
      </c>
      <c r="J18" s="9" t="s">
        <v>1618</v>
      </c>
      <c r="K18" s="9" t="s">
        <v>1659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1436</v>
      </c>
      <c r="Z18" s="9" t="s">
        <v>1684</v>
      </c>
      <c r="AD18" s="9" t="s">
        <v>1679</v>
      </c>
      <c r="AE18" s="211" t="s">
        <v>3459</v>
      </c>
      <c r="AU18" t="s">
        <v>916</v>
      </c>
      <c r="AV18" t="s">
        <v>710</v>
      </c>
      <c r="AZ18" s="1" t="str">
        <f t="shared" si="2"/>
        <v>G11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AK47-2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131</v>
      </c>
      <c r="G19" s="9"/>
      <c r="I19" s="9" t="s">
        <v>156</v>
      </c>
      <c r="J19" s="9" t="s">
        <v>1683</v>
      </c>
      <c r="K19" s="9" t="s">
        <v>1691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17" t="s">
        <v>825</v>
      </c>
      <c r="AU19" t="s">
        <v>915</v>
      </c>
      <c r="AV19" t="s">
        <v>231</v>
      </c>
      <c r="AZ19" s="1" t="str">
        <f t="shared" si="2"/>
        <v>G36Mod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SAT8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AK47-3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197</v>
      </c>
      <c r="G20" s="9"/>
      <c r="I20" s="9" t="s">
        <v>1629</v>
      </c>
      <c r="J20" s="9" t="s">
        <v>5813</v>
      </c>
      <c r="K20" s="9" t="s">
        <v>141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824</v>
      </c>
      <c r="Z20" t="s">
        <v>1697</v>
      </c>
      <c r="AE20" t="s">
        <v>6606</v>
      </c>
      <c r="AU20" t="s">
        <v>5708</v>
      </c>
      <c r="AV20" t="s">
        <v>738</v>
      </c>
      <c r="AZ20" s="1" t="str">
        <f t="shared" si="2"/>
        <v>G41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Seele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Ak5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1660</v>
      </c>
      <c r="G21" s="9"/>
      <c r="J21" s="9" t="s">
        <v>799</v>
      </c>
      <c r="K21" s="9" t="s">
        <v>1709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223</v>
      </c>
      <c r="Z21" s="9" t="s">
        <v>1674</v>
      </c>
      <c r="AE21" s="9" t="s">
        <v>250</v>
      </c>
      <c r="AU21" t="s">
        <v>5707</v>
      </c>
      <c r="AV21" t="s">
        <v>162</v>
      </c>
      <c r="AZ21" s="1" t="str">
        <f t="shared" si="2"/>
        <v>Himeko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SPAS15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Alma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186</v>
      </c>
      <c r="J22" s="9" t="s">
        <v>144</v>
      </c>
      <c r="K22" s="9" t="s">
        <v>1735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188</v>
      </c>
      <c r="AE22" s="217" t="s">
        <v>734</v>
      </c>
      <c r="AU22" t="s">
        <v>6887</v>
      </c>
      <c r="AV22" t="s">
        <v>5768</v>
      </c>
      <c r="AZ22" s="1" t="str">
        <f t="shared" si="2"/>
        <v>HK416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Triela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Ameli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s="9" t="s">
        <v>64</v>
      </c>
      <c r="J23" s="9" t="s">
        <v>829</v>
      </c>
      <c r="K23" s="9" t="s">
        <v>1633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168</v>
      </c>
      <c r="AU23" t="s">
        <v>6982</v>
      </c>
      <c r="AV23" t="s">
        <v>252</v>
      </c>
      <c r="AZ23" s="1" t="str">
        <f t="shared" si="2"/>
        <v>K11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Type97SMod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AN94Mod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t="s">
        <v>5712</v>
      </c>
      <c r="J24" s="9" t="s">
        <v>741</v>
      </c>
      <c r="K24" s="9" t="s">
        <v>5729</v>
      </c>
      <c r="O24" s="9" t="s">
        <v>5737</v>
      </c>
      <c r="P24" s="9" t="s">
        <v>207</v>
      </c>
      <c r="T24" s="9" t="s">
        <v>1655</v>
      </c>
      <c r="U24" s="9" t="s">
        <v>1712</v>
      </c>
      <c r="AQ24" s="9"/>
      <c r="AU24" t="s">
        <v>6983</v>
      </c>
      <c r="AV24" t="s">
        <v>1632</v>
      </c>
      <c r="AZ24" s="1" t="str">
        <f t="shared" si="2"/>
        <v>K2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/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Angelica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6802</v>
      </c>
      <c r="F25" s="9" t="s">
        <v>267</v>
      </c>
      <c r="J25" s="9" t="s">
        <v>24</v>
      </c>
      <c r="K25" s="9" t="s">
        <v>127</v>
      </c>
      <c r="O25" s="9" t="s">
        <v>243</v>
      </c>
      <c r="P25" s="9" t="s">
        <v>249</v>
      </c>
      <c r="T25" s="9" t="s">
        <v>1622</v>
      </c>
      <c r="U25" s="9" t="s">
        <v>257</v>
      </c>
      <c r="AQ25" s="9"/>
      <c r="AU25" t="s">
        <v>6984</v>
      </c>
      <c r="AV25" t="s">
        <v>258</v>
      </c>
      <c r="AZ25" s="1" t="str">
        <f t="shared" si="2"/>
        <v>KH2002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ARX160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732</v>
      </c>
      <c r="J26" s="9" t="s">
        <v>23</v>
      </c>
      <c r="K26" s="9" t="s">
        <v>76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74</v>
      </c>
      <c r="AZ26" s="1" t="str">
        <f t="shared" si="2"/>
        <v>M4 SOPMOD IIMod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AS ValMod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740</v>
      </c>
      <c r="J27" s="9" t="s">
        <v>123</v>
      </c>
      <c r="K27" s="9" t="s">
        <v>224</v>
      </c>
      <c r="O27" s="9" t="s">
        <v>839</v>
      </c>
      <c r="P27" s="9" t="s">
        <v>6944</v>
      </c>
      <c r="T27" s="9" t="s">
        <v>739</v>
      </c>
      <c r="U27" s="9" t="s">
        <v>179</v>
      </c>
      <c r="AQ27" s="9"/>
      <c r="AV27" t="s">
        <v>104</v>
      </c>
      <c r="AZ27" s="1" t="str">
        <f t="shared" si="2"/>
        <v>M4A1Mod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Astra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823</v>
      </c>
      <c r="J28" t="s">
        <v>5516</v>
      </c>
      <c r="K28" s="9" t="s">
        <v>265</v>
      </c>
      <c r="O28" s="9" t="s">
        <v>172</v>
      </c>
      <c r="P28" s="9" t="s">
        <v>795</v>
      </c>
      <c r="T28" s="9" t="s">
        <v>6805</v>
      </c>
      <c r="U28" t="s">
        <v>1403</v>
      </c>
      <c r="AV28" t="s">
        <v>744</v>
      </c>
      <c r="AZ28" s="1" t="str">
        <f t="shared" si="2"/>
        <v>MDR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AUG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793</v>
      </c>
      <c r="K29" s="9" t="s">
        <v>264</v>
      </c>
      <c r="P29" s="9" t="s">
        <v>737</v>
      </c>
      <c r="T29" s="9" t="s">
        <v>180</v>
      </c>
      <c r="U29" s="9" t="s">
        <v>1631</v>
      </c>
      <c r="AV29" t="s">
        <v>746</v>
      </c>
      <c r="AZ29" s="1" t="str">
        <f t="shared" si="2"/>
        <v>Medusa</v>
      </c>
      <c r="BA29" s="1" t="str">
        <f t="shared" si="3"/>
        <v>Theresa</v>
      </c>
      <c r="BB29" s="1" t="str">
        <f t="shared" si="4"/>
        <v/>
      </c>
      <c r="BC29" s="1" t="str">
        <f t="shared" si="5"/>
        <v>Theresa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BrenMod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836</v>
      </c>
      <c r="K30" s="9" t="s">
        <v>79</v>
      </c>
      <c r="P30" s="9" t="s">
        <v>814</v>
      </c>
      <c r="U30" t="s">
        <v>5746</v>
      </c>
      <c r="AV30" t="s">
        <v>748</v>
      </c>
      <c r="AZ30" s="1" t="str">
        <f t="shared" si="2"/>
        <v>OTs14</v>
      </c>
      <c r="BA30" s="1" t="str">
        <f t="shared" si="3"/>
        <v>Webley</v>
      </c>
      <c r="BB30" s="1" t="str">
        <f t="shared" si="4"/>
        <v/>
      </c>
      <c r="BC30" s="1" t="str">
        <f t="shared" si="5"/>
        <v>Webley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C96Mod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817</v>
      </c>
      <c r="P31" s="9" t="s">
        <v>1244</v>
      </c>
      <c r="U31" s="9" t="s">
        <v>791</v>
      </c>
      <c r="AV31" t="s">
        <v>747</v>
      </c>
      <c r="AZ31" s="1" t="str">
        <f t="shared" si="2"/>
        <v>QBZ191</v>
      </c>
      <c r="BA31" s="1" t="str">
        <f t="shared" si="3"/>
        <v>Welrod MkII</v>
      </c>
      <c r="BB31" s="1" t="str">
        <f t="shared" si="4"/>
        <v/>
      </c>
      <c r="BC31" s="1" t="str">
        <f t="shared" si="5"/>
        <v>Welrod MkII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ClaesMeteorite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198</v>
      </c>
      <c r="P32" s="9" t="s">
        <v>1675</v>
      </c>
      <c r="U32" s="9" t="s">
        <v>230</v>
      </c>
      <c r="AV32" t="s">
        <v>749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ClaesSpectacles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95</v>
      </c>
      <c r="U33" t="s">
        <v>1761</v>
      </c>
      <c r="AV33" t="s">
        <v>718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ClaesWristwatch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932</v>
      </c>
      <c r="U34" s="9" t="s">
        <v>1676</v>
      </c>
      <c r="AV34" t="s">
        <v>152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Clear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6952</v>
      </c>
      <c r="AV35" t="s">
        <v>736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CZ75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6439</v>
      </c>
      <c r="AV36" t="s">
        <v>1611</v>
      </c>
      <c r="AZ36" s="1" t="str">
        <f t="shared" si="2"/>
        <v>SCAR-L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Dana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894</v>
      </c>
      <c r="AV37" t="s">
        <v>722</v>
      </c>
      <c r="AZ37" s="1" t="str">
        <f t="shared" si="2"/>
        <v>SCR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Defender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246</v>
      </c>
      <c r="AV38" t="s">
        <v>109</v>
      </c>
      <c r="AZ38" s="1" t="str">
        <f t="shared" si="2"/>
        <v>SIG MCX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Dorothy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1689</v>
      </c>
      <c r="AV39" t="s">
        <v>3216</v>
      </c>
      <c r="AZ39" s="1" t="str">
        <f t="shared" si="2"/>
        <v>SIG556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DP28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160</v>
      </c>
      <c r="AV40" t="s">
        <v>827</v>
      </c>
      <c r="AZ40" s="1" t="str">
        <f t="shared" si="2"/>
        <v>ST AR15Mod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EVO3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1685</v>
      </c>
      <c r="AV41" t="s">
        <v>1190</v>
      </c>
      <c r="AZ41" s="1" t="str">
        <f t="shared" si="2"/>
        <v>T91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F1Mod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t="s">
        <v>6806</v>
      </c>
      <c r="AV42" t="s">
        <v>719</v>
      </c>
      <c r="AZ42" s="1" t="str">
        <f t="shared" si="2"/>
        <v>TKB408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F2000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792</v>
      </c>
      <c r="AV43" t="s">
        <v>711</v>
      </c>
      <c r="AZ43" s="1" t="str">
        <f t="shared" si="2"/>
        <v>Type56-1mod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Fail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133</v>
      </c>
      <c r="AV44" t="s">
        <v>125</v>
      </c>
      <c r="AZ44" s="1" t="str">
        <f t="shared" si="2"/>
        <v>Type89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FAMAS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134</v>
      </c>
      <c r="AV45" t="s">
        <v>1424</v>
      </c>
      <c r="AZ45" s="1" t="str">
        <f t="shared" si="2"/>
        <v>Type95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FG42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807</v>
      </c>
      <c r="AV46" t="s">
        <v>1643</v>
      </c>
      <c r="AZ46" s="1" t="str">
        <f t="shared" si="2"/>
        <v>Type97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FN49Mod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t="s">
        <v>5775</v>
      </c>
      <c r="AV47" t="s">
        <v>1454</v>
      </c>
      <c r="AZ47" s="1" t="str">
        <f t="shared" si="2"/>
        <v>VHS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FP6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169</v>
      </c>
      <c r="AV48" t="s">
        <v>75</v>
      </c>
      <c r="AZ48" s="1" t="str">
        <f t="shared" si="2"/>
        <v>XM8Mod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G11Mod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1755</v>
      </c>
      <c r="AZ49" s="1" t="str">
        <f t="shared" si="2"/>
        <v>Zas M21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G17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1436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G36CMod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1434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G36Mod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735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G3Mod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94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G41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832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G43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1762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Galil 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120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Gepard M1Mod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1692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Grizzly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248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GSh18Mod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223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Henrietta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259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HK416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1726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HK416Mod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262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Honey Badger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IDWMod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1698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Ingram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192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Jashin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Jericho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759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JillAdelhyde1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760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JillAdelhyde2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757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JillBronsonExtract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755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JillFlanergide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758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761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842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JillKarmotrine3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168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JillPowderedDelta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93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K2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6803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Kar98k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723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Kar98kmod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KS23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96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KSVKMod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6804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Lee Enfield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261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Lee Enfieldmod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86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LWMMGMod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255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 Garand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98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M14Mod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785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M16A1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725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M1895Mod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M1897Mod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105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M1911Mod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260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M1918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107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M1918Mod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89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M1919A4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1178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M21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M249SAW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147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715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M37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257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M38Mod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256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M4 SOPMOD IIMod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716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M4A1Mod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812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M500Mod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185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M6 ASW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63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M82A1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263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M9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68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M950AMod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941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Makarov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MakarovMod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1403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MDR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114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Medusa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6515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MG3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300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MG3Mod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112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930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MG42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254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MG4Mod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1407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Micro UziMod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1185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Minos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806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Mk23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729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MondragonM1908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1686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MosinNagant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1760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MosinNagantMod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1690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MP443Mod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MP446Mod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1416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MP5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1688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MP5Mod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131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NTW20Mod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6528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NZ75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1700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OBRMod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1701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Ots12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Ots44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197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P08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69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P22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122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P38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190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P7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129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P90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1400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P99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111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Pekola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154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PK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1691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PKP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1140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PP19Mod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70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PP2000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6507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PPK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908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PPKMod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5760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PPSh41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91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PPsh41Mod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186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PTRD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64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Px4 Storm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159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Python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1661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PzB39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230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QBU88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1761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RFB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249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Ribeyrolles1918Mod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931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Rico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826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RMB93Mod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110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RO635Mod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267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RPD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1641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SAAMod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6944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Saiga12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6952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SCAR-H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751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SCAR-L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732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SCW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750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Sei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745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Serdyukov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SIG510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Skorpion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Spectre M4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1633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Springfield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100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SR3MP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1689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 AR-15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67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 AR15Mod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740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Stechkin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737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StechkinMod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829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Stella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726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STEN MkIIMod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127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Stg44Mod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6553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Suomi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833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SuomiMod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1687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Super SASSMod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92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SV98Mod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1619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SVD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181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SVT38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1244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T77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739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TAC50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76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TAR21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250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Thompson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243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Triela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830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 4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224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 56 RMod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239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 79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6806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Type03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136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Type56-1mod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118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Type63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741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Type64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834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Type64Mod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119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Type80Mod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839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Type88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6802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Type88Mod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712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Type92mod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734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Type95/97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731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Type97SMod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265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UMP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264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UMP45Mod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97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UMP9Mod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95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VM59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835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WA2000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932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Welrod MkIIMod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5775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XM3Mod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1697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XM8Mod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Yurine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205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B0E066-CC9F-4F25-BDC0-479A304421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2023-01-19T00:22:20Z</dcterms:modified>
</cp:coreProperties>
</file>