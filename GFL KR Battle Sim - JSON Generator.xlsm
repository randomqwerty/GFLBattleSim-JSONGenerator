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C3183DF3-CEB9-4706-87E7-7C8DC329600C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Main!$B$90:$C$92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Main!$B$84:$C$86</definedName>
    <definedName name="DebuffSL1">Main!$C$84</definedName>
    <definedName name="DebuffSL2">Main!$C$85</definedName>
    <definedName name="DebuffSL3">Main!$C$86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Input">Main!$D$55:$J$64</definedName>
    <definedName name="HOCJSONPath">'Misc Inputs'!$C$38</definedName>
    <definedName name="HOCSelection">Main!$A$55:$A$64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Input">Main!$D$69:$N$74</definedName>
    <definedName name="SFHOCSelection">Main!$A$69:$A$74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Main!$B$78:$C$80</definedName>
    <definedName name="StratSL1">Main!$C$78</definedName>
    <definedName name="StratSL2">Main!$C$79</definedName>
    <definedName name="StratSL3">Main!$C$80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18" l="1"/>
  <c r="C17" i="18"/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64" authorId="0" shapeId="0" xr:uid="{23F53127-FAEE-4B0B-9160-93A6B5806730}">
      <text>
        <r>
          <rPr>
            <sz val="9"/>
            <color indexed="81"/>
            <rFont val="Tahoma"/>
            <family val="2"/>
          </rPr>
          <t>Stats do not matter, deals a fixed 1500 damage and 1200 pierce on a 5s cooldown.</t>
        </r>
      </text>
    </comment>
    <comment ref="C77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83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9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<sst xmlns="http://schemas.openxmlformats.org/spreadsheetml/2006/main" count="25547" uniqueCount="8067">
  <si>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</si>
  <si>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</si>
  <si>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</si>
  <si>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</si>
  <si>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</si>
  <si>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</si>
  <si>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</si>
  <si>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</si>
  <si>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</si>
  <si>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</si>
  <si>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</si>
  <si>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</si>
  <si>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</si>
  <si>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</si>
  <si>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</si>
  <si>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</si>
  <si>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</si>
  <si>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</si>
  <si>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</si>
  <si>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</si>
  <si>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</si>
  <si>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</si>
  <si>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</si>
  <si>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</si>
  <si>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</si>
  <si>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</si>
  <si>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</si>
  <si>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</si>
  <si>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</si>
  <si>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</si>
  <si>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</si>
  <si>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</si>
  <si>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</si>
  <si>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</si>
  <si>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</si>
  <si>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</si>
  <si>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</si>
  <si>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</si>
  <si>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</si>
  <si>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</si>
  <si>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</si>
  <si>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</si>
  <si>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</si>
  <si>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</si>
  <si>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</si>
  <si>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</si>
  <si>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</si>
  <si>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</si>
  <si>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</si>
  <si>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</si>
  <si>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</si>
  <si>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</si>
  <si>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</si>
  <si>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</si>
  <si>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</si>
  <si>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</si>
  <si>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</si>
  <si>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</si>
  <si>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</si>
  <si>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</si>
  <si>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</si>
  <si>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</si>
  <si>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</si>
  <si>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</si>
  <si>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</si>
  <si>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</si>
  <si>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</si>
  <si>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</si>
  <si>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</si>
  <si>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</si>
  <si>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</si>
  <si>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</si>
  <si>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</si>
  <si>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</si>
  <si>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</si>
  <si>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</si>
  <si>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</si>
  <si>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</si>
  <si>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</si>
  <si>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</si>
  <si>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</si>
  <si>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</si>
  <si>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</si>
  <si>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</si>
  <si>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</si>
  <si>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</si>
  <si>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</si>
  <si>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</si>
  <si>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</si>
  <si>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</si>
  <si>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</si>
  <si>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</si>
  <si>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</si>
  <si>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</si>
  <si>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</si>
  <si>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</si>
  <si>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</si>
  <si>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</si>
  <si>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</si>
  <si>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</si>
  <si>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</si>
  <si>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</si>
  <si>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</si>
  <si>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</si>
  <si>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</si>
  <si>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</si>
  <si>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</si>
  <si>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</si>
  <si>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</si>
  <si>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</si>
  <si>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</si>
  <si>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</si>
  <si>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</si>
  <si>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</si>
  <si>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</si>
  <si>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</si>
  <si>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</si>
  <si>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</si>
  <si>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</si>
  <si>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</si>
  <si>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</si>
  <si>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</si>
  <si>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</si>
  <si>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</si>
  <si>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</si>
  <si>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</si>
  <si>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</si>
  <si>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</si>
  <si>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</si>
  <si>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</si>
  <si>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</si>
  <si>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</si>
  <si>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</si>
  <si>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</si>
  <si>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</si>
  <si>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</si>
  <si>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</si>
  <si>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</si>
  <si>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</si>
  <si>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</si>
  <si>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</si>
  <si>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</si>
  <si>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</si>
  <si>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</si>
  <si>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</si>
  <si>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</si>
  <si>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</si>
  <si>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</si>
  <si>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</si>
  <si>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</si>
  <si>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</si>
  <si>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</si>
  <si>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</si>
  <si>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</si>
  <si>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</si>
  <si>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</si>
  <si>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</si>
  <si>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</si>
  <si>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</si>
  <si>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</si>
  <si>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</si>
  <si>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</si>
  <si>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</si>
  <si>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</si>
  <si>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</si>
  <si>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</si>
  <si>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</si>
  <si>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</si>
  <si>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</si>
  <si>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</si>
  <si>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</si>
  <si>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</si>
  <si>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</si>
  <si>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</si>
  <si>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</si>
  <si>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</si>
  <si>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</si>
  <si>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</si>
  <si>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</si>
  <si>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</si>
  <si>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</si>
  <si>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</si>
  <si>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</si>
  <si>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</si>
  <si>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</si>
  <si>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</si>
  <si>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</si>
  <si>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</si>
  <si>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</si>
  <si>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</si>
  <si>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</si>
  <si>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</si>
  <si>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</si>
  <si>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</si>
  <si>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</si>
  <si>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</si>
  <si>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</si>
  <si>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</si>
  <si>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</si>
  <si>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</si>
  <si>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</si>
  <si>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</si>
  <si>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</si>
  <si>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</si>
  <si>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</si>
  <si>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</si>
  <si>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</si>
  <si>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</si>
  <si>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</si>
  <si>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</si>
  <si>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</si>
  <si>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</si>
  <si>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</si>
  <si>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</si>
  <si>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</si>
  <si>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</si>
  <si>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</si>
  <si>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</si>
  <si>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</si>
  <si>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</si>
  <si>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</si>
  <si>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</si>
  <si>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</si>
  <si>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</si>
  <si>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</si>
  <si>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</si>
  <si>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</si>
  <si>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</si>
  <si>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</si>
  <si>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</si>
  <si>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</si>
  <si>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</si>
  <si>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</si>
  <si>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</si>
  <si>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</si>
  <si>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</si>
  <si>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</si>
  <si>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</si>
  <si>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</si>
  <si>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</si>
  <si>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</si>
  <si>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</si>
  <si>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</si>
  <si>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</si>
  <si>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</si>
  <si>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</si>
  <si>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</si>
  <si>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</si>
  <si>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</si>
  <si>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</si>
  <si>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</si>
  <si>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</si>
  <si>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</si>
  <si>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</si>
  <si>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</si>
  <si>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</si>
  <si>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</si>
  <si>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</si>
  <si>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</si>
  <si>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</si>
  <si>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</si>
  <si>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</si>
  <si>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</si>
  <si>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</si>
  <si>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</si>
  <si>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</si>
  <si>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</si>
  <si>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</si>
  <si>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</si>
  <si>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</si>
  <si>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</si>
  <si>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</si>
  <si>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</si>
  <si>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</si>
  <si>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</si>
  <si>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</si>
  <si>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</si>
  <si>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</si>
  <si>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</si>
  <si>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</si>
  <si>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</si>
  <si>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</si>
  <si>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</si>
  <si>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</si>
  <si>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</si>
  <si>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</si>
  <si>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</si>
  <si>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</si>
  <si>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</si>
  <si>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</si>
  <si>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</si>
  <si>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</si>
  <si>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</si>
  <si>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</si>
  <si>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</si>
  <si>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</si>
  <si>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</si>
  <si>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</si>
  <si>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</si>
  <si>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</si>
  <si>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</si>
  <si>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</si>
  <si>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</si>
  <si>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</si>
  <si>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</si>
  <si>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</si>
  <si>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</si>
  <si>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</si>
  <si>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</si>
  <si>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</si>
  <si>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</si>
  <si>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</si>
  <si>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</si>
  <si>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</si>
  <si>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</si>
  <si>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</si>
  <si>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</si>
  <si>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</si>
  <si>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</si>
  <si>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</si>
  <si>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</si>
  <si>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</si>
  <si>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</si>
  <si>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</si>
  <si>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</si>
  <si>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</si>
  <si>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</si>
  <si>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</si>
  <si>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</si>
  <si>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</si>
  <si>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</si>
  <si>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</si>
  <si>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</si>
  <si>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</si>
  <si>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</si>
  <si>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</si>
  <si>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</si>
  <si>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</si>
  <si>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</si>
  <si>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</si>
  <si>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</si>
  <si>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</si>
  <si>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</si>
  <si>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</si>
  <si>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</si>
  <si>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</si>
  <si>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</si>
  <si>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</si>
  <si>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</si>
  <si>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</si>
  <si>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</si>
  <si>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</si>
  <si>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</si>
  <si>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</si>
  <si>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</si>
  <si>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</si>
  <si>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</si>
  <si>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</si>
  <si>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</si>
  <si>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</si>
  <si>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</si>
  <si>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</si>
  <si>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</si>
  <si>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</si>
  <si>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</si>
  <si>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</si>
  <si>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</si>
  <si>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</si>
  <si>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</si>
  <si>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</si>
  <si>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</si>
  <si>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</si>
  <si>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</si>
  <si>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</si>
  <si>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</si>
  <si>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</si>
  <si>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</si>
  <si>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</si>
  <si>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</si>
  <si>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</si>
  <si>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</si>
  <si>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</si>
  <si>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</si>
  <si>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</si>
  <si>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</si>
  <si>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</si>
  <si>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</si>
  <si>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</si>
  <si>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</si>
  <si>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</si>
  <si>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</si>
  <si>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</si>
  <si>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</si>
  <si>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</si>
  <si>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</si>
  <si>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</si>
  <si>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</si>
  <si>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</si>
  <si>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</si>
  <si>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</si>
  <si>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</si>
  <si>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</si>
  <si>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</si>
  <si>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</si>
  <si>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</si>
  <si>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</si>
  <si>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</si>
  <si>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</si>
  <si>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</si>
  <si>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</si>
  <si>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</si>
  <si>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</si>
  <si>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</si>
  <si>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</si>
  <si>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</si>
  <si>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</si>
  <si>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</si>
  <si>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</si>
  <si>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</si>
  <si>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</si>
  <si>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</si>
  <si>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</si>
  <si>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</si>
  <si>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</si>
  <si>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</si>
  <si>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</si>
  <si>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</si>
  <si>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</si>
  <si>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</si>
  <si>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</si>
  <si>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</si>
  <si>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</si>
  <si>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</si>
  <si>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</si>
  <si>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</si>
  <si>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</si>
  <si>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</si>
  <si>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</si>
  <si>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</si>
  <si>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</si>
  <si>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</si>
  <si>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</si>
  <si>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</si>
  <si>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</si>
  <si>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</si>
  <si>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</si>
  <si>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</si>
  <si>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</si>
  <si>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</si>
  <si>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</si>
  <si>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</si>
  <si>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</si>
  <si>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</si>
  <si>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</si>
  <si>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</si>
  <si>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</si>
  <si>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</si>
  <si>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</si>
  <si>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</si>
  <si>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</si>
  <si>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</si>
  <si>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</si>
  <si>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</si>
  <si>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</si>
  <si>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</si>
  <si>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</si>
  <si>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</si>
  <si>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</si>
  <si>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</si>
  <si>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</si>
  <si>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</si>
  <si>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</si>
  <si>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</si>
  <si>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</si>
  <si>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</si>
  <si>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</si>
  <si>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</si>
  <si>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</si>
  <si>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</si>
  <si>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</si>
  <si>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</si>
  <si>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</si>
  <si>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</si>
  <si>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</si>
  <si>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</si>
  <si>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</si>
  <si>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</si>
  <si>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</si>
  <si>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</si>
  <si>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</si>
  <si>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</si>
  <si>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</si>
  <si>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</si>
  <si>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</si>
  <si>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</si>
  <si>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</si>
  <si>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</si>
  <si>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</si>
  <si>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</si>
  <si>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</si>
  <si>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</si>
  <si>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</si>
  <si>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</si>
  <si>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</si>
  <si>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</si>
  <si>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</si>
  <si>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</si>
  <si>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</si>
  <si>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</si>
  <si>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</si>
  <si>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</si>
  <si>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</si>
  <si>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</si>
  <si>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</si>
  <si>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</si>
  <si>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</si>
  <si>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</si>
  <si>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</si>
  <si>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</si>
  <si>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</si>
  <si>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</si>
  <si>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</si>
  <si>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</si>
  <si>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</si>
  <si>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</si>
  <si>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</si>
  <si>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</si>
  <si>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</si>
  <si>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</si>
  <si>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</si>
  <si>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</si>
  <si>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</si>
  <si>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</si>
  <si>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</si>
  <si>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</si>
  <si>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</si>
  <si>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</si>
  <si>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</si>
  <si>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</si>
  <si>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</si>
  <si>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</si>
  <si>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</si>
  <si>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</si>
  <si>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</si>
  <si>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</si>
  <si>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</si>
  <si>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</si>
  <si>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</si>
  <si>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</si>
  <si>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</si>
  <si>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</si>
  <si>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</si>
  <si>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</si>
  <si>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</si>
  <si>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</si>
  <si>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</si>
  <si>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</si>
  <si>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</si>
  <si>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</si>
  <si>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</si>
  <si>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</si>
  <si>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</si>
  <si>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</si>
  <si>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</si>
  <si>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</si>
  <si>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</si>
  <si>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</si>
  <si>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</si>
  <si>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</si>
  <si>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</si>
  <si>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</si>
  <si>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</si>
  <si>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</si>
  <si>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</si>
  <si>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</si>
  <si>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</si>
  <si>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</si>
  <si>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</si>
  <si>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</si>
  <si>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</si>
  <si>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</si>
  <si>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</si>
  <si>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</si>
  <si>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</si>
  <si>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</si>
  <si>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</si>
  <si>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</si>
  <si>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</si>
  <si>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</si>
  <si>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</si>
  <si>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</si>
  <si>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</si>
  <si>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</si>
  <si>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</si>
  <si>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</si>
  <si>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</si>
  <si>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</si>
  <si>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</si>
  <si>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</si>
  <si>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</si>
  <si>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</si>
  <si>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</si>
  <si>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</si>
  <si>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</si>
  <si>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</si>
  <si>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</si>
  <si>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</si>
  <si>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</si>
  <si>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</si>
  <si>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</si>
  <si>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</si>
  <si>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</si>
  <si>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</si>
  <si>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</si>
  <si>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</si>
  <si>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</si>
  <si>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</si>
  <si>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</si>
  <si>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</si>
  <si>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</si>
  <si>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</si>
  <si>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</si>
  <si>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</si>
  <si>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</si>
  <si>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</si>
  <si>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</si>
  <si>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</si>
  <si>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</si>
  <si>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</si>
  <si>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</si>
  <si>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</si>
  <si>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</si>
  <si>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</si>
  <si>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</si>
  <si>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</si>
  <si>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</si>
  <si>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</si>
  <si>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</si>
  <si>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</si>
  <si>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</si>
  <si>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</si>
  <si>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</si>
  <si>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</si>
  <si>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</si>
  <si>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</si>
  <si>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</si>
  <si>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</si>
  <si>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</si>
  <si>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</si>
  <si>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</si>
  <si>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</si>
  <si>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</si>
  <si>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</si>
  <si>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</si>
  <si>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</si>
  <si>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</si>
  <si>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</si>
  <si>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</si>
  <si>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</si>
  <si>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</si>
  <si>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</si>
  <si>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</si>
  <si>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</si>
  <si>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</si>
  <si>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</si>
  <si>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</si>
  <si>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</si>
  <si>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</si>
  <si>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</si>
  <si>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</si>
  <si>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</si>
  <si>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</si>
  <si>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</si>
  <si>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</si>
  <si>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</si>
  <si>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</si>
  <si>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</si>
  <si>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</si>
  <si>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</si>
  <si>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</si>
  <si>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</si>
  <si>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</si>
  <si>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</si>
  <si>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</si>
  <si>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</si>
  <si>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</si>
  <si>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</si>
  <si>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</si>
  <si>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</si>
  <si>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</si>
  <si>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</si>
  <si>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</si>
  <si>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</si>
  <si>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</si>
  <si>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</si>
  <si>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</si>
  <si>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</si>
  <si>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</si>
  <si>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</si>
  <si>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</si>
  <si>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</si>
  <si>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</si>
  <si>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</si>
  <si>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</si>
  <si>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</si>
  <si>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</si>
  <si>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</si>
  <si>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</si>
  <si>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</si>
  <si>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</si>
  <si>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</si>
  <si>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</si>
  <si>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</si>
  <si>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</si>
  <si>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</si>
  <si>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</si>
  <si>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</si>
  <si>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</si>
  <si>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</si>
  <si>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</si>
  <si>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</si>
  <si>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</si>
  <si>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</si>
  <si>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</si>
  <si>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</si>
  <si>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</si>
  <si>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</si>
  <si>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</si>
  <si>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</si>
  <si>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</si>
  <si>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</si>
  <si>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</si>
  <si>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</si>
  <si>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</si>
  <si>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</si>
  <si>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</si>
  <si>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</si>
  <si>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</si>
  <si>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</si>
  <si>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</si>
  <si>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</si>
  <si>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</si>
  <si>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</si>
  <si>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</si>
  <si>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</si>
  <si>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</si>
  <si>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</si>
  <si>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</si>
  <si>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</si>
  <si>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</si>
  <si>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</si>
  <si>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</si>
  <si>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</si>
  <si>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</si>
  <si>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</si>
  <si>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</si>
  <si>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</si>
  <si>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</si>
  <si>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</si>
  <si>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</si>
  <si>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</si>
  <si>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</si>
  <si>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</si>
  <si>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</si>
  <si>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</si>
  <si>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</si>
  <si>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</si>
  <si>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</si>
  <si>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</si>
  <si>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</si>
  <si>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</si>
  <si>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</si>
  <si>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</si>
  <si>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</si>
  <si>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</si>
  <si>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</si>
  <si>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</si>
  <si>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</si>
  <si>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</si>
  <si>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</si>
  <si>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</si>
  <si>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</si>
  <si>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</si>
  <si>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</si>
  <si>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</si>
  <si>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</si>
  <si>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</si>
  <si>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</si>
  <si>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</si>
  <si>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</si>
  <si>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</si>
  <si>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</si>
  <si>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</si>
  <si>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</si>
  <si>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</si>
  <si>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</si>
  <si>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</si>
  <si>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</si>
  <si>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</si>
  <si>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</si>
  <si>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</si>
  <si>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</si>
  <si>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</si>
  <si>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</si>
  <si>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</si>
  <si>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</si>
  <si>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</si>
  <si>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</si>
  <si>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</si>
  <si>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</si>
  <si>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</si>
  <si>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</si>
  <si>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</si>
  <si>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</si>
  <si>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</si>
  <si>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</si>
  <si>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</si>
  <si>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</si>
  <si>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</si>
  <si>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</si>
  <si>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</si>
  <si>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</si>
  <si>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</si>
  <si>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</si>
  <si>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</si>
  <si>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</si>
  <si>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</si>
  <si>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</si>
  <si>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</si>
  <si>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</si>
  <si>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</si>
  <si>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</si>
  <si>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</si>
  <si>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</si>
  <si>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</si>
  <si>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</si>
  <si>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</si>
  <si>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</si>
  <si>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</si>
  <si>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</si>
  <si>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</si>
  <si>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</si>
  <si>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</si>
  <si>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</si>
  <si>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</si>
  <si>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</si>
  <si>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</si>
  <si>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</si>
  <si>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</si>
  <si>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</si>
  <si>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</si>
  <si>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</si>
  <si>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</si>
  <si>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</si>
  <si>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</si>
  <si>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</si>
  <si>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</si>
  <si>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</si>
  <si>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</si>
  <si>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</si>
  <si>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</si>
  <si>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</si>
  <si>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</si>
  <si>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</si>
  <si>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</si>
  <si>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</si>
  <si>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</si>
  <si>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</si>
  <si>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</si>
  <si>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</si>
  <si>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</si>
  <si>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</si>
  <si>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</si>
  <si>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</si>
  <si>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</si>
  <si>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</si>
  <si>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</si>
  <si>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</si>
  <si>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</si>
  <si>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</si>
  <si>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</si>
  <si>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</si>
  <si>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</si>
  <si>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</si>
  <si>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</si>
  <si>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</si>
  <si>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</si>
  <si>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</si>
  <si>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</si>
  <si>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</si>
  <si>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</si>
  <si>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</si>
  <si>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</si>
  <si>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</si>
  <si>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</si>
  <si>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</si>
  <si>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</si>
  <si>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</si>
  <si>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</si>
  <si>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</si>
  <si>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</si>
  <si>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</si>
  <si>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</si>
  <si>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</si>
  <si>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</si>
  <si>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</si>
  <si>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</si>
  <si>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</si>
  <si>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</si>
  <si>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</si>
  <si>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</si>
  <si>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</si>
  <si>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</si>
  <si>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</si>
  <si>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</si>
  <si>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</si>
  <si>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</si>
  <si>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</si>
  <si>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</si>
  <si>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</si>
  <si>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</si>
  <si>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</si>
  <si>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</si>
  <si>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</si>
  <si>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</si>
  <si>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</si>
  <si>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</si>
  <si>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</si>
  <si>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</si>
  <si>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</si>
  <si>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</si>
  <si>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</si>
  <si>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</si>
  <si>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</si>
  <si>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</si>
  <si>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</si>
  <si>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</si>
  <si>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</si>
  <si>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</si>
  <si>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</si>
  <si>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</si>
  <si>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</si>
  <si>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</si>
  <si>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</si>
  <si>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</si>
  <si>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</si>
  <si>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</si>
  <si>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</si>
  <si>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</si>
  <si>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</si>
  <si>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</si>
  <si>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</si>
  <si>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</si>
  <si>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</si>
  <si>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</si>
  <si>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</si>
  <si>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</si>
  <si>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</si>
  <si>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</si>
  <si>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</si>
  <si>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</si>
  <si>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</si>
  <si>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</si>
  <si>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</si>
  <si>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</si>
  <si>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</si>
  <si>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</si>
  <si>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</si>
  <si>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</si>
  <si>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</si>
  <si>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</si>
  <si>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</si>
  <si>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</si>
  <si>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</si>
  <si>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</si>
  <si>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</si>
  <si>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</si>
  <si>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</si>
  <si>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</si>
  <si>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</si>
  <si>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</si>
  <si>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</si>
  <si>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</si>
  <si>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</si>
  <si>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</si>
  <si>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</si>
  <si>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</si>
  <si>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</si>
  <si>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</si>
  <si>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</si>
  <si>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</si>
  <si>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</si>
  <si>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</si>
  <si>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</si>
  <si>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</si>
  <si>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</si>
  <si>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</si>
  <si>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</si>
  <si>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</si>
  <si>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</si>
  <si>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</si>
  <si>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</si>
  <si>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</si>
  <si>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</si>
  <si>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</si>
  <si>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</si>
  <si>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</si>
  <si>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</si>
  <si>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</si>
  <si>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</si>
  <si>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</si>
  <si>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</si>
  <si>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</si>
  <si>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</si>
  <si>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</si>
  <si>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</si>
  <si>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</si>
  <si>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</si>
  <si>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</si>
  <si>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</si>
  <si>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</si>
  <si>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</si>
  <si>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</si>
  <si>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</si>
  <si>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</si>
  <si>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</si>
  <si>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</si>
  <si>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</si>
  <si>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</si>
  <si>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</si>
  <si>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</si>
  <si>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</si>
  <si>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</si>
  <si>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</si>
  <si>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</si>
  <si>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</si>
  <si>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</si>
  <si>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</si>
  <si>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</si>
  <si>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</si>
  <si>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</si>
  <si>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</si>
  <si>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</si>
  <si>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</si>
  <si>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</si>
  <si>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</si>
  <si>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</si>
  <si>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</si>
  <si>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</si>
  <si>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</si>
  <si>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</si>
  <si>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</si>
  <si>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</si>
  <si>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</si>
  <si>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</si>
  <si>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</si>
  <si>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</si>
  <si>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</si>
  <si>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</si>
  <si>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</si>
  <si>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</si>
  <si>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</si>
  <si>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</si>
  <si>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</si>
  <si>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</si>
  <si>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</si>
  <si>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</si>
  <si>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</si>
  <si>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</si>
  <si>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</si>
  <si>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</si>
  <si>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</si>
  <si>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</si>
  <si>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</si>
  <si>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</si>
  <si>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</si>
  <si>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</si>
  <si>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</si>
  <si>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</si>
  <si>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</si>
  <si>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</si>
  <si>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</si>
  <si>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</si>
  <si>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</si>
  <si>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</si>
  <si>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</si>
  <si>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</si>
  <si>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</si>
  <si>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</si>
  <si>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</si>
  <si>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</si>
  <si>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</si>
  <si>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</si>
  <si>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</si>
  <si>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</si>
  <si>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</si>
  <si>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</si>
  <si>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</si>
  <si>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</si>
  <si>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</si>
  <si>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</si>
  <si>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</si>
  <si>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</si>
  <si>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</si>
  <si>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</si>
  <si>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</si>
  <si>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</si>
  <si>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</si>
  <si>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</si>
  <si>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</si>
  <si>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</si>
  <si>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</si>
  <si>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</si>
  <si>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</si>
  <si>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</si>
  <si>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</si>
  <si>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</si>
  <si>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</si>
  <si>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</si>
  <si>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</si>
  <si>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</si>
  <si>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</si>
  <si>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</si>
  <si>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</si>
  <si>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</si>
  <si>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</si>
  <si>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</si>
  <si>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</si>
  <si>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</si>
  <si>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</si>
  <si>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</si>
  <si>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</si>
  <si>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</si>
  <si>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</si>
  <si>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</si>
  <si>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</si>
  <si>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</si>
  <si>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</si>
  <si>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</si>
  <si>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</si>
  <si>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</si>
  <si>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</si>
  <si>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</si>
  <si>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</si>
  <si>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</si>
  <si>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</si>
  <si>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</si>
  <si>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</si>
  <si>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</si>
  <si>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</si>
  <si>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</si>
  <si>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</si>
  <si>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</si>
  <si>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</si>
  <si>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</si>
  <si>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</si>
  <si>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</si>
  <si>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</si>
  <si>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</si>
  <si>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</si>
  <si>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</si>
  <si>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</si>
  <si>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</si>
  <si>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</si>
  <si>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</si>
  <si>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</si>
  <si>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</si>
  <si>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</si>
  <si>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</si>
  <si>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</si>
  <si>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</si>
  <si>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</si>
  <si>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</si>
  <si>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</si>
  <si>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</si>
  <si>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</si>
  <si>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</si>
  <si>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</si>
  <si>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</si>
  <si>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</si>
  <si>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</si>
  <si>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</si>
  <si>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</si>
  <si>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</si>
  <si>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</si>
  <si>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</si>
  <si>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</si>
  <si>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</si>
  <si>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</si>
  <si>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</si>
  <si>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</si>
  <si>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</si>
  <si>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</si>
  <si>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</si>
  <si>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</si>
  <si>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</si>
  <si>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</si>
  <si>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</si>
  <si>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</si>
  <si>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</si>
  <si>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</si>
  <si>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</si>
  <si>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</si>
  <si>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</si>
  <si>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</si>
  <si>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</si>
  <si>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</si>
  <si>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</si>
  <si>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</si>
  <si>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</si>
  <si>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</si>
  <si>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</si>
  <si>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</si>
  <si>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</si>
  <si>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</si>
  <si>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</si>
  <si>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</si>
  <si>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</si>
  <si>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</si>
  <si>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</si>
  <si>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</si>
  <si>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</si>
  <si>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</si>
  <si>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</si>
  <si>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</si>
  <si>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</si>
  <si>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</si>
  <si>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</si>
  <si>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</si>
  <si>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</si>
  <si>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</si>
  <si>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</si>
  <si>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</si>
  <si>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</si>
  <si>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</si>
  <si>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</si>
  <si>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</si>
  <si>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</si>
  <si>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</si>
  <si>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</si>
  <si>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</si>
  <si>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</si>
  <si>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</si>
  <si>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</si>
  <si>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</si>
  <si>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</si>
  <si>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</si>
  <si>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</si>
  <si>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</si>
  <si>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</si>
  <si>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</si>
  <si>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</si>
  <si>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</si>
  <si>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</si>
  <si>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</si>
  <si>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</si>
  <si>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</si>
  <si>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</si>
  <si>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</si>
  <si>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</si>
  <si>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</si>
  <si>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</si>
  <si>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</si>
  <si>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</si>
  <si>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</si>
  <si>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</si>
  <si>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</si>
  <si>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</si>
  <si>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</si>
  <si>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</si>
  <si>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</si>
  <si>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</si>
  <si>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</si>
  <si>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</si>
  <si>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</si>
  <si>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</si>
  <si>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</si>
  <si>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</si>
  <si>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</si>
  <si>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</si>
  <si>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</si>
  <si>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</si>
  <si>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</si>
  <si>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</si>
  <si>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</si>
  <si>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</si>
  <si>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</si>
  <si>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</si>
  <si>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</si>
  <si>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</si>
  <si>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</si>
  <si>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</si>
  <si>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</si>
  <si>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</si>
  <si>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</si>
  <si>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</si>
  <si>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</si>
  <si>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</si>
  <si>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</si>
  <si>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</si>
  <si>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</si>
  <si>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</si>
  <si>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</si>
  <si>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</si>
  <si>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</si>
  <si>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</si>
  <si>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</si>
  <si>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</si>
  <si>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</si>
  <si>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</si>
  <si>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</si>
  <si>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</si>
  <si>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</si>
  <si>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</si>
  <si>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</si>
  <si>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</si>
  <si>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</si>
  <si>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</si>
  <si>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</si>
  <si>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</si>
  <si>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</si>
  <si>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</si>
  <si>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</si>
  <si>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</si>
  <si>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</si>
  <si>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</si>
  <si>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</si>
  <si>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</si>
  <si>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</si>
  <si>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</si>
  <si>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</si>
  <si>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</si>
  <si>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</si>
  <si>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</si>
  <si>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</si>
  <si>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</si>
  <si>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</si>
  <si>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</si>
  <si>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</si>
  <si>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</si>
  <si>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</si>
  <si>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</si>
  <si>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</si>
  <si>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</si>
  <si>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</si>
  <si>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</si>
  <si>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</si>
  <si>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</si>
  <si>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</si>
  <si>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</si>
  <si>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</si>
  <si>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</si>
  <si>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</si>
  <si>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</si>
  <si>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</si>
  <si>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</si>
  <si>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</si>
  <si>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</si>
  <si>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</si>
  <si>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</si>
  <si>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</si>
  <si>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</si>
  <si>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</si>
  <si>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</si>
  <si>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</si>
  <si>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</si>
  <si>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</si>
  <si>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</si>
  <si>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</si>
  <si>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</si>
  <si>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</si>
  <si>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</si>
  <si>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</si>
  <si>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</si>
  <si>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</si>
  <si>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</si>
  <si>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</si>
  <si>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</si>
  <si>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</si>
  <si>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</si>
  <si>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</si>
  <si>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</si>
  <si>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</si>
  <si>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</si>
  <si>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</si>
  <si>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</si>
  <si>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</si>
  <si>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</si>
  <si>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</si>
  <si>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</si>
  <si>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</si>
  <si>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</si>
  <si>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</si>
  <si>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</si>
  <si>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</si>
  <si>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</si>
  <si>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</si>
  <si>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</si>
  <si>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</si>
  <si>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</si>
  <si>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</si>
  <si>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</si>
  <si>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</si>
  <si>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</si>
  <si>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</si>
  <si>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</si>
  <si>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</si>
  <si>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</si>
  <si>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</si>
  <si>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</si>
  <si>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</si>
  <si>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</si>
  <si>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</si>
  <si>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</si>
  <si>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</si>
  <si>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</si>
  <si>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</si>
  <si>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</si>
  <si>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</si>
  <si>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</si>
  <si>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</si>
  <si>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</si>
  <si>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</si>
  <si>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</si>
  <si>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</si>
  <si>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</si>
  <si>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</si>
  <si>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</si>
  <si>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</si>
  <si>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</si>
  <si>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</si>
  <si>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</si>
  <si>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</si>
  <si>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</si>
  <si>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</si>
  <si>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</si>
  <si>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</si>
  <si>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</si>
  <si>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</si>
  <si>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</si>
  <si>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</si>
  <si>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</si>
  <si>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</si>
  <si>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</si>
  <si>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</si>
  <si>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</si>
  <si>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</si>
  <si>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</si>
  <si>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</si>
  <si>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</si>
  <si>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</si>
  <si>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</si>
  <si>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</si>
  <si>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</si>
  <si>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</si>
  <si>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</si>
  <si>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</si>
  <si>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</si>
  <si>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</si>
  <si>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</si>
  <si>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</si>
  <si>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</si>
  <si>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</si>
  <si>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</si>
  <si>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</si>
  <si>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</si>
  <si>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</si>
  <si>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</si>
  <si>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</si>
  <si>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</si>
  <si>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</si>
  <si>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</si>
  <si>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</si>
  <si>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</si>
  <si>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</si>
  <si>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</si>
  <si>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</si>
  <si>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</si>
  <si>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</si>
  <si>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</si>
  <si>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</si>
  <si>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</si>
  <si>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</si>
  <si>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</si>
  <si>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</si>
  <si>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</si>
  <si>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</si>
  <si>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</si>
  <si>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</si>
  <si>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</si>
  <si>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</si>
  <si>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</si>
  <si>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</si>
  <si>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</si>
  <si>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</si>
  <si>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</si>
  <si>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</si>
  <si>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</si>
  <si>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</si>
  <si>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</si>
  <si>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</si>
  <si>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</si>
  <si>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</si>
  <si>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</si>
  <si>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</si>
  <si>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</si>
  <si>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</si>
  <si>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</si>
  <si>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</si>
  <si>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</si>
  <si>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</si>
  <si>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</si>
  <si>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</si>
  <si>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</si>
  <si>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</si>
  <si>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</si>
  <si>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</si>
  <si>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</si>
  <si>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</si>
  <si>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</si>
  <si>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</si>
  <si>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</si>
  <si>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</si>
  <si>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</si>
  <si>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</si>
  <si>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</si>
  <si>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</si>
  <si>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</si>
  <si>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</si>
  <si>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</si>
  <si>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</si>
  <si>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</si>
  <si>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</si>
  <si>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</si>
  <si>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</si>
  <si>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</si>
  <si>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</si>
  <si>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</si>
  <si>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</si>
  <si>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</si>
  <si>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</si>
  <si>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</si>
  <si>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</si>
  <si>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</si>
  <si>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</si>
  <si>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</si>
  <si>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</si>
  <si>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</si>
  <si>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</si>
  <si>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</si>
  <si>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</si>
  <si>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</si>
  <si>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</si>
  <si>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</si>
  <si>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</si>
  <si>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</si>
  <si>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</si>
  <si>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</si>
  <si>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</si>
  <si>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</si>
  <si>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</si>
  <si>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</si>
  <si>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</si>
  <si>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</si>
  <si>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</si>
  <si>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</si>
  <si>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</si>
  <si>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</si>
  <si>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</si>
  <si>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</si>
  <si>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</si>
  <si>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</si>
  <si>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</si>
  <si>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</si>
  <si>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</si>
  <si>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</si>
  <si>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</si>
  <si>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</si>
  <si>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</si>
  <si>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</si>
  <si>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</si>
  <si>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</si>
  <si>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</si>
  <si>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</si>
  <si>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</si>
  <si>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</si>
  <si>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</si>
  <si>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</si>
  <si>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</si>
  <si>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</si>
  <si>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</si>
  <si>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</si>
  <si>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</si>
  <si>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</si>
  <si>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</si>
  <si>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</si>
  <si>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</si>
  <si>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</si>
  <si>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</si>
  <si>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</si>
  <si>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</si>
  <si>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</si>
  <si>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</si>
  <si>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</si>
  <si>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</si>
  <si>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</si>
  <si>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</si>
  <si>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</si>
  <si>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</si>
  <si>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</si>
  <si>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</si>
  <si>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</si>
  <si>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</si>
  <si>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</si>
  <si>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</si>
  <si>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</si>
  <si>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</si>
  <si>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</si>
  <si>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</si>
  <si>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</si>
  <si>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</si>
  <si>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</si>
  <si>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</si>
  <si>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</si>
  <si>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</si>
  <si>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</si>
  <si>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</si>
  <si>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</si>
  <si>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</si>
  <si>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</si>
  <si>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</si>
  <si>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</si>
  <si>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</si>
  <si>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</si>
  <si>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</si>
  <si>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</si>
  <si>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</si>
  <si>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</si>
  <si>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</si>
  <si>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</si>
  <si>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</si>
  <si>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</si>
  <si>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</si>
  <si>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</si>
  <si>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</si>
  <si>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</si>
  <si>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</si>
  <si>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</si>
  <si>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</si>
  <si>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</si>
  <si>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</si>
  <si>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</si>
  <si>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</si>
  <si>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</si>
  <si>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</si>
  <si>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</si>
  <si>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</si>
  <si>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</si>
  <si>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</si>
  <si>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</si>
  <si>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</si>
  <si>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</si>
  <si>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</si>
  <si>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</si>
  <si>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</si>
  <si>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</si>
  <si>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</si>
  <si>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</si>
  <si>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</si>
  <si>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</si>
  <si>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</si>
  <si>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</si>
  <si>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</si>
  <si>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</si>
  <si>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</si>
  <si>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</si>
  <si>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</si>
  <si>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</si>
  <si>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</si>
  <si>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</si>
  <si>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</si>
  <si>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</si>
  <si>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</si>
  <si>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</si>
  <si>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</si>
  <si>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</si>
  <si>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</si>
  <si>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</si>
  <si>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</si>
  <si>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</si>
  <si>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</si>
  <si>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</si>
  <si>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</si>
  <si>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</si>
  <si>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</si>
  <si>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</si>
  <si>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</si>
  <si>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</si>
  <si>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</si>
  <si>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</si>
  <si>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</si>
  <si>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</si>
  <si>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</si>
  <si>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</si>
  <si>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</si>
  <si>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</si>
  <si>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</si>
  <si>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</si>
  <si>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</si>
  <si>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</si>
  <si>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</si>
  <si>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</si>
  <si>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</si>
  <si>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</si>
  <si>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</si>
  <si>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</si>
  <si>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</si>
  <si>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</si>
  <si>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</si>
  <si>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</si>
  <si>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</si>
  <si>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</si>
  <si>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</si>
  <si>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</si>
  <si>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</si>
  <si>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</si>
  <si>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</si>
  <si>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</si>
  <si>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</si>
  <si>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</si>
  <si>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</si>
  <si>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</si>
  <si>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</si>
  <si>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</si>
  <si>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</si>
  <si>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</si>
  <si>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</si>
  <si>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</si>
  <si>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</si>
  <si>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</si>
  <si>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</si>
  <si>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</si>
  <si>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</si>
  <si>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</si>
  <si>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</si>
  <si>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</si>
  <si>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</si>
  <si>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</si>
  <si>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</si>
  <si>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</si>
  <si>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</si>
  <si>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</si>
  <si>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</si>
  <si>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</si>
  <si>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</si>
  <si>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</si>
  <si>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</si>
  <si>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</si>
  <si>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</si>
  <si>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</si>
  <si>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</si>
  <si>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</si>
  <si>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</si>
  <si>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</si>
  <si>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</si>
  <si>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</si>
  <si>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</si>
  <si>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</si>
  <si>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</si>
  <si>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</si>
  <si>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</si>
  <si>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</si>
  <si>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</si>
  <si>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</si>
  <si>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</si>
  <si>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</si>
  <si>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</si>
  <si>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</si>
  <si>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</si>
  <si>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</si>
  <si>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</si>
  <si>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</si>
  <si>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</si>
  <si>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</si>
  <si>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</si>
  <si>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</si>
  <si>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</si>
  <si>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</si>
  <si>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</si>
  <si>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</si>
  <si>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</si>
  <si>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</si>
  <si>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</si>
  <si>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</si>
  <si>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</si>
  <si>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</si>
  <si>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</si>
  <si>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</si>
  <si>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</si>
  <si>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</si>
  <si>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</si>
  <si>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</si>
  <si>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</si>
  <si>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</si>
  <si>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</si>
  <si>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</si>
  <si>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</si>
  <si>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</si>
  <si>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</si>
  <si>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</si>
  <si>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</si>
  <si>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</si>
  <si>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</si>
  <si>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</si>
  <si>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</si>
  <si>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</si>
  <si>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</si>
  <si>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</si>
  <si>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</si>
  <si>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</si>
  <si>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</si>
  <si>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</si>
  <si>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</si>
  <si>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</si>
  <si>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</si>
  <si>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</si>
  <si>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</si>
  <si>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</si>
  <si>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</si>
  <si>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</si>
  <si>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</si>
  <si>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</si>
  <si>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</si>
  <si>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</si>
  <si>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</si>
  <si>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</si>
  <si>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</si>
  <si>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</si>
  <si>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</si>
  <si>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</si>
  <si>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</si>
  <si>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</si>
  <si>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</si>
  <si>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</si>
  <si>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</si>
  <si>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</si>
  <si>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</si>
  <si>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</si>
  <si>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</si>
  <si>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</si>
  <si>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</si>
  <si>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</si>
  <si>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</si>
  <si>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</si>
  <si>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</si>
  <si>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</si>
  <si>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</si>
  <si>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</si>
  <si>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</si>
  <si>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</si>
  <si>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</si>
  <si>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</si>
  <si>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</si>
  <si>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</si>
  <si>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</si>
  <si>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</si>
  <si>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</si>
  <si>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</si>
  <si>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</si>
  <si>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</si>
  <si>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</si>
  <si>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</si>
  <si>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</si>
  <si>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</si>
  <si>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</si>
  <si>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</si>
  <si>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</si>
  <si>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</si>
  <si>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</si>
  <si>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</si>
  <si>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</si>
  <si>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</si>
  <si>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</si>
  <si>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</si>
  <si>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</si>
  <si>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</si>
  <si>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</si>
  <si>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</si>
  <si>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</si>
  <si>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</si>
  <si>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</si>
  <si>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</si>
  <si>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</si>
  <si>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</si>
  <si>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</si>
  <si>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</si>
  <si>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</si>
  <si>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</si>
  <si>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</si>
  <si>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</si>
  <si>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</si>
  <si>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</si>
  <si>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</si>
  <si>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</si>
  <si>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</si>
  <si>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</si>
  <si>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</si>
  <si>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</si>
  <si>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</si>
  <si>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</si>
  <si>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</si>
  <si>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</si>
  <si>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</si>
  <si>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</si>
  <si>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</si>
  <si>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</si>
  <si>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</si>
  <si>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</si>
  <si>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</si>
  <si>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</si>
  <si>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</si>
  <si>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</si>
  <si>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</si>
  <si>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</si>
  <si>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</si>
  <si>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</si>
  <si>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</si>
  <si>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</si>
  <si>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</si>
  <si>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</si>
  <si>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</si>
  <si>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</si>
  <si>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</si>
  <si>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</si>
  <si>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</si>
  <si>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</si>
  <si>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</si>
  <si>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</si>
  <si>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</si>
  <si>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</si>
  <si>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</si>
  <si>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</si>
  <si>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</si>
  <si>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</si>
  <si>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</si>
  <si>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</si>
  <si>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</si>
  <si>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</si>
  <si>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</si>
  <si>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</si>
  <si>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</si>
  <si>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</si>
  <si>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</si>
  <si>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</si>
  <si>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</si>
  <si>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</si>
  <si>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</si>
  <si>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</si>
  <si>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</si>
  <si>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</si>
  <si>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</si>
  <si>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</si>
  <si>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</si>
  <si>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</si>
  <si>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</si>
  <si>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</si>
  <si>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</si>
  <si>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</si>
  <si>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</si>
  <si>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</si>
  <si>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</si>
  <si>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</si>
  <si>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</si>
  <si>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</si>
  <si>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</si>
  <si>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</si>
  <si>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</si>
  <si>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</si>
  <si>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</si>
  <si>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</si>
  <si>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</si>
  <si>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</si>
  <si>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</si>
  <si>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</si>
  <si>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</si>
  <si>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</si>
  <si>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</si>
  <si>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</si>
  <si>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</si>
  <si>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</si>
  <si>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</si>
  <si>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</si>
  <si>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</si>
  <si>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</si>
  <si>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</si>
  <si>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</si>
  <si>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</si>
  <si>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</si>
  <si>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</si>
  <si>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</si>
  <si>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</si>
  <si>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</si>
  <si>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</si>
  <si>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</si>
  <si>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</si>
  <si>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</si>
  <si>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</si>
  <si>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</si>
  <si>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</si>
  <si>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</si>
  <si>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</si>
  <si>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</si>
  <si>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</si>
  <si>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</si>
  <si>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</si>
  <si>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</si>
  <si>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</si>
  <si>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</si>
  <si>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</si>
  <si>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</si>
  <si>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</si>
  <si>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</si>
  <si>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</si>
  <si>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</si>
  <si>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</si>
  <si>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</si>
  <si>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</si>
  <si>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</si>
  <si>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</si>
  <si>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</si>
  <si>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</si>
  <si>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</si>
  <si>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</si>
  <si>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</si>
  <si>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</si>
  <si>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</si>
  <si>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</si>
  <si>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</si>
  <si>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</si>
  <si>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</si>
  <si>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</si>
  <si>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</si>
  <si>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</si>
  <si>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</si>
  <si>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</si>
  <si>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</si>
  <si>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</si>
  <si>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</si>
  <si>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</si>
  <si>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</si>
  <si>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</si>
  <si>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</si>
  <si>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</si>
  <si>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</si>
  <si>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</si>
  <si>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</si>
  <si>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</si>
  <si>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</si>
  <si>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</si>
  <si>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</si>
  <si>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</si>
  <si>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</si>
  <si>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</si>
  <si>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</si>
  <si>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</si>
  <si>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</si>
  <si>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</si>
  <si>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</si>
  <si>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</si>
  <si>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</si>
  <si>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</si>
  <si>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</si>
  <si>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</si>
  <si>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</si>
  <si>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</si>
  <si>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</si>
  <si>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</si>
  <si>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</si>
  <si>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</si>
  <si>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</si>
  <si>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</si>
  <si>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</si>
  <si>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</si>
  <si>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</si>
  <si>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</si>
  <si>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</si>
  <si>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</si>
  <si>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</si>
  <si>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</si>
  <si>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</si>
  <si>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</si>
  <si>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</si>
  <si>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</si>
  <si>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</si>
  <si>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</si>
  <si>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</si>
  <si>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</si>
  <si>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</si>
  <si>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</si>
  <si>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</si>
  <si>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</si>
  <si>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</si>
  <si>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</si>
  <si>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</si>
  <si>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</si>
  <si>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</si>
  <si>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</si>
  <si>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</si>
  <si>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</si>
  <si>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</si>
  <si>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</si>
  <si>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</si>
  <si>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</si>
  <si>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</si>
  <si>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</si>
  <si>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</si>
  <si>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</si>
  <si>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</si>
  <si>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</si>
  <si>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</si>
  <si>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</si>
  <si>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</si>
  <si>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</si>
  <si>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</si>
  <si>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</si>
  <si>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</si>
  <si>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</si>
  <si>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</si>
  <si>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</si>
  <si>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</si>
  <si>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</si>
  <si>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</si>
  <si>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</si>
  <si>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</si>
  <si>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</si>
  <si>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</si>
  <si>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</si>
  <si>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</si>
  <si>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</si>
  <si>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</si>
  <si>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</si>
  <si>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</si>
  <si>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</si>
  <si>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</si>
  <si>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</si>
  <si>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</si>
  <si>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</si>
  <si>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</si>
  <si>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</si>
  <si>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</si>
  <si>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</si>
  <si>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</si>
  <si>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</si>
  <si>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</si>
  <si>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</si>
  <si>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</si>
  <si>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</si>
  <si>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</si>
  <si>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</si>
  <si>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</si>
  <si>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</si>
  <si>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</si>
  <si>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</si>
  <si>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</si>
  <si>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</si>
  <si>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</si>
  <si>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</si>
  <si>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</si>
  <si>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</si>
  <si>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</si>
  <si>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</si>
  <si>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</si>
  <si>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</si>
  <si>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</si>
  <si>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</si>
  <si>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</si>
  <si>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</si>
  <si>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</si>
  <si>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</si>
  <si>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</si>
  <si>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</si>
  <si>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</si>
  <si>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</si>
  <si>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</si>
  <si>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</si>
  <si>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</si>
  <si>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</si>
  <si>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</si>
  <si>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</si>
  <si>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</si>
  <si>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</si>
  <si>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</si>
  <si>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</si>
  <si>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</si>
  <si>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</si>
  <si>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</si>
  <si>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</si>
  <si>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</si>
  <si>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</si>
  <si>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</si>
  <si>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</si>
  <si>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</si>
  <si>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</si>
  <si>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</si>
  <si>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</si>
  <si>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</si>
  <si>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</si>
  <si>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</si>
  <si>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</si>
  <si>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</si>
  <si>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</si>
  <si>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</si>
  <si>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</si>
  <si>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</si>
  <si>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</si>
  <si>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</si>
  <si>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</si>
  <si>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</si>
  <si>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</si>
  <si>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</si>
  <si>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</si>
  <si>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</si>
  <si>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</si>
  <si>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</si>
  <si>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</si>
  <si>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</si>
  <si>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</si>
  <si>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</si>
  <si>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</si>
  <si>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</si>
  <si>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</si>
  <si>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</si>
  <si>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</si>
  <si>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</si>
  <si>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</si>
  <si>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</si>
  <si>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</si>
  <si>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</si>
  <si>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</si>
  <si>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</si>
  <si>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</si>
  <si>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</si>
  <si>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</si>
  <si>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</si>
  <si>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</si>
  <si>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</si>
  <si>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</si>
  <si>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</si>
  <si>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</si>
  <si>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</si>
  <si>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</si>
  <si>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</si>
  <si>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</si>
  <si>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</si>
  <si>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</si>
  <si>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</si>
  <si>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</si>
  <si>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</si>
  <si>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</si>
  <si>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</si>
  <si>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</si>
  <si>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</si>
  <si>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</si>
  <si>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</si>
  <si>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</si>
  <si>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</si>
  <si>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</si>
  <si>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</si>
  <si>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</si>
  <si>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</si>
  <si>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</si>
  <si>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</si>
  <si>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</si>
  <si>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</si>
  <si>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</si>
  <si>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</si>
  <si>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</si>
  <si>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</si>
  <si>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</si>
  <si>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</si>
  <si>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</si>
  <si>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</si>
  <si>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</si>
  <si>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</si>
  <si>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</si>
  <si>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</si>
  <si>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</si>
  <si>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</si>
  <si>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</si>
  <si>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</si>
  <si>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</si>
  <si>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</si>
  <si>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</si>
  <si>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</si>
  <si>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</si>
  <si>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</si>
  <si>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</si>
  <si>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</si>
  <si>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</si>
  <si>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</si>
  <si>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</si>
  <si>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</si>
  <si>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</si>
  <si>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</si>
  <si>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</si>
  <si>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</si>
  <si>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</si>
  <si>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</si>
  <si>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</si>
  <si>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</si>
  <si>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</si>
  <si>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</si>
  <si>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</si>
  <si>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</si>
  <si>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</si>
  <si>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</si>
  <si>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</si>
  <si>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</si>
  <si>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</si>
  <si>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</si>
  <si>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</si>
  <si>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</si>
  <si>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</si>
  <si>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</si>
  <si>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</si>
  <si>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</si>
  <si>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</si>
  <si>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</si>
  <si>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</si>
  <si>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</si>
  <si>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</si>
  <si>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</si>
  <si>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</si>
  <si>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</si>
  <si>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</si>
  <si>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</si>
  <si>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</si>
  <si>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</si>
  <si>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</si>
  <si>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</si>
  <si>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</si>
  <si>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</si>
  <si>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</si>
  <si>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</si>
  <si>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</si>
  <si>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</si>
  <si>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</si>
  <si>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</si>
  <si>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</si>
  <si>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</si>
  <si>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</si>
  <si>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</si>
  <si>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</si>
  <si>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</si>
  <si>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</si>
  <si>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</si>
  <si>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</si>
  <si>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</si>
  <si>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</si>
  <si>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</si>
  <si>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</si>
  <si>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</si>
  <si>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</si>
  <si>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</si>
  <si>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</si>
  <si>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</si>
  <si>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</si>
  <si>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</si>
  <si>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</si>
  <si>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</si>
  <si>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</si>
  <si>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</si>
  <si>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</si>
  <si>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</si>
  <si>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</si>
  <si>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</si>
  <si>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</si>
  <si>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</si>
  <si>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</si>
  <si>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</si>
  <si>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</si>
  <si>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</si>
  <si>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</si>
  <si>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</si>
  <si>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</si>
  <si>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</si>
  <si>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</si>
  <si>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</si>
  <si>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</si>
  <si>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</si>
  <si>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</si>
  <si>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</si>
  <si>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</si>
  <si>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</si>
  <si>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</si>
  <si>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</si>
  <si>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</si>
  <si>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</si>
  <si>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</si>
  <si>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</si>
  <si>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</si>
  <si>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</si>
  <si>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</si>
  <si>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</si>
  <si>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</si>
  <si>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</si>
  <si>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</si>
  <si>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</si>
  <si>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</si>
  <si>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</si>
  <si>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</si>
  <si>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</si>
  <si>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</si>
  <si>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</si>
  <si>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</si>
  <si>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</si>
  <si>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</si>
  <si>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</si>
  <si>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</si>
  <si>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</si>
  <si>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</si>
  <si>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</si>
  <si>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</si>
  <si>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</si>
  <si>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</si>
  <si>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</si>
  <si>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</si>
  <si>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</si>
  <si>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</si>
  <si>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</si>
  <si>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</si>
  <si>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</si>
  <si>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</si>
  <si>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</si>
  <si>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</si>
  <si>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</si>
  <si>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</si>
  <si>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</si>
  <si>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</si>
  <si>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</si>
  <si>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</si>
  <si>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</si>
  <si>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</si>
  <si>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</si>
  <si>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</si>
  <si>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</si>
  <si>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</si>
  <si>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</si>
  <si>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</si>
  <si>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</si>
  <si>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</si>
  <si>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</si>
  <si>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</si>
  <si>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</si>
  <si>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</si>
  <si>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</si>
  <si>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</si>
  <si>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</si>
  <si>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</si>
  <si>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</si>
  <si>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</si>
  <si>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</si>
  <si>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</si>
  <si>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</si>
  <si>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</si>
  <si>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</si>
  <si>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</si>
  <si>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</si>
  <si>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</si>
  <si>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</si>
  <si>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</si>
  <si>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</si>
  <si>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</si>
  <si>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</si>
  <si>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</si>
  <si>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</si>
  <si>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</si>
  <si>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</si>
  <si>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</si>
  <si>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</si>
  <si>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</si>
  <si>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</si>
  <si>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</si>
  <si>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</si>
  <si>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</si>
  <si>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</si>
  <si>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</si>
  <si>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</si>
  <si>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</si>
  <si>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</si>
  <si>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</si>
  <si>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</si>
  <si>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</si>
  <si>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</si>
  <si>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</si>
  <si>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</si>
  <si>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</si>
  <si>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</si>
  <si>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</si>
  <si>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</si>
  <si>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</si>
  <si>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</si>
  <si>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</si>
  <si>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</si>
  <si>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</si>
  <si>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</si>
  <si>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</si>
  <si>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</si>
  <si>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</si>
  <si>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</si>
  <si>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</si>
  <si>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</si>
  <si>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</si>
  <si>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</si>
  <si>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</si>
  <si>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</si>
  <si>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</si>
  <si>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</si>
  <si>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</si>
  <si>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</si>
  <si>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</si>
  <si>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</si>
  <si>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</si>
  <si>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</si>
  <si>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</si>
  <si>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</si>
  <si>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</si>
  <si>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</si>
  <si>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</si>
  <si>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</si>
  <si>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</si>
  <si>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</si>
  <si>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</si>
  <si>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</si>
  <si>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</si>
  <si>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</si>
  <si>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</si>
  <si>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</si>
  <si>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</si>
  <si>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</si>
  <si>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</si>
  <si>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</si>
  <si>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</si>
  <si>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</si>
  <si>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</si>
  <si>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</si>
  <si>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</si>
  <si>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</si>
  <si>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</si>
  <si>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</si>
  <si>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</si>
  <si>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</si>
  <si>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</si>
  <si>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</si>
  <si>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</si>
  <si>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</si>
  <si>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</si>
  <si>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</si>
  <si>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</si>
  <si>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</si>
  <si>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</si>
  <si>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</si>
  <si>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</si>
  <si>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</si>
  <si>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</si>
  <si>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</si>
  <si>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</si>
  <si>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</si>
  <si>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</si>
  <si>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</si>
  <si>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</si>
  <si>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</si>
  <si>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</si>
  <si>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</si>
  <si>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</si>
  <si>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</si>
  <si>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</si>
  <si>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</si>
  <si>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</si>
  <si>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</si>
  <si>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</si>
  <si>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</si>
  <si>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</si>
  <si>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</si>
  <si>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</si>
  <si>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</si>
  <si>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</si>
  <si>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</si>
  <si>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</si>
  <si>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</si>
  <si>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</si>
  <si>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</si>
  <si>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</si>
  <si>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</si>
  <si>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</si>
  <si>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</si>
  <si>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</si>
  <si>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</si>
  <si>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</si>
  <si>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</si>
  <si>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</si>
  <si>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</si>
  <si>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</si>
  <si>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</si>
  <si>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</si>
  <si>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</si>
  <si>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</si>
  <si>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</si>
  <si>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</si>
  <si>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</si>
  <si>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</si>
  <si>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</si>
  <si>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</si>
  <si>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</si>
  <si>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</si>
  <si>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</si>
  <si>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</si>
  <si>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</si>
  <si>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</si>
  <si>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</si>
  <si>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</si>
  <si>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</si>
  <si>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</si>
  <si>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</si>
  <si>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</si>
  <si>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</si>
  <si>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</si>
  <si>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</si>
  <si>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</si>
  <si>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</si>
  <si>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</si>
  <si>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</si>
  <si>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</si>
  <si>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</si>
  <si>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</si>
  <si>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</si>
  <si>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</si>
  <si>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</si>
  <si>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</si>
  <si>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</si>
  <si>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</si>
  <si>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</si>
  <si>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</si>
  <si>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</si>
  <si>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</si>
  <si>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</si>
  <si>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</si>
  <si>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</si>
  <si>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</si>
  <si>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</si>
  <si>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</si>
  <si>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</si>
  <si>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</si>
  <si>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</si>
  <si>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</si>
  <si>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</si>
  <si>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</si>
  <si>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</si>
  <si>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</si>
  <si>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</si>
  <si>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</si>
  <si>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</si>
  <si>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</si>
  <si>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</si>
  <si>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</si>
  <si>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</si>
  <si>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</si>
  <si>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</si>
  <si>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</si>
  <si>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</si>
  <si>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</si>
  <si>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</si>
  <si>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</si>
  <si>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</si>
  <si>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</si>
  <si>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</si>
  <si>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</si>
  <si>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</si>
  <si>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</si>
  <si>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</si>
  <si>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</si>
  <si>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</si>
  <si>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</si>
  <si>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</si>
  <si>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</si>
  <si>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</si>
  <si>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</si>
  <si>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</si>
  <si>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</si>
  <si>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</si>
  <si>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</si>
  <si>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</si>
  <si>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</si>
  <si>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</si>
  <si>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</si>
  <si>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</si>
  <si>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</si>
  <si>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</si>
  <si>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</si>
  <si>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</si>
  <si>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</si>
  <si>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</si>
  <si>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</si>
  <si>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</si>
  <si>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</si>
  <si>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</si>
  <si>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</si>
  <si>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</si>
  <si>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</si>
  <si>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</si>
  <si>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</si>
  <si>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</si>
  <si>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</si>
  <si>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</si>
  <si>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</si>
  <si>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</si>
  <si>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</si>
  <si>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</si>
  <si>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</si>
  <si>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</si>
  <si>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</si>
  <si>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</si>
  <si>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</si>
  <si>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</si>
  <si>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</si>
  <si>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</si>
  <si>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</si>
  <si>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</si>
  <si>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</si>
  <si>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</si>
  <si>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</si>
  <si>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</si>
  <si>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</si>
  <si>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</si>
  <si>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</si>
  <si>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</si>
  <si>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</si>
  <si>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</si>
  <si>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</si>
  <si>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</si>
  <si>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</si>
  <si>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</si>
  <si>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</si>
  <si>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</si>
  <si>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</si>
  <si>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</si>
  <si>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</si>
  <si>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</si>
  <si>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</si>
  <si>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</si>
  <si>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</si>
  <si>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</si>
  <si>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</si>
  <si>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</si>
  <si>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</si>
  <si>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</si>
  <si>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</si>
  <si>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</si>
  <si>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</si>
  <si>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</si>
  <si>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</si>
  <si>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</si>
  <si>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</si>
  <si>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</si>
  <si>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</si>
  <si>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</si>
  <si>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</si>
  <si>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</si>
  <si>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</si>
  <si>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</si>
  <si>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</si>
  <si>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</si>
  <si>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</si>
  <si>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</si>
  <si>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</si>
  <si>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</si>
  <si>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</si>
  <si>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</si>
  <si>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</si>
  <si>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</si>
  <si>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</si>
  <si>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</si>
  <si>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</si>
  <si>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</si>
  <si>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</si>
  <si>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</si>
  <si>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</si>
  <si>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</si>
  <si>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</si>
  <si>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</si>
  <si>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</si>
  <si>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</si>
  <si>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</si>
  <si>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</si>
  <si>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</si>
  <si>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</si>
  <si>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</si>
  <si>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</si>
  <si>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</si>
  <si>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</si>
  <si>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</si>
  <si>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</si>
  <si>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</si>
  <si>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</si>
  <si>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</si>
  <si>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</si>
  <si>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</si>
  <si>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</si>
  <si>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</si>
  <si>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</si>
  <si>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</si>
  <si>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</si>
  <si>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</si>
  <si>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</si>
  <si>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</si>
  <si>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</si>
  <si>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</si>
  <si>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</si>
  <si>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</si>
  <si>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</si>
  <si>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</si>
  <si>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</si>
  <si>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</si>
  <si>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</si>
  <si>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</si>
  <si>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</si>
  <si>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</si>
  <si>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</si>
  <si>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</si>
  <si>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</si>
  <si>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</si>
  <si>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</si>
  <si>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</si>
  <si>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</si>
  <si>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</si>
  <si>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</si>
  <si>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</si>
  <si>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</si>
  <si>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</si>
  <si>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</si>
  <si>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</si>
  <si>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</si>
  <si>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</si>
  <si>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</si>
  <si>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</si>
  <si>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</si>
  <si>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</si>
  <si>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</si>
  <si>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</si>
  <si>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</si>
  <si>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</si>
  <si>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</si>
  <si>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</si>
  <si>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</si>
  <si>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</si>
  <si>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</si>
  <si>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</si>
  <si>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</si>
  <si>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</si>
  <si>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</si>
  <si>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</si>
  <si>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</si>
  <si>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</si>
  <si>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</si>
  <si>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</si>
  <si>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</si>
  <si>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</si>
  <si>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</si>
  <si>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</si>
  <si>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</si>
  <si>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</si>
  <si>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</si>
  <si>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</si>
  <si>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</si>
  <si>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</si>
  <si>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</si>
  <si>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</si>
  <si>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</si>
  <si>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</si>
  <si>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</si>
  <si>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</si>
  <si>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</si>
  <si>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</si>
  <si>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</si>
  <si>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</si>
  <si>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</si>
  <si>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</si>
  <si>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</si>
  <si>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</si>
  <si>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</si>
  <si>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</si>
  <si>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</si>
  <si>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</si>
  <si>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</si>
  <si>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</si>
  <si>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</si>
  <si>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</si>
  <si>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</si>
  <si>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</si>
  <si>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</si>
  <si>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</si>
  <si>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</si>
  <si>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</si>
  <si>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</si>
  <si>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</si>
  <si>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</si>
  <si>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</si>
  <si>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</si>
  <si>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</si>
  <si>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</si>
  <si>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</si>
  <si>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</si>
  <si>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</si>
  <si>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</si>
  <si>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</si>
  <si>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</si>
  <si>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</si>
  <si>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</si>
  <si>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</si>
  <si>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</si>
  <si>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</si>
  <si>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</si>
  <si>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</si>
  <si>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</si>
  <si>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</si>
  <si>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</si>
  <si>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</si>
  <si>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</si>
  <si>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</si>
  <si>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</si>
  <si>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</si>
  <si>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</si>
  <si>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</si>
  <si>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</si>
  <si>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</si>
  <si>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</si>
  <si>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</si>
  <si>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</si>
  <si>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</si>
  <si>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</si>
  <si>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</si>
  <si>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</si>
  <si>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</si>
  <si>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</si>
  <si>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</si>
  <si>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</si>
  <si>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</si>
  <si>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</si>
  <si>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</si>
  <si>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</si>
  <si>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</si>
  <si>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</si>
  <si>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</si>
  <si>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</si>
  <si>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</si>
  <si>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</si>
  <si>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</si>
  <si>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</si>
  <si>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</si>
  <si>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</si>
  <si>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</si>
  <si>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</si>
  <si>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</si>
  <si>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</si>
  <si>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</si>
  <si>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</si>
  <si>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</si>
  <si>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</si>
  <si>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</si>
  <si>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</si>
  <si>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</si>
  <si>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</si>
  <si>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</si>
  <si>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</si>
  <si>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</si>
  <si>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</si>
  <si>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</si>
  <si>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</si>
  <si>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</si>
  <si>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</si>
  <si>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</si>
  <si>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</si>
  <si>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</si>
  <si>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</si>
  <si>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</si>
  <si>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</si>
  <si>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</si>
  <si>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</si>
  <si>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</si>
  <si>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</si>
  <si>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</si>
  <si>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</si>
  <si>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</si>
  <si>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</si>
  <si>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</si>
  <si>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</si>
  <si>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</si>
  <si>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</si>
  <si>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</si>
  <si>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</si>
  <si>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</si>
  <si>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</si>
  <si>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</si>
  <si>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</si>
  <si>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</si>
  <si>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</si>
  <si>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</si>
  <si>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</si>
  <si>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</si>
  <si>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</si>
  <si>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</si>
  <si>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</si>
  <si>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</si>
  <si>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</si>
  <si>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</si>
  <si>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</si>
  <si>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</si>
  <si>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</si>
  <si>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</si>
  <si>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</si>
  <si>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</si>
  <si>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</si>
  <si>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</si>
  <si>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</si>
  <si>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</si>
  <si>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</si>
  <si>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</si>
  <si>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</si>
  <si>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</si>
  <si>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</si>
  <si>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</si>
  <si>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</si>
  <si>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</si>
  <si>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</si>
  <si>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</si>
  <si>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</si>
  <si>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</si>
  <si>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</si>
  <si>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</si>
  <si>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</si>
  <si>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</si>
  <si>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</si>
  <si>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</si>
  <si>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</si>
  <si>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</si>
  <si>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</si>
  <si>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</si>
  <si>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</si>
  <si>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</si>
  <si>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</si>
  <si>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</si>
  <si>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</si>
  <si>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</si>
  <si>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</si>
  <si>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</si>
  <si>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</si>
  <si>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</si>
  <si>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</si>
  <si>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</si>
  <si>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</si>
  <si>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</si>
  <si>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</si>
  <si>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</si>
  <si>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</si>
  <si>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</si>
  <si>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</si>
  <si>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</si>
  <si>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</si>
  <si>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</si>
  <si>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</si>
  <si>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</si>
  <si>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</si>
  <si>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</si>
  <si>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</si>
  <si>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</si>
  <si>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</si>
  <si>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</si>
  <si>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</si>
  <si>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</si>
  <si>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</si>
  <si>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</si>
  <si>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</si>
  <si>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</si>
  <si>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</si>
  <si>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</si>
  <si>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</si>
  <si>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</si>
  <si>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</si>
  <si>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</si>
  <si>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</si>
  <si>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</si>
  <si>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</si>
  <si>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</si>
  <si>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</si>
  <si>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</si>
  <si>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</si>
  <si>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</si>
  <si>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</si>
  <si>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</si>
  <si>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</si>
  <si>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</si>
  <si>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</si>
  <si>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</si>
  <si>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</si>
  <si>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</si>
  <si>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</si>
  <si>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</si>
  <si>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</si>
  <si>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</si>
  <si>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</si>
  <si>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</si>
  <si>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</si>
  <si>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</si>
  <si>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</si>
  <si>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</si>
  <si>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</si>
  <si>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</si>
  <si>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</si>
  <si>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</si>
  <si>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</si>
  <si>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</si>
  <si>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</si>
  <si>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</si>
  <si>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</si>
  <si>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</si>
  <si>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</si>
  <si>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</si>
  <si>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</si>
  <si>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</si>
  <si>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</si>
  <si>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</si>
  <si>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</si>
  <si>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</si>
  <si>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</si>
  <si>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</si>
  <si>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</si>
  <si>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</si>
  <si>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</si>
  <si>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</si>
  <si>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</si>
  <si>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</si>
  <si>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</si>
  <si>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</si>
  <si>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</si>
  <si>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</si>
  <si>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</si>
  <si>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</si>
  <si>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</si>
  <si>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</si>
  <si>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</si>
  <si>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</si>
  <si>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</si>
  <si>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</si>
  <si>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</si>
  <si>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</si>
  <si>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</si>
  <si>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</si>
  <si>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</si>
  <si>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</si>
  <si>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</si>
  <si>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</si>
  <si>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</si>
  <si>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</si>
  <si>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</si>
  <si>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</si>
  <si>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</si>
  <si>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</si>
  <si>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</si>
  <si>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</si>
  <si>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</si>
  <si>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</si>
  <si>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</si>
  <si>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</si>
  <si>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</si>
  <si>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</si>
  <si>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</si>
  <si>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</si>
  <si>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</si>
  <si>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</si>
  <si>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</si>
  <si>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</si>
  <si>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</si>
  <si>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</si>
  <si>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</si>
  <si>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</si>
  <si>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</si>
  <si>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</si>
  <si>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</si>
  <si>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</si>
  <si>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</si>
  <si>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</si>
  <si>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</si>
  <si>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</si>
  <si>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</si>
  <si>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</si>
  <si>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</si>
  <si>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</si>
  <si>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</si>
  <si>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</si>
  <si>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</si>
  <si>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</si>
  <si>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</si>
  <si>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</si>
  <si>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</si>
  <si>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</si>
  <si>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</si>
  <si>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</si>
  <si>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</si>
  <si>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</si>
  <si>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</si>
  <si>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</si>
  <si>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</si>
  <si>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</si>
  <si>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</si>
  <si>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</si>
  <si>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</si>
  <si>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</si>
  <si>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</si>
  <si>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</si>
  <si>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</si>
  <si>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</si>
  <si>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</si>
  <si>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</si>
  <si>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</si>
  <si>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</si>
  <si>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</si>
  <si>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</si>
  <si>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</si>
  <si>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</si>
  <si>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</si>
  <si>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</si>
  <si>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</si>
  <si>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</si>
  <si>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</si>
  <si>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</si>
  <si>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</si>
  <si>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</si>
  <si>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</si>
  <si>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</si>
  <si>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</si>
  <si>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</si>
  <si>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</si>
  <si>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</si>
  <si>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</si>
  <si>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</si>
  <si>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</si>
  <si>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</si>
  <si>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</si>
  <si>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</si>
  <si>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</si>
  <si>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</si>
  <si>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</si>
  <si>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</si>
  <si>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</si>
  <si>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</si>
  <si>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</si>
  <si>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</si>
  <si>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</si>
  <si>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</si>
  <si>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</si>
  <si>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</si>
  <si>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</si>
  <si>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</si>
  <si>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</si>
  <si>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</si>
  <si>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</si>
  <si>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</si>
  <si>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</si>
  <si>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</si>
  <si>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</si>
  <si>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</si>
  <si>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</si>
  <si>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</si>
  <si>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</si>
  <si>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</si>
  <si>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</si>
  <si>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</si>
  <si>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</si>
  <si>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</si>
  <si>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</si>
  <si>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</si>
  <si>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</si>
  <si>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</si>
  <si>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</si>
  <si>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</si>
  <si>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</si>
  <si>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</si>
  <si>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</si>
  <si>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</si>
  <si>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</si>
  <si>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</si>
  <si>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</si>
  <si>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</si>
  <si>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</si>
  <si>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</si>
  <si>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</si>
  <si>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</si>
  <si>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</si>
  <si>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</si>
  <si>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</si>
  <si>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</si>
  <si>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</si>
  <si>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</si>
  <si>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</si>
  <si>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</si>
  <si>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</si>
  <si>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</si>
  <si>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</si>
  <si>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</si>
  <si>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</si>
  <si>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</si>
  <si>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</si>
  <si>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</si>
  <si>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</si>
  <si>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</si>
  <si>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</si>
  <si>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</si>
  <si>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</si>
  <si>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</si>
  <si>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</si>
  <si>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</si>
  <si>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</si>
  <si>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</si>
  <si>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</si>
  <si>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</si>
  <si>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</si>
  <si>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</si>
  <si>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</si>
  <si>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</si>
  <si>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</si>
  <si>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</si>
  <si>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</si>
  <si>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</si>
  <si>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</si>
  <si>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</si>
  <si>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</si>
  <si>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</si>
  <si>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</si>
  <si>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</si>
  <si>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</si>
  <si>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</si>
  <si>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</si>
  <si>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</si>
  <si>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</si>
  <si>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</si>
  <si>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</si>
  <si>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</si>
  <si>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</si>
  <si>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</si>
  <si>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</si>
  <si>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</si>
  <si>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</si>
  <si>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</si>
  <si>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</si>
  <si>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</si>
  <si>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</si>
  <si>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</si>
  <si>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</si>
  <si>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</si>
  <si>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</si>
  <si>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</si>
  <si>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</si>
  <si>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</si>
  <si>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</si>
  <si>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</si>
  <si>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</si>
  <si>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</si>
  <si>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</si>
  <si>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</si>
  <si>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</si>
  <si>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</si>
  <si>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</si>
  <si>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</si>
  <si>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</si>
  <si>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</si>
  <si>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</si>
  <si>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</si>
  <si>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</si>
  <si>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</si>
  <si>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</si>
  <si>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</si>
  <si>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</si>
  <si>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</si>
  <si>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</si>
  <si>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</si>
  <si>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</si>
  <si>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</si>
  <si>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</si>
  <si>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</si>
  <si>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</si>
  <si>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</si>
  <si>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</si>
  <si>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</si>
  <si>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</si>
  <si>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</si>
  <si>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</si>
  <si>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</si>
  <si>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</si>
  <si>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</si>
  <si>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</si>
  <si>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</si>
  <si>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</si>
  <si>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</si>
  <si>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</si>
  <si>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</si>
  <si>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</si>
  <si>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</si>
  <si>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</si>
  <si>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</si>
  <si>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</si>
  <si>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</si>
  <si>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</si>
  <si>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</si>
  <si>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</si>
  <si>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</si>
  <si>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</si>
  <si>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</si>
  <si>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</si>
  <si>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</si>
  <si>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</si>
  <si>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</si>
  <si>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</si>
  <si>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</si>
  <si>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</si>
  <si>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</si>
  <si>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</si>
  <si>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</si>
  <si>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</si>
  <si>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</si>
  <si>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</si>
  <si>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</si>
  <si>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</si>
  <si>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</si>
  <si>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</si>
  <si>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</si>
  <si>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</si>
  <si>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</si>
  <si>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</si>
  <si>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</si>
  <si>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</si>
  <si>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</si>
  <si>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</si>
  <si>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</si>
  <si>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</si>
  <si>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</si>
  <si>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</si>
  <si>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</si>
  <si>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</si>
  <si>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</si>
  <si>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</si>
  <si>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</si>
  <si>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</si>
  <si>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</si>
  <si>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</si>
  <si>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</si>
  <si>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</si>
  <si>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</si>
  <si>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</si>
  <si>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</si>
  <si>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</si>
  <si>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</si>
  <si>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</si>
  <si>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</si>
  <si>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</si>
  <si>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</si>
  <si>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</si>
  <si>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</si>
  <si>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</si>
  <si>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</si>
  <si>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</si>
  <si>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</si>
  <si>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</si>
  <si>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</si>
  <si>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</si>
  <si>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</si>
  <si>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</si>
  <si>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</si>
  <si>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</si>
  <si>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</si>
  <si>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</si>
  <si>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</si>
  <si>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</si>
  <si>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</si>
  <si>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</si>
  <si>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</si>
  <si>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</si>
  <si>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</si>
  <si>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</si>
  <si>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</si>
  <si>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</si>
  <si>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</si>
  <si>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</si>
  <si>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</si>
  <si>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</si>
  <si>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</si>
  <si>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</si>
  <si>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</si>
  <si>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</si>
  <si>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</si>
  <si>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</si>
  <si>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</si>
  <si>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</si>
  <si>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</si>
  <si>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</si>
  <si>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</si>
  <si>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</si>
  <si>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</si>
  <si>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</si>
  <si>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</si>
  <si>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</si>
  <si>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</si>
  <si>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</si>
  <si>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</si>
  <si>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</si>
  <si>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</si>
  <si>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</si>
  <si>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</si>
  <si>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</si>
  <si>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</si>
  <si>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</si>
  <si>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</si>
  <si>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</si>
  <si>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</si>
  <si>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</si>
  <si>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</si>
  <si>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</si>
  <si>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</si>
  <si>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</si>
  <si>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</si>
  <si>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</si>
  <si>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</si>
  <si>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</si>
  <si>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</si>
  <si>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</si>
  <si>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</si>
  <si>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</si>
  <si>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</si>
  <si>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</si>
  <si>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</si>
  <si>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</si>
  <si>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</si>
  <si>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</si>
  <si>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</si>
  <si>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</si>
  <si>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</si>
  <si>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</si>
  <si>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</si>
  <si>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</si>
  <si>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</si>
  <si>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</si>
  <si>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</si>
  <si>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</si>
  <si>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</si>
  <si>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</si>
  <si>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</si>
  <si>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</si>
  <si>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</si>
  <si>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</si>
  <si>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</si>
  <si>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</si>
  <si>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</si>
  <si>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</si>
  <si>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</si>
  <si>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</si>
  <si>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</si>
  <si>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</si>
  <si>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</si>
  <si>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</si>
  <si>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</si>
  <si>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</si>
  <si>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</si>
  <si>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</si>
  <si>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</si>
  <si>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</si>
  <si>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</si>
  <si>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</si>
  <si>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</si>
  <si>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</si>
  <si>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</si>
  <si>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</si>
  <si>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</si>
  <si>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</si>
  <si>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</si>
  <si>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</si>
  <si>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</si>
  <si>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</si>
  <si>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</si>
  <si>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</si>
  <si>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</si>
  <si>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</si>
  <si>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</si>
  <si>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</si>
  <si>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</si>
  <si>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</si>
  <si>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</si>
  <si>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</si>
  <si>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</si>
  <si>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</si>
  <si>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</si>
  <si>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</si>
  <si>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</si>
  <si>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</si>
  <si>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</si>
  <si>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</si>
  <si>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</si>
  <si>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</si>
  <si>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</si>
  <si>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</si>
  <si>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</si>
  <si>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</si>
  <si>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</si>
  <si>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</si>
  <si>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</si>
  <si>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</si>
  <si>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</si>
  <si>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</si>
  <si>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</si>
  <si>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</si>
  <si>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</si>
  <si>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</si>
  <si>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</si>
  <si>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</si>
  <si>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</si>
  <si>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</si>
  <si>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</si>
  <si>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</si>
  <si>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</si>
  <si>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</si>
  <si>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</si>
  <si>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</si>
  <si>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</si>
  <si>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</si>
  <si>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</si>
  <si>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</si>
  <si>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</si>
  <si>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</si>
  <si>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</si>
  <si>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</si>
  <si>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</si>
  <si>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</si>
  <si>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</si>
  <si>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</si>
  <si>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</si>
  <si>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</si>
  <si>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</si>
  <si>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</si>
  <si>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</si>
  <si>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</si>
  <si>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</si>
  <si>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</si>
  <si>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</si>
  <si>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</si>
  <si>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</si>
  <si>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</si>
  <si>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</si>
  <si>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</si>
  <si>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</si>
  <si>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</si>
  <si>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</si>
  <si>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</si>
  <si>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</si>
  <si>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</si>
  <si>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</si>
  <si>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</si>
  <si>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</si>
  <si>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</si>
  <si>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</si>
  <si>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</si>
  <si>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</si>
  <si>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</si>
  <si>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</si>
  <si>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</si>
  <si>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</si>
  <si>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</si>
  <si>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</si>
  <si>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</si>
  <si>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</si>
  <si>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</si>
  <si>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</si>
  <si>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</si>
  <si>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</si>
  <si>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</si>
  <si>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</si>
  <si>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</si>
  <si>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</si>
  <si>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</si>
  <si>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</si>
  <si>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</si>
  <si>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</si>
  <si>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</si>
  <si>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</si>
  <si>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</si>
  <si>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</si>
  <si>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</si>
  <si>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</si>
  <si>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</si>
  <si>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</si>
  <si>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</si>
  <si>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</si>
  <si>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</si>
  <si>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</si>
  <si>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</si>
  <si>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</si>
  <si>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</si>
  <si>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</si>
  <si>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</si>
  <si>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</si>
  <si>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</si>
  <si>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</si>
  <si>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</si>
  <si>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</si>
  <si>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</si>
  <si>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</si>
  <si>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</si>
  <si>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</si>
  <si>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</si>
  <si>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</si>
  <si>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</si>
  <si>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</si>
  <si>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</si>
  <si>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</si>
  <si>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</si>
  <si>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</si>
  <si>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</si>
  <si>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</si>
  <si>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</si>
  <si>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</si>
  <si>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</si>
  <si>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</si>
  <si>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</si>
  <si>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</si>
  <si>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</si>
  <si>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</si>
  <si>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</si>
  <si>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</si>
  <si>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</si>
  <si>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</si>
  <si>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</si>
  <si>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</si>
  <si>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</si>
  <si>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</si>
  <si>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</si>
  <si>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</si>
  <si>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</si>
  <si>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</si>
  <si>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</si>
  <si>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</si>
  <si>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</si>
  <si>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</si>
  <si>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</si>
  <si>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</si>
  <si>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</si>
  <si>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</si>
  <si>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</si>
  <si>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</si>
  <si>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</si>
  <si>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</si>
  <si>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</si>
  <si>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</si>
  <si>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</si>
  <si>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</si>
  <si>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</si>
  <si>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</si>
  <si>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</si>
  <si>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</si>
  <si>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</si>
  <si>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</si>
  <si>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</si>
  <si>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</si>
  <si>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</si>
  <si>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</si>
  <si>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</si>
  <si>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</si>
  <si>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</si>
  <si>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</si>
  <si>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</si>
  <si>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</si>
  <si>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</si>
  <si>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</si>
  <si>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</si>
  <si>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</si>
  <si>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</si>
  <si>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</si>
  <si>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</si>
  <si>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</si>
  <si>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</si>
  <si>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</si>
  <si>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</si>
  <si>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</si>
  <si>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</si>
  <si>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</si>
  <si>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</si>
  <si>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</si>
  <si>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</si>
  <si>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</si>
  <si>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</si>
  <si>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</si>
  <si>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</si>
  <si>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</si>
  <si>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</si>
  <si>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</si>
  <si>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</si>
  <si>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</si>
  <si>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</si>
  <si>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</si>
  <si>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</si>
  <si>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</si>
  <si>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</si>
  <si>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</si>
  <si>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</si>
  <si>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</si>
  <si>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</si>
  <si>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</si>
  <si>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</si>
  <si>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</si>
  <si>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</si>
  <si>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</si>
  <si>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</si>
  <si>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</si>
  <si>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</si>
  <si>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</si>
  <si>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</si>
  <si>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</si>
  <si>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</si>
  <si>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</si>
  <si>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</si>
  <si>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</si>
  <si>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</si>
  <si>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</si>
  <si>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</si>
  <si>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</si>
  <si>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</si>
  <si>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</si>
  <si>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</si>
  <si>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</si>
  <si>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</si>
  <si>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</si>
  <si>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</si>
  <si>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</si>
  <si>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</si>
  <si>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</si>
  <si>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</si>
  <si>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</si>
  <si>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</si>
  <si>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</si>
  <si>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</si>
  <si>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</si>
  <si>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</si>
  <si>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</si>
  <si>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</si>
  <si>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</si>
  <si>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</si>
  <si>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</si>
  <si>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</si>
  <si>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</si>
  <si>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</si>
  <si>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</si>
  <si>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</si>
  <si>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</si>
  <si>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</si>
  <si>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</si>
  <si>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</si>
  <si>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</si>
  <si>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</si>
  <si>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</si>
  <si>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</si>
  <si>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</si>
  <si>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</si>
  <si>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</si>
  <si>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</si>
  <si>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</si>
  <si>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</si>
  <si>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</si>
  <si>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</si>
  <si>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</si>
  <si>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</si>
  <si>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</si>
  <si>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</si>
  <si>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</si>
  <si>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</si>
  <si>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</si>
  <si>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</si>
  <si>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</si>
  <si>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</si>
  <si>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</si>
  <si>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</si>
  <si>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</si>
  <si>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</si>
  <si>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</si>
  <si>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</si>
  <si>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</si>
  <si>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</si>
  <si>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</si>
  <si>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</si>
  <si>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</si>
  <si>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</si>
  <si>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</si>
  <si>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</si>
  <si>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</si>
  <si>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</si>
  <si>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</si>
  <si>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</si>
  <si>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</si>
  <si>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</si>
  <si>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</si>
  <si>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</si>
  <si>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</si>
  <si>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</si>
  <si>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</si>
  <si>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</si>
  <si>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</si>
  <si>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</si>
  <si>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</si>
  <si>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</si>
  <si>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</si>
  <si>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</si>
  <si>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</si>
  <si>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</si>
  <si>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</si>
  <si>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</si>
  <si>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</si>
  <si>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</si>
  <si>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</si>
  <si>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</si>
  <si>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</si>
  <si>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</si>
  <si>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</si>
  <si>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</si>
  <si>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</si>
  <si>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</si>
  <si>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</si>
  <si>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</si>
  <si>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</si>
  <si>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</si>
  <si>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</si>
  <si>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</si>
  <si>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</si>
  <si>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</si>
  <si>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</si>
  <si>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</si>
  <si>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</si>
  <si>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</si>
  <si>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</si>
  <si>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</si>
  <si>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</si>
  <si>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</si>
  <si>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</si>
  <si>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</si>
  <si>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</si>
  <si>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</si>
  <si>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</si>
  <si>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</si>
  <si>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</si>
  <si>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</si>
  <si>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</si>
  <si>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</si>
  <si>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</si>
  <si>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</si>
  <si>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</si>
  <si>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</si>
  <si>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</si>
  <si>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</si>
  <si>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</si>
  <si>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</si>
  <si>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</si>
  <si>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</si>
  <si>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</si>
  <si>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</si>
  <si>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</si>
  <si>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</si>
  <si>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</si>
  <si>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</si>
  <si>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</si>
  <si>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</si>
  <si>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</si>
  <si>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</si>
  <si>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</si>
  <si>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</si>
  <si>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</si>
  <si>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</si>
  <si>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</si>
  <si>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</si>
  <si>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</si>
  <si>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</si>
  <si>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</si>
  <si>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</si>
  <si>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</si>
  <si>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</si>
  <si>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</si>
  <si>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</si>
  <si>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</si>
  <si>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</si>
  <si>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</si>
  <si>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</si>
  <si>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</si>
  <si>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</si>
  <si>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</si>
  <si>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</si>
  <si>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</si>
  <si>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</si>
  <si>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</si>
  <si>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</si>
  <si>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</si>
  <si>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</si>
  <si>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</si>
  <si>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</si>
  <si>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</si>
  <si>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</si>
  <si>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</si>
  <si>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</si>
  <si>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</si>
  <si>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</si>
  <si>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</si>
  <si>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</si>
  <si>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</si>
  <si>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</si>
  <si>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</si>
  <si>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</si>
  <si>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</si>
  <si>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</si>
  <si>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</si>
  <si>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</si>
  <si>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</si>
  <si>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</si>
  <si>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</si>
  <si>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</si>
  <si>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</si>
  <si>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</si>
  <si>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</si>
  <si>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</si>
  <si>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</si>
  <si>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</si>
  <si>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</si>
  <si>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</si>
  <si>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</si>
  <si>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</si>
  <si>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</si>
  <si>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</si>
  <si>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</si>
  <si>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</si>
  <si>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</si>
  <si>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</si>
  <si>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</si>
  <si>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</si>
  <si>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</si>
  <si>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</si>
  <si>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</si>
  <si>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</si>
  <si>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</si>
  <si>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</si>
  <si>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</si>
  <si>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</si>
  <si>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</si>
  <si>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</si>
  <si>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</si>
  <si>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</si>
  <si>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</si>
  <si>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</si>
  <si>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</si>
  <si>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</si>
  <si>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</si>
  <si>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</si>
  <si>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</si>
  <si>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</si>
  <si>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</si>
  <si>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</si>
  <si>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</si>
  <si>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</si>
  <si>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</si>
  <si>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</si>
  <si>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</si>
  <si>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</si>
  <si>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</si>
  <si>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</si>
  <si>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</si>
  <si>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</si>
  <si>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</si>
  <si>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</si>
  <si>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</si>
  <si>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</si>
  <si>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</si>
  <si>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</si>
  <si>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</si>
  <si>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</si>
  <si>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</si>
  <si>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</si>
  <si>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</si>
  <si>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</si>
  <si>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</si>
  <si>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</si>
  <si>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</si>
  <si>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</si>
  <si>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</si>
  <si>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</si>
  <si>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</si>
  <si>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</si>
  <si>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</si>
  <si>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</si>
  <si>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</si>
  <si>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</si>
  <si>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</si>
  <si>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</si>
  <si>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</si>
  <si>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</si>
  <si>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</si>
  <si>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</si>
  <si>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</si>
  <si>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</si>
  <si>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</si>
  <si>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</si>
  <si>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</si>
  <si>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</si>
  <si>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</si>
  <si>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</si>
  <si>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</si>
  <si>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</si>
  <si>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</si>
  <si>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</si>
  <si>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</si>
  <si>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</si>
  <si>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</si>
  <si>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</si>
  <si>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</si>
  <si>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</si>
  <si>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</si>
  <si>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</si>
  <si>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</si>
  <si>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</si>
  <si>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</si>
  <si>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</si>
  <si>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</si>
  <si>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</si>
  <si>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</si>
  <si>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</si>
  <si>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</si>
  <si>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</si>
  <si>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</si>
  <si>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</si>
  <si>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</si>
  <si>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</si>
  <si>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</si>
  <si>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</si>
  <si>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</si>
  <si>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</si>
  <si>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</si>
  <si>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</si>
  <si>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</si>
  <si>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</si>
  <si>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</si>
  <si>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</si>
  <si>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</si>
  <si>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</si>
  <si>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</si>
  <si>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</si>
  <si>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</si>
  <si>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</si>
  <si>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</si>
  <si>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</si>
  <si>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</si>
  <si>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</si>
  <si>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</si>
  <si>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</si>
  <si>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</si>
  <si>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</si>
  <si>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</si>
  <si>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</si>
  <si>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</si>
  <si>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</si>
  <si>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</si>
  <si>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</si>
  <si>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</si>
  <si>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</si>
  <si>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</si>
  <si>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</si>
  <si>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</si>
  <si>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</si>
  <si>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</si>
  <si>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</si>
  <si>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</si>
  <si>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</si>
  <si>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</si>
  <si>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</si>
  <si>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</si>
  <si>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</si>
  <si>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</si>
  <si>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</si>
  <si>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</si>
  <si>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</si>
  <si>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</si>
  <si>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</si>
  <si>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</si>
  <si>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</si>
  <si>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</si>
  <si>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</si>
  <si>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</si>
  <si>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</si>
  <si>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</si>
  <si>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</si>
  <si>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</si>
  <si>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</si>
  <si>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</si>
  <si>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</si>
  <si>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</si>
  <si>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</si>
  <si>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</si>
  <si>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</si>
  <si>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</si>
  <si>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</si>
  <si>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</si>
  <si>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</si>
  <si>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</si>
  <si>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</si>
  <si>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</si>
  <si>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</si>
  <si>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</si>
  <si>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</si>
  <si>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</si>
  <si>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</si>
  <si>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</si>
  <si>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</si>
  <si>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</si>
  <si>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</si>
  <si>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</si>
  <si>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</si>
  <si>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</si>
  <si>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</si>
  <si>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</si>
  <si>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</si>
  <si>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</si>
  <si>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</si>
  <si>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</si>
  <si>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</si>
  <si>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</si>
  <si>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</si>
  <si>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</si>
  <si>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</si>
  <si>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</si>
  <si>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</si>
  <si>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</si>
  <si>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</si>
  <si>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</si>
  <si>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</si>
  <si>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</si>
  <si>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</si>
  <si>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</si>
  <si>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</si>
  <si>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</si>
  <si>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</si>
  <si>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</si>
  <si>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</si>
  <si>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</si>
  <si>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</si>
  <si>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</si>
  <si>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</si>
  <si>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</si>
  <si>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</si>
  <si>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</si>
  <si>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</si>
  <si>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</si>
  <si>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</si>
  <si>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</si>
  <si>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</si>
  <si>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</si>
  <si>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</si>
  <si>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</si>
  <si>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</si>
  <si>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</si>
  <si>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</si>
  <si>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</si>
  <si>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</si>
  <si>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</si>
  <si>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</si>
  <si>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</si>
  <si>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</si>
  <si>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</si>
  <si>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</si>
  <si>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</si>
  <si>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</si>
  <si>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</si>
  <si>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</si>
  <si>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</si>
  <si>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</si>
  <si>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</si>
  <si>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</si>
  <si>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</si>
  <si>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</si>
  <si>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</si>
  <si>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</si>
  <si>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</si>
  <si>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</si>
  <si>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</si>
  <si>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</si>
  <si>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</si>
  <si>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</si>
  <si>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</si>
  <si>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</si>
  <si>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</si>
  <si>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</si>
  <si>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</si>
  <si>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</si>
  <si>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</si>
  <si>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</si>
  <si>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</si>
  <si>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</si>
  <si>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</si>
  <si>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</si>
  <si>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</si>
  <si>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</si>
  <si>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</si>
  <si>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</si>
  <si>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</si>
  <si>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</si>
  <si>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</si>
  <si>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</si>
  <si>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</si>
  <si>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</si>
  <si>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</si>
  <si>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</si>
  <si>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</si>
  <si>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</si>
  <si>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</si>
  <si>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</si>
  <si>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</si>
  <si>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</si>
  <si>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</si>
  <si>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</si>
  <si>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</si>
  <si>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</si>
  <si>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</si>
  <si>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</si>
  <si>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</si>
  <si>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</si>
  <si>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</si>
  <si>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</si>
  <si>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</si>
  <si>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</si>
  <si>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</si>
  <si>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</si>
  <si>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</si>
  <si>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</si>
  <si>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</si>
  <si>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</si>
  <si>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</si>
  <si>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</si>
  <si>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</si>
  <si>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</si>
  <si>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</si>
  <si>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</si>
  <si>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</si>
  <si>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</si>
  <si>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</si>
  <si>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</si>
  <si>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</si>
  <si>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</si>
  <si>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</si>
  <si>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</si>
  <si>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</si>
  <si>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</si>
  <si>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</si>
  <si>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</si>
  <si>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</si>
  <si>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</si>
  <si>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</si>
  <si>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</si>
  <si>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</si>
  <si>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</si>
  <si>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</si>
  <si>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</si>
  <si>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</si>
  <si>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</si>
  <si>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</si>
  <si>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</si>
  <si>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</si>
  <si>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</si>
  <si>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</si>
  <si>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</si>
  <si>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</si>
  <si>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</si>
  <si>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</si>
  <si>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</si>
  <si>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</si>
  <si>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</si>
  <si>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</si>
  <si>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</si>
  <si>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</si>
  <si>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</si>
  <si>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</si>
  <si>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</si>
  <si>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</si>
  <si>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</si>
  <si>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</si>
  <si>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</si>
  <si>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</si>
  <si>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</si>
  <si>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</si>
  <si>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</si>
  <si>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</si>
  <si>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</si>
  <si>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</si>
  <si>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</si>
  <si>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</si>
  <si>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</si>
  <si>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</si>
  <si>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</si>
  <si>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</si>
  <si>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</si>
  <si>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</si>
  <si>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</si>
  <si>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</si>
  <si>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</si>
  <si>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</si>
  <si>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</si>
  <si>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</si>
  <si>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</si>
  <si>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</si>
  <si>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</si>
  <si>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</si>
  <si>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</si>
  <si>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</si>
  <si>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</si>
  <si>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</si>
  <si>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</si>
  <si>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</si>
  <si>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</si>
  <si>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</si>
  <si>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</si>
  <si>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</si>
  <si>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</si>
  <si>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</si>
  <si>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</si>
  <si>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</si>
  <si>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</si>
  <si>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</si>
  <si>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</si>
  <si>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</si>
  <si>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</si>
  <si>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</si>
  <si>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</si>
  <si>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</si>
  <si>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</si>
  <si>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</si>
  <si>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</si>
  <si>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</si>
  <si>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</si>
  <si>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</si>
  <si>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</si>
  <si>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</si>
  <si>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</si>
  <si>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</si>
  <si>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</si>
  <si>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</si>
  <si>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</si>
  <si>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</si>
  <si>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</si>
  <si>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</si>
  <si>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</si>
  <si>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</si>
  <si>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</si>
  <si>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</si>
  <si>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</si>
  <si>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</si>
  <si>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</si>
  <si>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</si>
  <si>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</si>
  <si>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</si>
  <si>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</si>
  <si>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</si>
  <si>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</si>
  <si>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</si>
  <si>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</si>
  <si>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</si>
  <si>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</si>
  <si>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</si>
  <si>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</si>
  <si>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</si>
  <si>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</si>
  <si>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</si>
  <si>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</si>
  <si>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</si>
  <si>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</si>
  <si>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</si>
  <si>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</si>
  <si>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</si>
  <si>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</si>
  <si>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</si>
  <si>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</si>
  <si>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</si>
  <si>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</si>
  <si>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</si>
  <si>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</si>
  <si>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</si>
  <si>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</si>
  <si>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</si>
  <si>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</si>
  <si>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</si>
  <si>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</si>
  <si>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</si>
  <si>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</si>
  <si>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</si>
  <si>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</si>
  <si>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</si>
  <si>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</si>
  <si>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</si>
  <si>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</si>
  <si>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</si>
  <si>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</si>
  <si>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</si>
  <si>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</si>
  <si>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</si>
  <si>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</si>
  <si>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</si>
  <si>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</si>
  <si>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</si>
  <si>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</si>
  <si>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</si>
  <si>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</si>
  <si>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</si>
  <si>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</si>
  <si>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</si>
  <si>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</si>
  <si>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</si>
  <si>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</si>
  <si>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</si>
  <si>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</si>
  <si>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</si>
  <si>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</si>
  <si>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</si>
  <si>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</si>
  <si>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</si>
  <si>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</si>
  <si>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</si>
  <si>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</si>
  <si>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</si>
  <si>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</si>
  <si>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</si>
  <si>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</si>
  <si>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</si>
  <si>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</si>
  <si>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</si>
  <si>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</si>
  <si>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</si>
  <si>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</si>
  <si>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</si>
  <si>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</si>
  <si>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</si>
  <si>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</si>
  <si>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</si>
  <si>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</si>
  <si>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</si>
  <si>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</si>
  <si>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</si>
  <si>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</si>
  <si>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</si>
  <si>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</si>
  <si>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</si>
  <si>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</si>
  <si>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</si>
  <si>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</si>
  <si>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</si>
  <si>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</si>
  <si>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</si>
  <si>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</si>
  <si>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</si>
  <si>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</si>
  <si>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</si>
  <si>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</si>
  <si>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</si>
  <si>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</si>
  <si>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</si>
  <si>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</si>
  <si>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</si>
  <si>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</si>
  <si>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</si>
  <si>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</si>
  <si>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</si>
  <si>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</si>
  <si>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</si>
  <si>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</si>
  <si>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</si>
  <si>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</si>
  <si>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</si>
  <si>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</si>
  <si>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</si>
  <si>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</si>
  <si>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</si>
  <si>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</si>
  <si>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</si>
  <si>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</si>
  <si>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</si>
  <si>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</si>
  <si>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</si>
  <si>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</si>
  <si>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</si>
  <si>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</si>
  <si>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</si>
  <si>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</si>
  <si>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</si>
  <si>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</si>
  <si>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</si>
  <si>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</si>
  <si>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</si>
  <si>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</si>
  <si>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</si>
  <si>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</si>
  <si>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</si>
  <si>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</si>
  <si>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</si>
  <si>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</si>
  <si>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</si>
  <si>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</si>
  <si>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</si>
  <si>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</si>
  <si>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</si>
  <si>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</si>
  <si>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</si>
  <si>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</si>
  <si>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</si>
  <si>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</si>
  <si>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</si>
  <si>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</si>
  <si>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</si>
  <si>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</si>
  <si>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</si>
  <si>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</si>
  <si>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</si>
  <si>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</si>
  <si>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</si>
  <si>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</si>
  <si>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</si>
  <si>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</si>
  <si>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</si>
  <si>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</si>
  <si>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</si>
  <si>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</si>
  <si>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</si>
  <si>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</si>
  <si>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</si>
  <si>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</si>
  <si>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</si>
  <si>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</si>
  <si>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</si>
  <si>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</si>
  <si>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</si>
  <si>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</si>
  <si>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</si>
  <si>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</si>
  <si>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</si>
  <si>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</si>
  <si>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</si>
  <si>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</si>
  <si>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</si>
  <si>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</si>
  <si>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</si>
  <si>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</si>
  <si>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</si>
  <si>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</si>
  <si>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</si>
  <si>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</si>
  <si>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</si>
  <si>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</si>
  <si>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</si>
  <si>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</si>
  <si>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</si>
  <si>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</si>
  <si>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</si>
  <si>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</si>
  <si>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</si>
  <si>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</si>
  <si>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</si>
  <si>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</si>
  <si>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</si>
  <si>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</si>
  <si>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</si>
  <si>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</si>
  <si>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</si>
  <si>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</si>
  <si>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</si>
  <si>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</si>
  <si>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</si>
  <si>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</si>
  <si>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</si>
  <si>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</si>
  <si>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</si>
  <si>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</si>
  <si>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</si>
  <si>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</si>
  <si>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</si>
  <si>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</si>
  <si>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</si>
  <si>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</si>
  <si>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</si>
  <si>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</si>
  <si>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</si>
  <si>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</si>
  <si>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</si>
  <si>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</si>
  <si>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</si>
  <si>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</si>
  <si>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</si>
  <si>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</si>
  <si>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</si>
  <si>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</si>
  <si>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</si>
  <si>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</si>
  <si>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</si>
  <si>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</si>
  <si>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</si>
  <si>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</si>
  <si>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</si>
  <si>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</si>
  <si>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</si>
  <si>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</si>
  <si>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</si>
  <si>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</si>
  <si>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</si>
  <si>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</si>
  <si>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</si>
  <si>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</si>
  <si>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</si>
  <si>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</si>
  <si>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</si>
  <si>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</si>
  <si>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</si>
  <si>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</si>
  <si>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</si>
  <si>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</si>
  <si>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</si>
  <si>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</si>
  <si>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</si>
  <si>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</si>
  <si>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</si>
  <si>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</si>
  <si>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</si>
  <si>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</si>
  <si>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</si>
  <si>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</si>
  <si>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</si>
  <si>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</si>
  <si>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</si>
  <si>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</si>
  <si>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</si>
  <si>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</si>
  <si>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</si>
  <si>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</si>
  <si>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</si>
  <si>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</si>
  <si>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</si>
  <si>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</si>
  <si>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</si>
  <si>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</si>
  <si>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</si>
  <si>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</si>
  <si>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</si>
  <si>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</si>
  <si>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</si>
  <si>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</si>
  <si>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</si>
  <si>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</si>
  <si>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</si>
  <si>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</si>
  <si>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</si>
  <si>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</si>
  <si>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</si>
  <si>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</si>
  <si>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</si>
  <si>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</si>
  <si>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</si>
  <si>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</si>
  <si>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</si>
  <si>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</si>
  <si>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</si>
  <si>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</si>
  <si>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</si>
  <si>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</si>
  <si>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</si>
  <si>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</si>
  <si>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</si>
  <si>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</si>
  <si>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</si>
  <si>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</si>
  <si>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</si>
  <si>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</si>
  <si>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</si>
  <si>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</si>
  <si>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</si>
  <si>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</si>
  <si>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</si>
  <si>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</si>
  <si>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</si>
  <si>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</si>
  <si>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</si>
  <si>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</si>
  <si>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</si>
  <si>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</si>
  <si>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</si>
  <si>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</si>
  <si>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</si>
  <si>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</si>
  <si>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</si>
  <si>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</si>
  <si>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</si>
  <si>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</si>
  <si>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</si>
  <si>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</si>
  <si>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</si>
  <si>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</si>
  <si>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</si>
  <si>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</si>
  <si>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</si>
  <si>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</si>
  <si>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</si>
  <si>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</si>
  <si>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</si>
  <si>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</si>
  <si>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</si>
  <si>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</si>
  <si>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</si>
  <si>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</si>
  <si>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</si>
  <si>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</si>
  <si>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</si>
  <si>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</si>
  <si>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</si>
  <si>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</si>
  <si>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</si>
  <si>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</si>
  <si>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</si>
  <si>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</si>
  <si>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</si>
  <si>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</si>
  <si>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</si>
  <si>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</si>
  <si>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</si>
  <si>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</si>
  <si>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</si>
  <si>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</si>
  <si>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</si>
  <si>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</si>
  <si>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</si>
  <si>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</si>
  <si>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</si>
  <si>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</si>
  <si>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</si>
  <si>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</si>
  <si>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</si>
  <si>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</si>
  <si>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</si>
  <si>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</si>
  <si>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</si>
  <si>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</si>
  <si>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</si>
  <si>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</si>
  <si>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</si>
  <si>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</si>
  <si>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</si>
  <si>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</si>
  <si>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</si>
  <si>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</si>
  <si>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</si>
  <si>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</si>
  <si>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</si>
  <si>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</si>
  <si>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</si>
  <si>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</si>
  <si>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</si>
  <si>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</si>
  <si>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</si>
  <si>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</si>
  <si>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</si>
  <si>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</si>
  <si>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</si>
  <si>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</si>
  <si>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</si>
  <si>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</si>
  <si>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</si>
  <si>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</si>
  <si>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</si>
  <si>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</si>
  <si>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</si>
  <si>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</si>
  <si>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</si>
  <si>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</si>
  <si>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</si>
  <si>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</si>
  <si>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</si>
  <si>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</si>
  <si>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</si>
  <si>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</si>
  <si>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</si>
  <si>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</si>
  <si>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</si>
  <si>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</si>
  <si>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</si>
  <si>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</si>
  <si>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</si>
  <si>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</si>
  <si>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</si>
  <si>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</si>
  <si>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</si>
  <si>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</si>
  <si>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</si>
  <si>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</si>
  <si>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</si>
  <si>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</si>
  <si>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</si>
  <si>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</si>
  <si>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</si>
  <si>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</si>
  <si>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</si>
  <si>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</si>
  <si>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</si>
  <si>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</si>
  <si>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</si>
  <si>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</si>
  <si>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</si>
  <si>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</si>
  <si>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</si>
  <si>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</si>
  <si>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</si>
  <si>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</si>
  <si>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</si>
  <si>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</si>
  <si>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</si>
  <si>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</si>
  <si>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</si>
  <si>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</si>
  <si>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</si>
  <si>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</si>
  <si>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</si>
  <si>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</si>
  <si>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</si>
  <si>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</si>
  <si>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</si>
  <si>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</si>
  <si>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</si>
  <si>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</si>
  <si>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</si>
  <si>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</si>
  <si>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</si>
  <si>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</si>
  <si>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</si>
  <si>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</si>
  <si>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</si>
  <si>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</si>
  <si>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</si>
  <si>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</si>
  <si>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</si>
  <si>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</si>
  <si>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</si>
  <si>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</si>
  <si>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</si>
  <si>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</si>
  <si>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</si>
  <si>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</si>
  <si>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</si>
  <si>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</si>
  <si>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</si>
  <si>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</si>
  <si>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</si>
  <si>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</si>
  <si>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</si>
  <si>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</si>
  <si>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</si>
  <si>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</si>
  <si>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</si>
  <si>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</si>
  <si>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</si>
  <si>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</si>
  <si>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</si>
  <si>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</si>
  <si>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</si>
  <si>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</si>
  <si>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</si>
  <si>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</si>
  <si>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</si>
  <si>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</si>
  <si>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</si>
  <si>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</si>
  <si>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</si>
  <si>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</si>
  <si>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</si>
  <si>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</si>
  <si>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</si>
  <si>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</si>
  <si>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</si>
  <si>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</si>
  <si>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</si>
  <si>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</si>
  <si>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</si>
  <si>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</si>
  <si>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</si>
  <si>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</si>
  <si>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</si>
  <si>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</si>
  <si>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</si>
  <si>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</si>
  <si>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</si>
  <si>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</si>
  <si>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</si>
  <si>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</si>
  <si>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</si>
  <si>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</si>
  <si>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</si>
  <si>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</si>
  <si>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</si>
  <si>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</si>
  <si>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</si>
  <si>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</si>
  <si>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</si>
  <si>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</si>
  <si>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</si>
  <si>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</si>
  <si>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</si>
  <si>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</si>
  <si>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</si>
  <si>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</si>
  <si>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</si>
  <si>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</si>
  <si>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</si>
  <si>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</si>
  <si>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</si>
  <si>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</si>
  <si>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</si>
  <si>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</si>
  <si>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</si>
  <si>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</si>
  <si>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</si>
  <si>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</si>
  <si>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</si>
  <si>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</si>
  <si>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</si>
  <si>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</si>
  <si>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</si>
  <si>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</si>
  <si>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</si>
  <si>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</si>
  <si>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</si>
  <si>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</si>
  <si>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</si>
  <si>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</si>
  <si>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</si>
  <si>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</si>
  <si>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</si>
  <si>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</si>
  <si>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</si>
  <si>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</si>
  <si>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</si>
  <si>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</si>
  <si>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</si>
  <si>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</si>
  <si>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</si>
  <si>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</si>
  <si>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</si>
  <si>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</si>
  <si>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</si>
  <si>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</si>
  <si>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</si>
  <si>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</si>
  <si>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</si>
  <si>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</si>
  <si>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</si>
  <si>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</si>
  <si>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</si>
  <si>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</si>
  <si>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</si>
  <si>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</si>
  <si>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</si>
  <si>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</si>
  <si>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</si>
  <si>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</si>
  <si>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</si>
  <si>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</si>
  <si>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</si>
  <si>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</si>
  <si>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</si>
  <si>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</si>
  <si>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</si>
  <si>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</si>
  <si>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</si>
  <si>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</si>
  <si>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</si>
  <si>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</si>
  <si>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</si>
  <si>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</si>
  <si>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</si>
  <si>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</si>
  <si>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</si>
  <si>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</si>
  <si>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</si>
  <si>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</si>
  <si>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</si>
  <si>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</si>
  <si>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</si>
  <si>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</si>
  <si>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</si>
  <si>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</si>
  <si>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</si>
  <si>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</si>
  <si>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</si>
  <si>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</si>
  <si>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</si>
  <si>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</si>
  <si>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</si>
  <si>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</si>
  <si>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</si>
  <si>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</si>
  <si>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</si>
  <si>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</si>
  <si>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</si>
  <si>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</si>
  <si>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</si>
  <si>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</si>
  <si>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</si>
  <si>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</si>
  <si>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</si>
  <si>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</si>
  <si>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</si>
  <si>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</si>
  <si>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</si>
  <si>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</si>
  <si>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</si>
  <si>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</si>
  <si>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</si>
  <si>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</si>
  <si>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</si>
  <si>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</si>
  <si>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</si>
  <si>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</si>
  <si>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</si>
  <si>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</si>
  <si>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</si>
  <si>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</si>
  <si>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</si>
  <si>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</si>
  <si>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</si>
  <si>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</si>
  <si>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</si>
  <si>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</si>
  <si>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</si>
  <si>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</si>
  <si>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</si>
  <si>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</si>
  <si>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</si>
  <si>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</si>
  <si>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</si>
  <si>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</si>
  <si>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</si>
  <si>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</si>
  <si>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</si>
  <si>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</si>
  <si>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</si>
  <si>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</si>
  <si>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</si>
  <si>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</si>
  <si>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</si>
  <si>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</si>
  <si>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</si>
  <si>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</si>
  <si>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</si>
  <si>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</si>
  <si>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</si>
  <si>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</si>
  <si>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</si>
  <si>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</si>
  <si>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</si>
  <si>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</si>
  <si>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</si>
  <si>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</si>
  <si>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</si>
  <si>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</si>
  <si>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</si>
  <si>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</si>
  <si>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</si>
  <si>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</si>
  <si>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</si>
  <si>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</si>
  <si>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</si>
  <si>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</si>
  <si>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</si>
  <si>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</si>
  <si>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</si>
  <si>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</si>
  <si>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</si>
  <si>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</si>
  <si>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</si>
  <si>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</si>
  <si>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</si>
  <si>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</si>
  <si>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</si>
  <si>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</si>
  <si>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</si>
  <si>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</si>
  <si>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</si>
  <si>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</si>
  <si>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</si>
  <si>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</si>
  <si>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</si>
  <si>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</si>
  <si>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</si>
  <si>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</si>
  <si>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</si>
  <si>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</si>
  <si>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</si>
  <si>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</si>
  <si>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</si>
  <si>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</si>
  <si>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</si>
  <si>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</si>
  <si>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</si>
  <si>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</si>
  <si>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</si>
  <si>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</si>
  <si>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</si>
  <si>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</si>
  <si>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</si>
  <si>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</si>
  <si>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</si>
  <si>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</si>
  <si>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</si>
  <si>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</si>
  <si>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</si>
  <si>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</si>
  <si>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</si>
  <si>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</si>
  <si>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</si>
  <si>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</si>
  <si>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</si>
  <si>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</si>
  <si>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</si>
  <si>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</si>
  <si>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</si>
  <si>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</si>
  <si>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</si>
  <si>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</si>
  <si>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</si>
  <si>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</si>
  <si>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</si>
  <si>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</si>
  <si>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</si>
  <si>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</si>
  <si>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</si>
  <si>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</si>
  <si>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</si>
  <si>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</si>
  <si>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</si>
  <si>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</si>
  <si>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</si>
  <si>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</si>
  <si>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</si>
  <si>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</si>
  <si>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</si>
  <si>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</si>
  <si>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</si>
  <si>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</si>
  <si>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</si>
  <si>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</si>
  <si>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</si>
  <si>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</si>
  <si>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</si>
  <si>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</si>
  <si>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</si>
  <si>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</si>
  <si>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</si>
  <si>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</si>
  <si>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</si>
  <si>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</si>
  <si>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</si>
  <si>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</si>
  <si>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</si>
  <si>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</si>
  <si>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</si>
  <si>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</si>
  <si>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</si>
  <si>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</si>
  <si>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</si>
  <si>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</si>
  <si>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</si>
  <si>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</si>
  <si>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</si>
  <si>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</si>
  <si>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</si>
  <si>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</si>
  <si>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</si>
  <si>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</si>
  <si>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</si>
  <si>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</si>
  <si>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</si>
  <si>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</si>
  <si>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</si>
  <si>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</si>
  <si>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</si>
  <si>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</si>
  <si>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</si>
  <si>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</si>
  <si>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</si>
  <si>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</si>
  <si>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</si>
  <si>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</si>
  <si>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</si>
  <si>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</si>
  <si>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</si>
  <si>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</si>
  <si>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</si>
  <si>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</si>
  <si>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</si>
  <si>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</si>
  <si>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</si>
  <si>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</si>
  <si>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</si>
  <si>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</si>
  <si>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</si>
  <si>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</si>
  <si>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</si>
  <si>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</si>
  <si>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</si>
  <si>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</si>
  <si>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</si>
  <si>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</si>
  <si>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</si>
  <si>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</si>
  <si>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</si>
  <si>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</si>
  <si>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</si>
  <si>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</si>
  <si>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</si>
  <si>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</si>
  <si>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</si>
  <si>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</si>
  <si>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</si>
  <si>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</si>
  <si>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</si>
  <si>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</si>
  <si>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</si>
  <si>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</si>
  <si>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</si>
  <si>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</si>
  <si>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</si>
  <si>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</si>
  <si>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</si>
  <si>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</si>
  <si>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</si>
  <si>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</si>
  <si>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</si>
  <si>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</si>
  <si>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</si>
  <si>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</si>
  <si>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</si>
  <si>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</si>
  <si>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</si>
  <si>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</si>
  <si>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</si>
  <si>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</si>
  <si>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</si>
  <si>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</si>
  <si>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</si>
  <si>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</si>
  <si>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</si>
  <si>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</si>
  <si>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</si>
  <si>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</si>
  <si>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</si>
  <si>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</si>
  <si>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</si>
  <si>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</si>
  <si>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</si>
  <si>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</si>
  <si>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</si>
  <si>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</si>
  <si>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</si>
  <si>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</si>
  <si>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</si>
  <si>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</si>
  <si>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</si>
  <si>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</si>
  <si>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</si>
  <si>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</si>
  <si>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</si>
  <si>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</si>
  <si>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</si>
  <si>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</si>
  <si>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</si>
  <si>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</si>
  <si>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</si>
  <si>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</si>
  <si>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</si>
  <si>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</si>
  <si>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</si>
  <si>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</si>
  <si>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</si>
  <si>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</si>
  <si>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</si>
  <si>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</si>
  <si>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</si>
  <si>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</si>
  <si>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</si>
  <si>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</si>
  <si>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</si>
  <si>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</si>
  <si>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</si>
  <si>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</si>
  <si>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</si>
  <si>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</si>
  <si>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</si>
  <si>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</si>
  <si>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</si>
  <si>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</si>
  <si>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</si>
  <si>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</si>
  <si>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</si>
  <si>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</si>
  <si>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</si>
  <si>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</si>
  <si>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</si>
  <si>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</si>
  <si>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</si>
  <si>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</si>
  <si>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</si>
  <si>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</si>
  <si>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</si>
  <si>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</si>
  <si>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</si>
  <si>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</si>
  <si>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</si>
  <si>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</si>
  <si>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</si>
  <si>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</si>
  <si>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</si>
  <si>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</si>
  <si>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</si>
  <si>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</si>
  <si>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</si>
  <si>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</si>
  <si>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</si>
  <si>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</si>
  <si>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</si>
  <si>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</si>
  <si>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</si>
  <si>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</si>
  <si>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</si>
  <si>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</si>
  <si>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</si>
  <si>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</si>
  <si>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</si>
  <si>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</si>
  <si>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</si>
  <si>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</si>
  <si>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</si>
  <si>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</si>
  <si>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</si>
  <si>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</si>
  <si>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</si>
  <si>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</si>
  <si>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</si>
  <si>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</si>
  <si>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</si>
  <si>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</si>
  <si>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</si>
  <si>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</si>
  <si>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</si>
  <si>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</si>
  <si>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</si>
  <si>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</si>
  <si>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</si>
  <si>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</si>
  <si>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</si>
  <si>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</si>
  <si>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</si>
  <si>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</si>
  <si>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</si>
  <si>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</si>
  <si>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</si>
  <si>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</si>
  <si>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</si>
  <si>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</si>
  <si>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</si>
  <si>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</si>
  <si>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</si>
  <si>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</si>
  <si>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</si>
  <si>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</si>
  <si>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</si>
  <si>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</si>
  <si>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</si>
  <si>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</si>
  <si>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</si>
  <si>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</si>
  <si>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</si>
  <si>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</si>
  <si>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</si>
  <si>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</si>
  <si>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</si>
  <si>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</si>
  <si>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</si>
  <si>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</si>
  <si>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</si>
  <si>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</si>
  <si>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</si>
  <si>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</si>
  <si>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</si>
  <si>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</si>
  <si>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</si>
  <si>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</si>
  <si>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</si>
  <si>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</si>
  <si>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</si>
  <si>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</si>
  <si>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</si>
  <si>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</si>
  <si>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</si>
  <si>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</si>
  <si>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</si>
  <si>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</si>
  <si>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</si>
  <si>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</si>
  <si>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</si>
  <si>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</si>
  <si>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</si>
  <si>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</si>
  <si>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</si>
  <si>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</si>
  <si>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</si>
  <si>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</si>
  <si>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</si>
  <si>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</si>
  <si>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</si>
  <si>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</si>
  <si>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</si>
  <si>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</si>
  <si>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</si>
  <si>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</si>
  <si>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</si>
  <si>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</si>
  <si>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</si>
  <si>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</si>
  <si>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</si>
  <si>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</si>
  <si>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</si>
  <si>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</si>
  <si>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</si>
  <si>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</si>
  <si>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</si>
  <si>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</si>
  <si>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</si>
  <si>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</si>
  <si>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</si>
  <si>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</si>
  <si>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</si>
  <si>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</si>
  <si>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</si>
  <si>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</si>
  <si>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</si>
  <si>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</si>
  <si>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</si>
  <si>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</si>
  <si>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</si>
  <si>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</si>
  <si>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</si>
  <si>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</si>
  <si>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</si>
  <si>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</si>
  <si>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</si>
  <si>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</si>
  <si>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</si>
  <si>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</si>
  <si>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</si>
  <si>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</si>
  <si>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</si>
  <si>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</si>
  <si>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</si>
  <si>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</si>
  <si>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</si>
  <si>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</si>
  <si>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</si>
  <si>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</si>
  <si>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</si>
  <si>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</si>
  <si>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</si>
  <si>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</si>
  <si>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</si>
  <si>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</si>
  <si>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</si>
  <si>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</si>
  <si>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</si>
  <si>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</si>
  <si>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</si>
  <si>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</si>
  <si>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</si>
  <si>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</si>
  <si>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</si>
  <si>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</si>
  <si>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</si>
  <si>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</si>
  <si>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</si>
  <si>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</si>
  <si>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</si>
  <si>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</si>
  <si>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</si>
  <si>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</si>
  <si>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</si>
  <si>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</si>
  <si>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</si>
  <si>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</si>
  <si>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</si>
  <si>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</si>
  <si>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</si>
  <si>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</si>
  <si>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</si>
  <si>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</si>
  <si>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</si>
  <si>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</si>
  <si>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</si>
  <si>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</si>
  <si>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</si>
  <si>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</si>
  <si>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</si>
  <si>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</si>
  <si>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</si>
  <si>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</si>
  <si>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</si>
  <si>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</si>
  <si>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</si>
  <si>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</si>
  <si>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</si>
  <si>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</si>
  <si>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</si>
  <si>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</si>
  <si>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</si>
  <si>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</si>
  <si>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</si>
  <si>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</si>
  <si>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</si>
  <si>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</si>
  <si>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</si>
  <si>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</si>
  <si>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</si>
  <si>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</si>
  <si>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</si>
  <si>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</si>
  <si>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</si>
  <si>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</si>
  <si>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</si>
  <si>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</si>
  <si>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</si>
  <si>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</si>
  <si>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</si>
  <si>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</si>
  <si>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</si>
  <si>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</si>
  <si>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</si>
  <si>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</si>
  <si>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</si>
  <si>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</si>
  <si>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</si>
  <si>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</si>
  <si>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</si>
  <si>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</si>
  <si>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</si>
  <si>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</si>
  <si>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</si>
  <si>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</si>
  <si>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</si>
  <si>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</si>
  <si>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</si>
  <si>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</si>
  <si>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</si>
  <si>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</si>
  <si>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</si>
  <si>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</si>
  <si>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</si>
  <si>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</si>
  <si>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</si>
  <si>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</si>
  <si>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</si>
  <si>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</si>
  <si>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</si>
  <si>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</si>
  <si>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</si>
  <si>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</si>
  <si>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</si>
  <si>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</si>
  <si>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</si>
  <si>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</si>
  <si>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</si>
  <si>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</si>
  <si>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</si>
  <si>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</si>
  <si>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</si>
  <si>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</si>
  <si>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</si>
  <si>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</si>
  <si>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</si>
  <si>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</si>
  <si>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</si>
  <si>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</si>
  <si>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</si>
  <si>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</si>
  <si>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</si>
  <si>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</si>
  <si>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</si>
  <si>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</si>
  <si>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</si>
  <si>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</si>
  <si>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</si>
  <si>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</si>
  <si>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</si>
  <si>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</si>
  <si>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</si>
  <si>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</si>
  <si>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</si>
  <si>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</si>
  <si>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</si>
  <si>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</si>
  <si>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</si>
  <si>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</si>
  <si>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</si>
  <si>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</si>
  <si>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</si>
  <si>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</si>
  <si>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</si>
  <si>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</si>
  <si>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</si>
  <si>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</si>
  <si>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</si>
  <si>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</si>
  <si>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</si>
  <si>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</si>
  <si>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</si>
  <si>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</si>
  <si>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</si>
  <si>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</si>
  <si>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</si>
  <si>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</si>
  <si>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</si>
  <si>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</si>
  <si>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</si>
  <si>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</si>
  <si>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</si>
  <si>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</si>
  <si>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</si>
  <si>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</si>
  <si>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</si>
  <si>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</si>
  <si>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</si>
  <si>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</si>
  <si>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</si>
  <si>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</si>
  <si>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</si>
  <si>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</si>
  <si>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</si>
  <si>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</si>
  <si>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</si>
  <si>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</si>
  <si>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</si>
  <si>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</si>
  <si>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</si>
  <si>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</si>
  <si>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</si>
  <si>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</si>
  <si>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</si>
  <si>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</si>
  <si>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</si>
  <si>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</si>
  <si>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</si>
  <si>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</si>
  <si>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</si>
  <si>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</si>
  <si>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</si>
  <si>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</si>
  <si>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</si>
  <si>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</si>
  <si>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</si>
  <si>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</si>
  <si>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</si>
  <si>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</si>
  <si>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</si>
  <si>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</si>
  <si>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</si>
  <si>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</si>
  <si>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</si>
  <si>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</si>
  <si>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</si>
  <si>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</si>
  <si>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</si>
  <si>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</si>
  <si>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</si>
  <si>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</si>
  <si>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</si>
  <si>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</si>
  <si>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</si>
  <si>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</si>
  <si>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</si>
  <si>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</si>
  <si>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</si>
  <si>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</si>
  <si>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</si>
  <si>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</si>
  <si>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</si>
  <si>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</si>
  <si>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</si>
  <si>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</si>
  <si>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</si>
  <si>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</si>
  <si>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</si>
  <si>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</si>
  <si>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</si>
  <si>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</si>
  <si>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</si>
  <si>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</si>
  <si>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</si>
  <si>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</si>
  <si>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</si>
  <si>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</si>
  <si>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</si>
  <si>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</si>
  <si>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</si>
  <si>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</si>
  <si>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</si>
  <si>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</si>
  <si>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</si>
  <si>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</si>
  <si>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</si>
  <si>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</si>
  <si>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</si>
  <si>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</si>
  <si>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</si>
  <si>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</si>
  <si>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</si>
  <si>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</si>
  <si>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</si>
  <si>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</si>
  <si>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</si>
  <si>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</si>
  <si>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</si>
  <si>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</si>
  <si>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</si>
  <si>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</si>
  <si>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</si>
  <si>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</si>
  <si>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</si>
  <si>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</si>
  <si>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</si>
  <si>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</si>
  <si>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</si>
  <si>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</si>
  <si>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</si>
  <si>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</si>
  <si>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</si>
  <si>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</si>
  <si>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</si>
  <si>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</si>
  <si>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</si>
  <si>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</si>
  <si>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</si>
  <si>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</si>
  <si>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</si>
  <si>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</si>
  <si>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</si>
  <si>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</si>
  <si>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</si>
  <si>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</si>
  <si>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</si>
  <si>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</si>
  <si>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</si>
  <si>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</si>
  <si>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</si>
  <si>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</si>
  <si>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</si>
  <si>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</si>
  <si>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</si>
  <si>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</si>
  <si>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</si>
  <si>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</si>
  <si>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</si>
  <si>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</si>
  <si>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</si>
  <si>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</si>
  <si>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</si>
  <si>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</si>
  <si>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</si>
  <si>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</si>
  <si>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</si>
  <si>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</si>
  <si>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</si>
  <si>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</si>
  <si>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</si>
  <si>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</si>
  <si>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</si>
  <si>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</si>
  <si>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</si>
  <si>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</si>
  <si>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</si>
  <si>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</si>
  <si>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</si>
  <si>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</si>
  <si>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</si>
  <si>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</si>
  <si>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</si>
  <si>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</si>
  <si>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</si>
  <si>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</si>
  <si>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</si>
  <si>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</si>
  <si>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</si>
  <si>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</si>
  <si>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</si>
  <si>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</si>
  <si>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</si>
  <si>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</si>
  <si>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</si>
  <si>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</si>
  <si>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</si>
  <si>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</si>
  <si>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</si>
  <si>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</si>
  <si>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</si>
  <si>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</si>
  <si>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</si>
  <si>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</si>
  <si>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</si>
  <si>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</si>
  <si>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</si>
  <si>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</si>
  <si>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</si>
  <si>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</si>
  <si>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</si>
  <si>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</si>
  <si>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</si>
  <si>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</si>
  <si>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</si>
  <si>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</si>
  <si>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</si>
  <si>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</si>
  <si>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</si>
  <si>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</si>
  <si>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</si>
  <si>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</si>
  <si>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</si>
  <si>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</si>
  <si>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</si>
  <si>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</si>
  <si>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</si>
  <si>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</si>
  <si>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</si>
  <si>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</si>
  <si>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</si>
  <si>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</si>
  <si>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</si>
  <si>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</si>
  <si>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</si>
  <si>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</si>
  <si>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</si>
  <si>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</si>
  <si>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</si>
  <si>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</si>
  <si>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</si>
  <si>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</si>
  <si>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</si>
  <si>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</si>
  <si>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</si>
  <si>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</si>
  <si>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</si>
  <si>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</si>
  <si>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</si>
  <si>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</si>
  <si>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</si>
  <si>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</si>
  <si>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</si>
  <si>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</si>
  <si>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</si>
  <si>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</si>
  <si>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</si>
  <si>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</si>
  <si>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</si>
  <si>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</si>
  <si>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</si>
  <si>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</si>
  <si>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</si>
  <si>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</si>
  <si>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</si>
  <si>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</si>
  <si>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</si>
  <si>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</si>
  <si>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</si>
  <si>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</si>
  <si>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</si>
  <si>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</si>
  <si>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</si>
  <si>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</si>
  <si>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</si>
  <si>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</si>
  <si>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</si>
  <si>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</si>
  <si>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</si>
  <si>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</si>
  <si>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</si>
  <si>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</si>
  <si>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</si>
  <si>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</si>
  <si>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</si>
  <si>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</si>
  <si>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</si>
  <si>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</si>
  <si>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</si>
  <si>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</si>
  <si>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</si>
  <si>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</si>
  <si>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</si>
  <si>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</si>
  <si>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</si>
  <si>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</si>
  <si>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</si>
  <si>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</si>
  <si>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</si>
  <si>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</si>
  <si>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</si>
  <si>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</si>
  <si>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</si>
  <si>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</si>
  <si>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</si>
  <si>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</si>
  <si>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</si>
  <si>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</si>
  <si>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</si>
  <si>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</si>
  <si>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</si>
  <si>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</si>
  <si>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</si>
  <si>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</si>
  <si>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</si>
  <si>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</si>
  <si>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</si>
  <si>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</si>
  <si>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</si>
  <si>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</si>
  <si>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</si>
  <si>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</si>
  <si>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</si>
  <si>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</si>
  <si>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</si>
  <si>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</si>
  <si>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</si>
  <si>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</si>
  <si>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</si>
  <si>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</si>
  <si>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</si>
  <si>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</si>
  <si>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</si>
  <si>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</si>
  <si>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</si>
  <si>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</si>
  <si>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</si>
  <si>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</si>
  <si>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</si>
  <si>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</si>
  <si>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</si>
  <si>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</si>
  <si>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</si>
  <si>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</si>
  <si>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</si>
  <si>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</si>
  <si>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</si>
  <si>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</si>
  <si>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</si>
  <si>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</si>
  <si>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</si>
  <si>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</si>
  <si>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</si>
  <si>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</si>
  <si>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</si>
  <si>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</si>
  <si>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</si>
  <si>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</si>
  <si>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</si>
  <si>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</si>
  <si>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</si>
  <si>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</si>
  <si>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</si>
  <si>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</si>
  <si>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</si>
  <si>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</si>
  <si>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</si>
  <si>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</si>
  <si>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</si>
  <si>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</si>
  <si>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</si>
  <si>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</si>
  <si>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</si>
  <si>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</si>
  <si>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</si>
  <si>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</si>
  <si>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</si>
  <si>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</si>
  <si>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</si>
  <si>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</si>
  <si>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</si>
  <si>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</si>
  <si>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</si>
  <si>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</si>
  <si>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</si>
  <si>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</si>
  <si>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</si>
  <si>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</si>
  <si>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</si>
  <si>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</si>
  <si>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</si>
  <si>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</si>
  <si>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</si>
  <si>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</si>
  <si>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</si>
  <si>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</si>
  <si>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</si>
  <si>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</si>
  <si>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</si>
  <si>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</si>
  <si>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</si>
  <si>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</si>
  <si>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</si>
  <si>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</si>
  <si>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</si>
  <si>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</si>
  <si>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</si>
  <si>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</si>
  <si>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</si>
  <si>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</si>
  <si>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</si>
  <si>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</si>
  <si>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</si>
  <si>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</si>
  <si>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</si>
  <si>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</si>
  <si>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</si>
  <si>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</si>
  <si>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</si>
  <si>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</si>
  <si>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</si>
  <si>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</si>
  <si>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</si>
  <si>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</si>
  <si>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</si>
  <si>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</si>
  <si>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</si>
  <si>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</si>
  <si>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</si>
  <si>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</si>
  <si>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</si>
  <si>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</si>
  <si>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</si>
  <si>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</si>
  <si>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</si>
  <si>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</si>
  <si>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</si>
  <si>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</si>
  <si>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</si>
  <si>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</si>
  <si>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</si>
  <si>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</si>
  <si>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</si>
  <si>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</si>
  <si>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</si>
  <si>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</si>
  <si>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</si>
  <si>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</si>
  <si>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</si>
  <si>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</si>
  <si>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</si>
  <si>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</si>
  <si>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</si>
  <si>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</si>
  <si>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</si>
  <si>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</si>
  <si>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</si>
  <si>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</si>
  <si>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</si>
  <si>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</si>
  <si>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</si>
  <si>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</si>
  <si>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</si>
  <si>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</si>
  <si>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</si>
  <si>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</si>
  <si>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</si>
  <si>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</si>
  <si>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</si>
  <si>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</si>
  <si>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</si>
  <si>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</si>
  <si>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</si>
  <si>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</si>
  <si>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</si>
  <si>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</si>
  <si>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</si>
  <si>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</si>
  <si>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</si>
  <si>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</si>
  <si>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</si>
  <si>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</si>
  <si>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</si>
  <si>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</si>
  <si>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</si>
  <si>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</si>
  <si>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</si>
  <si>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</si>
  <si>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</si>
  <si>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</si>
  <si>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</si>
  <si>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</si>
  <si>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</si>
  <si>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</si>
  <si>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</si>
  <si>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</si>
  <si>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</si>
  <si>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</si>
  <si>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</si>
  <si>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</si>
  <si>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</si>
  <si>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</si>
  <si>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</si>
  <si>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</si>
  <si>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</si>
  <si>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</si>
  <si>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</si>
  <si>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</si>
  <si>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</si>
  <si>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</si>
  <si>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</si>
  <si>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</si>
  <si>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</si>
  <si>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</si>
  <si>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</si>
  <si>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</si>
  <si>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</si>
  <si>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</si>
  <si>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</si>
  <si>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</si>
  <si>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</si>
  <si>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</si>
  <si>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</si>
  <si>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</si>
  <si>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</si>
  <si>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</si>
  <si>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</si>
  <si>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</si>
  <si>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</si>
  <si>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</si>
  <si>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</si>
  <si>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</si>
  <si>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</si>
  <si>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</si>
  <si>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</si>
  <si>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</si>
  <si>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</si>
  <si>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</si>
  <si>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</si>
  <si>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</si>
  <si>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</si>
  <si>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</si>
  <si>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</si>
  <si>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</si>
  <si>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</si>
  <si>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</si>
  <si>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</si>
  <si>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</si>
  <si>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</si>
  <si>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</si>
  <si>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</si>
  <si>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</si>
  <si>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</si>
  <si>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</si>
  <si>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</si>
  <si>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</si>
  <si>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</si>
  <si>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</si>
  <si>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</si>
  <si>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</si>
  <si>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</si>
  <si>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</si>
  <si>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</si>
  <si>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</si>
  <si>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</si>
  <si>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</si>
  <si>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</si>
  <si>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</si>
  <si>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</si>
  <si>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</si>
  <si>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</si>
  <si>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</si>
  <si>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</si>
  <si>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</si>
  <si>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</si>
  <si>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</si>
  <si>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</si>
  <si>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</si>
  <si>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</si>
  <si>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</si>
  <si>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</si>
  <si>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</si>
  <si>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</si>
  <si>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</si>
  <si>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</si>
  <si>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</si>
  <si>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</si>
  <si>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</si>
  <si>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</si>
  <si>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</si>
  <si>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</si>
  <si>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</si>
  <si>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</si>
  <si>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</si>
  <si>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</si>
  <si>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</si>
  <si>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</si>
  <si>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</si>
  <si>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</si>
  <si>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</si>
  <si>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</si>
  <si>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</si>
  <si>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</si>
  <si>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</si>
  <si>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</si>
  <si>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</si>
  <si>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</si>
  <si>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</si>
  <si>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</si>
  <si>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</si>
  <si>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</si>
  <si>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</si>
  <si>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</si>
  <si>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</si>
  <si>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</si>
  <si>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</si>
  <si>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</si>
  <si>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</si>
  <si>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</si>
  <si>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</si>
  <si>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</si>
  <si>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</si>
  <si>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</si>
  <si>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</si>
  <si>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</si>
  <si>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</si>
  <si>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</si>
  <si>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</si>
  <si>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</si>
  <si>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</si>
  <si>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</si>
  <si>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</si>
  <si>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</si>
  <si>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</si>
  <si>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</si>
  <si>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</si>
  <si>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</si>
  <si>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</si>
  <si>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</si>
  <si>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</si>
  <si>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</si>
  <si>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</si>
  <si>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</si>
  <si>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</si>
  <si>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</si>
  <si>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</si>
  <si>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</si>
  <si>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</si>
  <si>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</si>
  <si>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</si>
  <si>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</si>
  <si>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</si>
  <si>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</si>
  <si>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</si>
  <si>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</si>
  <si>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</si>
  <si>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</si>
  <si>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</si>
  <si>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</si>
  <si>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</si>
  <si>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</si>
  <si>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</si>
  <si>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</si>
  <si>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</si>
  <si>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</si>
  <si>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</si>
  <si>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</si>
  <si>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</si>
  <si>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</si>
  <si>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</si>
  <si>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</si>
  <si>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</si>
  <si>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</si>
  <si>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</si>
  <si>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</si>
  <si>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</si>
  <si>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</si>
  <si>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</si>
  <si>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</si>
  <si>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</si>
  <si>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</si>
  <si>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</si>
  <si>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</si>
  <si>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</si>
  <si>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</si>
  <si>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</si>
  <si>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</si>
  <si>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</si>
  <si>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</si>
  <si>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</si>
  <si>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</si>
  <si>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</si>
  <si>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</si>
  <si>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</si>
  <si>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</si>
  <si>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</si>
  <si>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</si>
  <si>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</si>
  <si>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</si>
  <si>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</si>
  <si>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</si>
  <si>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</si>
  <si>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</si>
  <si>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</si>
  <si>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</si>
  <si>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</si>
  <si>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</si>
  <si>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</si>
  <si>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</si>
  <si>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</si>
  <si>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</si>
  <si>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</si>
  <si>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</si>
  <si>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</si>
  <si>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</si>
  <si>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</si>
  <si>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</si>
  <si>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</si>
  <si>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</si>
  <si>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</si>
  <si>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</si>
  <si>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</si>
  <si>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</si>
  <si>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</si>
  <si>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</si>
  <si>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</si>
  <si>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</si>
  <si>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</si>
  <si>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</si>
  <si>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</si>
  <si>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</si>
  <si>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</si>
  <si>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</si>
  <si>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</si>
  <si>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</si>
  <si>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</si>
  <si>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</si>
  <si>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</si>
  <si>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</si>
  <si>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</si>
  <si>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</si>
  <si>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</si>
  <si>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</si>
  <si>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</si>
  <si>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</si>
  <si>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</si>
  <si>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</si>
  <si>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</si>
  <si>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</si>
  <si>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</si>
  <si>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</si>
  <si>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</si>
  <si>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</si>
  <si>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</si>
  <si>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</si>
  <si>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</si>
  <si>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</si>
  <si>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</si>
  <si>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</si>
  <si>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</si>
  <si>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</si>
  <si>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</si>
  <si>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</si>
  <si>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</si>
  <si>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</si>
  <si>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</si>
  <si>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</si>
  <si>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</si>
  <si>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</si>
  <si>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</si>
  <si>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</si>
  <si>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</si>
  <si>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</si>
  <si>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</si>
  <si>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</si>
  <si>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</si>
  <si>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</si>
  <si>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</si>
  <si>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</si>
  <si>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</si>
  <si>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</si>
  <si>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</si>
  <si>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</si>
  <si>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</si>
  <si>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</si>
  <si>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</si>
  <si>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</si>
  <si>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</si>
  <si>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</si>
  <si>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</si>
  <si>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</si>
  <si>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</si>
  <si>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</si>
  <si>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</si>
  <si>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</si>
  <si>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</si>
  <si>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</si>
  <si>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</si>
  <si>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</si>
  <si>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</si>
  <si>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</si>
  <si>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</si>
  <si>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</si>
  <si>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</si>
  <si>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</si>
  <si>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</si>
  <si>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</si>
  <si>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</si>
  <si>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</si>
  <si>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</si>
  <si>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</si>
  <si>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</si>
  <si>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</si>
  <si>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</si>
  <si>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</si>
  <si>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</si>
  <si>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</si>
  <si>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</si>
  <si>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</si>
  <si>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</si>
  <si>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</si>
  <si>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</si>
  <si>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</si>
  <si>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</si>
  <si>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</si>
  <si>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</si>
  <si>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</si>
  <si>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</si>
  <si>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</si>
  <si>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</si>
  <si>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</si>
  <si>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</si>
  <si>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</si>
  <si>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</si>
  <si>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</si>
  <si>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</si>
  <si>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</si>
  <si>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</si>
  <si>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</si>
  <si>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</si>
  <si>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</si>
  <si>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</si>
  <si>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</si>
  <si>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</si>
  <si>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</si>
  <si>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</si>
  <si>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</si>
  <si>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</si>
  <si>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</si>
  <si>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</si>
  <si>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</si>
  <si>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</si>
  <si>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</si>
  <si>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</si>
  <si>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</si>
  <si>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</si>
  <si>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</si>
  <si>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</si>
  <si>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</si>
  <si>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</si>
  <si>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</si>
  <si>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</si>
  <si>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</si>
  <si>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</si>
  <si>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</si>
  <si>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</si>
  <si>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</si>
  <si>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</si>
  <si>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</si>
  <si>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</si>
  <si>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</si>
  <si>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</si>
  <si>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</si>
  <si>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</si>
  <si>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</si>
  <si>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</si>
  <si>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</si>
  <si>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</si>
  <si>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</si>
  <si>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</si>
  <si>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</si>
  <si>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</si>
  <si>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</si>
  <si>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</si>
  <si>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</si>
  <si>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</si>
  <si>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</si>
  <si>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</si>
  <si>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</si>
  <si>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</si>
  <si>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</si>
  <si>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</si>
  <si>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</si>
  <si>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</si>
  <si>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</si>
  <si>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</si>
  <si>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</si>
  <si>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</si>
  <si>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</si>
  <si>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</si>
  <si>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</si>
  <si>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</si>
  <si>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</si>
  <si>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</si>
  <si>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</si>
  <si>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</si>
  <si>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</si>
  <si>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</si>
  <si>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</si>
  <si>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</si>
  <si>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</si>
  <si>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</si>
  <si>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</si>
  <si>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</si>
  <si>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</si>
  <si>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</si>
  <si>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</si>
  <si>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</si>
  <si>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</si>
  <si>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</si>
  <si>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</si>
  <si>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</si>
  <si>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</si>
  <si>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</si>
  <si>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</si>
  <si>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</si>
  <si>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</si>
  <si>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</si>
  <si>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</si>
  <si>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</si>
  <si>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</si>
  <si>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</si>
  <si>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</si>
  <si>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</si>
  <si>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</si>
  <si>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</si>
  <si>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</si>
  <si>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</si>
  <si>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</si>
  <si>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</si>
  <si>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</si>
  <si>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</si>
  <si>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</si>
  <si>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</si>
  <si>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</si>
  <si>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</si>
  <si>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</si>
  <si>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</si>
  <si>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</si>
  <si>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</si>
  <si>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</si>
  <si>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</si>
  <si>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</si>
  <si>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</si>
  <si>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</si>
  <si>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</si>
  <si>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</si>
  <si>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</si>
  <si>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</si>
  <si>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</si>
  <si>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</si>
  <si>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</si>
  <si>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</si>
  <si>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</si>
  <si>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</si>
  <si>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</si>
  <si>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</si>
  <si>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</si>
  <si>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</si>
  <si>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</si>
  <si>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</si>
  <si>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</si>
  <si>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</si>
  <si>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</si>
  <si>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</si>
  <si>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</si>
  <si>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</si>
  <si>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</si>
  <si>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</si>
  <si>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</si>
  <si>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</si>
  <si>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</si>
  <si>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</si>
  <si>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</si>
  <si>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</si>
  <si>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</si>
  <si>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</si>
  <si>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</si>
  <si>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</si>
  <si>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</si>
  <si>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</si>
  <si>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</si>
  <si>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</si>
  <si>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</si>
  <si>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</si>
  <si>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</si>
  <si>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</si>
  <si>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</si>
  <si>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</si>
  <si>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</si>
  <si>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</si>
  <si>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</si>
  <si>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</si>
  <si>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</si>
  <si>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</si>
  <si>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</si>
  <si>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</si>
  <si>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</si>
  <si>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</si>
  <si>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</si>
  <si>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</si>
  <si>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</si>
  <si>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</si>
  <si>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</si>
  <si>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</si>
  <si>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</si>
  <si>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</si>
  <si>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</si>
  <si>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</si>
  <si>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</si>
  <si>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</si>
  <si>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</si>
  <si>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</si>
  <si>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</si>
  <si>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</si>
  <si>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</si>
  <si>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</si>
  <si>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</si>
  <si>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</si>
  <si>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</si>
  <si>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</si>
  <si>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</si>
  <si>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</si>
  <si>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</si>
  <si>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</si>
  <si>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</si>
  <si>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</si>
  <si>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</si>
  <si>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</si>
  <si>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</si>
  <si>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</si>
  <si>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</si>
  <si>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</si>
  <si>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</si>
  <si>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</si>
  <si>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</si>
  <si>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</si>
  <si>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</si>
  <si>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</si>
  <si>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</si>
  <si>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</si>
  <si>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</si>
  <si>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</si>
  <si>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</si>
  <si>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</si>
  <si>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</si>
  <si>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</si>
  <si>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</si>
  <si>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</si>
  <si>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</si>
  <si>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</si>
  <si>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</si>
  <si>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</si>
  <si>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</si>
  <si>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</si>
  <si>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</si>
  <si>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</si>
  <si>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</si>
  <si>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</si>
  <si>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</si>
  <si>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</si>
  <si>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</si>
  <si>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</si>
  <si>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</si>
  <si>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</si>
  <si>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</si>
  <si>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</si>
  <si>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</si>
  <si>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</si>
  <si>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</si>
  <si>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</si>
  <si>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</si>
  <si>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</si>
  <si>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</si>
  <si>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</si>
  <si>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</si>
  <si>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</si>
  <si>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</si>
  <si>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</si>
  <si>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</si>
  <si>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</si>
  <si>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</si>
  <si>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</si>
  <si>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</si>
  <si>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</si>
  <si>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</si>
  <si>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</si>
  <si>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</si>
  <si>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</si>
  <si>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</si>
  <si>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</si>
  <si>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</si>
  <si>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</si>
  <si>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</si>
  <si>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</si>
  <si>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</si>
  <si>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</si>
  <si>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</si>
  <si>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</si>
  <si>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</si>
  <si>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</si>
  <si>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</si>
  <si>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</si>
  <si>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</si>
  <si>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</si>
  <si>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</si>
  <si>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</si>
  <si>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</si>
  <si>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</si>
  <si>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</si>
  <si>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</si>
  <si>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</si>
  <si>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</si>
  <si>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</si>
  <si>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</si>
  <si>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</si>
  <si>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</si>
  <si>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</si>
  <si>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</si>
  <si>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</si>
  <si>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</si>
  <si>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</si>
  <si>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</si>
  <si>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</si>
  <si>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</si>
  <si>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</si>
  <si>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</si>
  <si>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</si>
  <si>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</si>
  <si>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</si>
  <si>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</si>
  <si>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</si>
  <si>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</si>
  <si>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</si>
  <si>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</si>
  <si>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</si>
  <si>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</si>
  <si>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</si>
  <si>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</si>
  <si>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</si>
  <si>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</si>
  <si>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</si>
  <si>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</si>
  <si>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</si>
  <si>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</si>
  <si>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</si>
  <si>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</si>
  <si>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</si>
  <si>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</si>
  <si>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</si>
  <si>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</si>
  <si>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</si>
  <si>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</si>
  <si>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</si>
  <si>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</si>
  <si>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</si>
  <si>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</si>
  <si>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</si>
  <si>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</si>
  <si>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</si>
  <si>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</si>
  <si>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</si>
  <si>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</si>
  <si>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</si>
  <si>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</si>
  <si>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</si>
  <si>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</si>
  <si>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</si>
  <si>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</si>
  <si>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</si>
  <si>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</si>
  <si>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</si>
  <si>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</si>
  <si>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</si>
  <si>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</si>
  <si>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</si>
  <si>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</si>
  <si>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</si>
  <si>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</si>
  <si>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</si>
  <si>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</si>
  <si>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</si>
  <si>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</si>
  <si>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</si>
  <si>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</si>
  <si>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</si>
  <si>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</si>
  <si>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</si>
  <si>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</si>
  <si>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</si>
  <si>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</si>
  <si>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</si>
  <si>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</si>
  <si>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</si>
  <si>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</si>
  <si>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</si>
  <si>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</si>
  <si>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</si>
  <si>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</si>
  <si>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</si>
  <si>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</si>
  <si>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</si>
  <si>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</si>
  <si>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</si>
  <si>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</si>
  <si>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</si>
  <si>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</si>
  <si>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</si>
  <si>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</si>
  <si>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</si>
  <si>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</si>
  <si>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</si>
  <si>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</si>
  <si>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</si>
  <si>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</si>
  <si>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</si>
  <si>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</si>
  <si>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</si>
  <si>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</si>
  <si>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</si>
  <si>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</si>
  <si>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</si>
  <si>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</si>
  <si>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</si>
  <si>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</si>
  <si>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</si>
  <si>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</si>
  <si>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</si>
  <si>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</si>
  <si>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</si>
  <si>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</si>
  <si>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</si>
  <si>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</si>
  <si>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</si>
  <si>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</si>
  <si>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</si>
  <si>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</si>
  <si>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</si>
  <si>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</si>
  <si>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</si>
  <si>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</si>
  <si>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</si>
  <si>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</si>
  <si>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</si>
  <si>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</si>
  <si>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</si>
  <si>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</si>
  <si>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</si>
  <si>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</si>
  <si>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</si>
  <si>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</si>
  <si>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</si>
  <si>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</si>
  <si>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</si>
  <si>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</si>
  <si>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</si>
  <si>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</si>
  <si>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</si>
  <si>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</si>
  <si>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</si>
  <si>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</si>
  <si>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</si>
  <si>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</si>
  <si>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</si>
  <si>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</si>
  <si>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</si>
  <si>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</si>
  <si>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</si>
  <si>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</si>
  <si>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</si>
  <si>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</si>
  <si>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</si>
  <si>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</si>
  <si>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</si>
  <si>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</si>
  <si>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</si>
  <si>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</si>
  <si>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</si>
  <si>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</si>
  <si>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</si>
  <si>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</si>
  <si>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</si>
  <si>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</si>
  <si>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</si>
  <si>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</si>
  <si>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</si>
  <si>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</si>
  <si>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</si>
  <si>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</si>
  <si>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</si>
  <si>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</si>
  <si>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</si>
  <si>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</si>
  <si>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</si>
  <si>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</si>
  <si>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</si>
  <si>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</si>
  <si>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</si>
  <si>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</si>
  <si>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</si>
  <si>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</si>
  <si>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</si>
  <si>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</si>
  <si>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</si>
  <si>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</si>
  <si>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</si>
  <si>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</si>
  <si>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</si>
  <si>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</si>
  <si>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</si>
  <si>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</si>
  <si>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</si>
  <si>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</si>
  <si>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</si>
  <si>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</si>
  <si>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</si>
  <si>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</si>
  <si>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</si>
  <si>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</si>
  <si>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</si>
  <si>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</si>
  <si>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</si>
  <si>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</si>
  <si>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</si>
  <si>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</si>
  <si>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</si>
  <si>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</si>
  <si>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</si>
  <si>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</si>
  <si>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</si>
  <si>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</si>
  <si>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</si>
  <si>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</si>
  <si>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</si>
  <si>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</si>
  <si>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</si>
  <si>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</si>
  <si>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</si>
  <si>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</si>
  <si>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</si>
  <si>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</si>
  <si>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</si>
  <si>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</si>
  <si>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</si>
  <si>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</si>
  <si>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</si>
  <si>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</si>
  <si>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</si>
  <si>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</si>
  <si>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</si>
  <si>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</si>
  <si>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</si>
  <si>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</si>
  <si>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</si>
  <si>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</si>
  <si>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</si>
  <si>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</si>
  <si>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</si>
  <si>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</si>
  <si>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</si>
  <si>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</si>
  <si>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</si>
  <si>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</si>
  <si>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</si>
  <si>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</si>
  <si>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</si>
  <si>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</si>
  <si>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</si>
  <si>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</si>
  <si>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</si>
  <si>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</si>
  <si>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</si>
  <si>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</si>
  <si>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</si>
  <si>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</si>
  <si>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</si>
  <si>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</si>
  <si>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</si>
  <si>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</si>
  <si>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</si>
  <si>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</si>
  <si>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</si>
  <si>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</si>
  <si>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</si>
  <si>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</si>
  <si>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</si>
  <si>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</si>
  <si>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</si>
  <si>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</si>
  <si>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</si>
  <si>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</si>
  <si>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</si>
  <si>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</si>
  <si>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</si>
  <si>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</si>
  <si>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</si>
  <si>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</si>
  <si>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</si>
  <si>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</si>
  <si>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</si>
  <si>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</si>
  <si>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</si>
  <si>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</si>
  <si>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</si>
  <si>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</si>
  <si>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</si>
  <si>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</si>
  <si>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</si>
  <si>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</si>
  <si>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</si>
  <si>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</si>
  <si>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</si>
  <si>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</si>
  <si>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</si>
  <si>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</si>
  <si>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</si>
  <si>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</si>
  <si>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</si>
  <si>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</si>
  <si>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</si>
  <si>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</si>
  <si>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</si>
  <si>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</si>
  <si>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</si>
  <si>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</si>
  <si>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</si>
  <si>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</si>
  <si>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</si>
  <si>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</si>
  <si>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</si>
  <si>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</si>
  <si>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</si>
  <si>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</si>
  <si>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</si>
  <si>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</si>
  <si>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</si>
  <si>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</si>
  <si>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</si>
  <si>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</si>
  <si>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</si>
  <si>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</si>
  <si>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</si>
  <si>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</si>
  <si>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</si>
  <si>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</si>
  <si>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</si>
  <si>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</si>
  <si>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</si>
  <si>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</si>
  <si>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</si>
  <si>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</si>
  <si>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</si>
  <si>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</si>
  <si>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</si>
  <si>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</si>
  <si>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</si>
  <si>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</si>
  <si>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</si>
  <si>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</si>
  <si>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</si>
  <si>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</si>
  <si>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</si>
  <si>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</si>
  <si>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</si>
  <si>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</si>
  <si>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</si>
  <si>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</si>
  <si>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</si>
  <si>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</si>
  <si>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</si>
  <si>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</si>
  <si>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</si>
  <si>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</si>
  <si>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</si>
  <si>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</si>
  <si>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</si>
  <si>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</si>
  <si>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</si>
  <si>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</si>
  <si>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</si>
  <si>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</si>
  <si>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</si>
  <si>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</si>
  <si>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</si>
  <si>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</si>
  <si>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</si>
  <si>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</si>
  <si>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</si>
  <si>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</si>
  <si>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</si>
  <si>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</si>
  <si>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</si>
  <si>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</si>
  <si>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</si>
  <si>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</si>
  <si>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</si>
  <si>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</si>
  <si>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</si>
  <si>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</si>
  <si>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</si>
  <si>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</si>
  <si>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</si>
  <si>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</si>
  <si>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</si>
  <si>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</si>
  <si>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</si>
  <si>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</si>
  <si>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</si>
  <si>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</si>
  <si>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</si>
  <si>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</si>
  <si>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</si>
  <si>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</si>
  <si>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</si>
  <si>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</si>
  <si>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</si>
  <si>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</si>
  <si>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</si>
  <si>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</si>
  <si>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</si>
  <si>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</si>
  <si>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</si>
  <si>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</si>
  <si>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</si>
  <si>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</si>
  <si>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</si>
  <si>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</si>
  <si>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</si>
  <si>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</si>
  <si>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</si>
  <si>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</si>
  <si>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</si>
  <si>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</si>
  <si>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</si>
  <si>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</si>
  <si>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</si>
  <si>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</si>
  <si>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</si>
  <si>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</si>
  <si>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</si>
  <si>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</si>
  <si>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</si>
  <si>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</si>
  <si>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</si>
  <si>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</si>
  <si>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</si>
  <si>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</si>
  <si>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</si>
  <si>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</si>
  <si>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</si>
  <si>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</si>
  <si>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</si>
  <si>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</si>
  <si>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</si>
  <si>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</si>
  <si>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</si>
  <si>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</si>
  <si>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</si>
  <si>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</si>
  <si>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</si>
  <si>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</si>
  <si>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</si>
  <si>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</si>
  <si>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</si>
  <si>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</si>
  <si>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</si>
  <si>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</si>
  <si>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</si>
  <si>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</si>
  <si>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</si>
  <si>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</si>
  <si>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</si>
  <si>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</si>
  <si>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</si>
  <si>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</si>
  <si>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</si>
  <si>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</si>
  <si>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</si>
  <si>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</si>
  <si>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</si>
  <si>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</si>
  <si>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</si>
  <si>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</si>
  <si>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</si>
  <si>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</si>
  <si>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</si>
  <si>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</si>
  <si>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</si>
  <si>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</si>
  <si>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</si>
  <si>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</si>
  <si>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</si>
  <si>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</si>
  <si>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</si>
  <si>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</si>
  <si>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</si>
  <si>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</si>
  <si>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</si>
  <si>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</si>
  <si>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</si>
  <si>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</si>
  <si>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</si>
  <si>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</si>
  <si>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</si>
  <si>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</si>
  <si>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</si>
  <si>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</si>
  <si>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</si>
  <si>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</si>
  <si>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</si>
  <si>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</si>
  <si>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</si>
  <si>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</si>
  <si>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</si>
  <si>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</si>
  <si>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</si>
  <si>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</si>
  <si>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</si>
  <si>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</si>
  <si>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</si>
  <si>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</si>
  <si>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</si>
  <si>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</si>
  <si>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</si>
  <si>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</si>
  <si>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</si>
  <si>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</si>
  <si>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</si>
  <si>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</si>
  <si>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</si>
  <si>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</si>
  <si>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</si>
  <si>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</si>
  <si>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</si>
  <si>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</si>
  <si>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</si>
  <si>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</si>
  <si>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</si>
  <si>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</si>
  <si>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</si>
  <si>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</si>
  <si>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</si>
  <si>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</si>
  <si>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</si>
  <si>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</si>
  <si>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</si>
  <si>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</si>
  <si>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</si>
  <si>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</si>
  <si>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</si>
  <si>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</si>
  <si>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</si>
  <si>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</si>
  <si>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</si>
  <si>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</si>
  <si>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</si>
  <si>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</si>
  <si>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</si>
  <si>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</si>
  <si>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</si>
  <si>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</si>
  <si>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</si>
  <si>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</si>
  <si>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</si>
  <si>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</si>
  <si>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</si>
  <si>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</si>
  <si>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</si>
  <si>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</si>
  <si>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</si>
  <si>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</si>
  <si>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</si>
  <si>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</si>
  <si>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</si>
  <si>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</si>
  <si>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</si>
  <si>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</si>
  <si>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</si>
  <si>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</si>
  <si>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</si>
  <si>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</si>
  <si>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</si>
  <si>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</si>
  <si>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</si>
  <si>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</si>
  <si>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</si>
  <si>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</si>
  <si>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</si>
  <si>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</si>
  <si>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</si>
  <si>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</si>
  <si>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</si>
  <si>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</si>
  <si>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</si>
  <si>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</si>
  <si>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</si>
  <si>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</si>
  <si>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</si>
  <si>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</si>
  <si>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</si>
  <si>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</si>
  <si>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</si>
  <si>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</si>
  <si>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</si>
  <si>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</si>
  <si>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</si>
  <si>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</si>
  <si>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</si>
  <si>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</si>
  <si>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</si>
  <si>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</si>
  <si>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</si>
  <si>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</si>
  <si>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</si>
  <si>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</si>
  <si>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</si>
  <si>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</si>
  <si>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</si>
  <si>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</si>
  <si>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</si>
  <si>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</si>
  <si>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</si>
  <si>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</si>
  <si>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</si>
  <si>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</si>
  <si>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</si>
  <si>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</si>
  <si>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</si>
  <si>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</si>
  <si>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</si>
  <si>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</si>
  <si>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</si>
  <si>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</si>
  <si>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</si>
  <si>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</si>
  <si>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</si>
  <si>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</si>
  <si>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</si>
  <si>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</si>
  <si>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</si>
  <si>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</si>
  <si>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</si>
  <si>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</si>
  <si>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</si>
  <si>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</si>
  <si>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</si>
  <si>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</si>
  <si>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</si>
  <si>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</si>
  <si>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</si>
  <si>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</si>
  <si>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</si>
  <si>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</si>
  <si>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</si>
  <si>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</si>
  <si>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</si>
  <si>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</si>
  <si>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</si>
  <si>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</si>
  <si>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</si>
  <si>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</si>
  <si>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</si>
  <si>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</si>
  <si>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</si>
  <si>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</si>
  <si>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</si>
  <si>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</si>
  <si>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</si>
  <si>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</si>
  <si>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</si>
  <si>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</si>
  <si>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</si>
  <si>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</si>
  <si>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</si>
  <si>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</si>
  <si>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</si>
  <si>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</si>
  <si>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</si>
  <si>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</si>
  <si>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</si>
  <si>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</si>
  <si>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</si>
  <si>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</si>
  <si>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</si>
  <si>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</si>
  <si>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</si>
  <si>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</si>
  <si>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</si>
  <si>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</si>
  <si>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</si>
  <si>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</si>
  <si>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</si>
  <si>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</si>
  <si>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</si>
  <si>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</si>
  <si>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</si>
  <si>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</si>
  <si>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</si>
  <si>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</si>
  <si>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</si>
  <si>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</si>
  <si>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</si>
  <si>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</si>
  <si>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</si>
  <si>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</si>
  <si>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</si>
  <si>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</si>
  <si>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</si>
  <si>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</si>
  <si>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</si>
  <si>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</si>
  <si>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</si>
  <si>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</si>
  <si>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</si>
  <si>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</si>
  <si>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</si>
  <si>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</si>
  <si>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</si>
  <si>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</si>
  <si>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</si>
  <si>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</si>
  <si>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</si>
  <si>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</si>
  <si>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</si>
  <si>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</si>
  <si>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</si>
  <si>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</si>
  <si>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</si>
  <si>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</si>
  <si>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</si>
  <si>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</si>
  <si>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</si>
  <si>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</si>
  <si>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</si>
  <si>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</si>
  <si>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</si>
  <si>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</si>
  <si>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</si>
  <si>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</si>
  <si>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</si>
  <si>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</si>
  <si>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</si>
  <si>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</si>
  <si>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</si>
  <si>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</si>
  <si>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</si>
  <si>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</si>
  <si>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</si>
  <si>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</si>
  <si>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</si>
  <si>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</si>
  <si>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</si>
  <si>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</si>
  <si>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</si>
  <si>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</si>
  <si>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</si>
  <si>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</si>
  <si>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</si>
  <si>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</si>
  <si>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</si>
  <si>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</si>
  <si>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</si>
  <si>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</si>
  <si>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</si>
  <si>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</si>
  <si>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</si>
  <si>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</si>
  <si>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</si>
  <si>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</si>
  <si>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</si>
  <si>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</si>
  <si>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</si>
  <si>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</si>
  <si>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</si>
  <si>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</si>
  <si>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</si>
  <si>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</si>
  <si>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</si>
  <si>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</si>
  <si>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</si>
  <si>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</si>
  <si>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</si>
  <si>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</si>
  <si>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</si>
  <si>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</si>
  <si>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</si>
  <si>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</si>
  <si>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</si>
  <si>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</si>
  <si>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</si>
  <si>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</si>
  <si>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</si>
  <si>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</si>
  <si>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</si>
  <si>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</si>
  <si>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</si>
  <si>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</si>
  <si>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</si>
  <si>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</si>
  <si>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</si>
  <si>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</si>
  <si>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</si>
  <si>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</si>
  <si>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</si>
  <si>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</si>
  <si>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</si>
  <si>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</si>
  <si>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</si>
  <si>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</si>
  <si>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</si>
  <si>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</si>
  <si>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</si>
  <si>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</si>
  <si>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</si>
  <si>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</si>
  <si>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</si>
  <si>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</si>
  <si>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</si>
  <si>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</si>
  <si>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</si>
  <si>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</si>
  <si>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</si>
  <si>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</si>
  <si>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</si>
  <si>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</si>
  <si>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</si>
  <si>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</si>
  <si>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</si>
  <si>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</si>
  <si>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</si>
  <si>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</si>
  <si>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</si>
  <si>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</si>
  <si>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</si>
  <si>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</si>
  <si>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</si>
  <si>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</si>
  <si>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</si>
  <si>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</si>
  <si>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</si>
  <si>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</si>
  <si>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</si>
  <si>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</si>
  <si>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</si>
  <si>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</si>
  <si>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</si>
  <si>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</si>
  <si>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</si>
  <si>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</si>
  <si>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</si>
  <si>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</si>
  <si>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</si>
  <si>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</si>
  <si>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</si>
  <si>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</si>
  <si>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</si>
  <si>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</si>
  <si>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</si>
  <si>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</si>
  <si>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</si>
  <si>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</si>
  <si>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</si>
  <si>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</si>
  <si>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</si>
  <si>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</si>
  <si>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</si>
  <si>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</si>
  <si>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</si>
  <si>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</si>
  <si>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</si>
  <si>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</si>
  <si>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</si>
  <si>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</si>
  <si>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</si>
  <si>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</si>
  <si>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</si>
  <si>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</si>
  <si>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</si>
  <si>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</si>
  <si>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</si>
  <si>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</si>
  <si>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</si>
  <si>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</si>
  <si>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</si>
  <si>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</si>
  <si>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</si>
  <si>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</si>
  <si>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</si>
  <si>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</si>
  <si>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</si>
  <si>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</si>
  <si>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</si>
  <si>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</si>
  <si>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</si>
  <si>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</si>
  <si>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</si>
  <si>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</si>
  <si>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</si>
  <si>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</si>
  <si>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</si>
  <si>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</si>
  <si>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</si>
  <si>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</si>
  <si>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</si>
  <si>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</si>
  <si>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</si>
  <si>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</si>
  <si>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</si>
  <si>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</si>
  <si>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</si>
  <si>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</si>
  <si>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</si>
  <si>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</si>
  <si>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</si>
  <si>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</si>
  <si>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</si>
  <si>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</si>
  <si>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</si>
  <si>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</si>
  <si>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</si>
  <si>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</si>
  <si>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</si>
  <si>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</si>
  <si>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</si>
  <si>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</si>
  <si>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</si>
  <si>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</si>
  <si>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</si>
  <si>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</si>
  <si>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</si>
  <si>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</si>
  <si>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</si>
  <si>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</si>
  <si>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</si>
  <si>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</si>
  <si>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</si>
  <si>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</si>
  <si>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</si>
  <si>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</si>
  <si>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</si>
  <si>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</si>
  <si>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</si>
  <si>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</si>
  <si>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</si>
  <si>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</si>
  <si>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</si>
  <si>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</si>
  <si>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</si>
  <si>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</si>
  <si>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</si>
  <si>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</si>
  <si>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</si>
  <si>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</si>
  <si>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</si>
  <si>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</si>
  <si>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</si>
  <si>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</si>
  <si>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</si>
  <si>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</si>
  <si>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</si>
  <si>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</si>
  <si>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</si>
  <si>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</si>
  <si>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</si>
  <si>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</si>
  <si>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</si>
  <si>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</si>
  <si>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</si>
  <si>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</si>
  <si>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</si>
  <si>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</si>
  <si>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</si>
  <si>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</si>
  <si>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</si>
  <si>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</si>
  <si>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</si>
  <si>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</si>
  <si>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</si>
  <si>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</si>
  <si>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</si>
  <si>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</si>
  <si>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</si>
  <si>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</si>
  <si>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</si>
  <si>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</si>
  <si>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</si>
  <si>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</si>
  <si>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</si>
  <si>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</si>
  <si>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</si>
  <si>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</si>
  <si>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</si>
  <si>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</si>
  <si>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</si>
  <si>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</si>
  <si>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</si>
  <si>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</si>
  <si>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</si>
  <si>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</si>
  <si>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</si>
  <si>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</si>
  <si>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</si>
  <si>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</si>
  <si>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</si>
  <si>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</si>
  <si>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</si>
  <si>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</si>
  <si>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</si>
  <si>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</si>
  <si>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</si>
  <si>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</si>
  <si>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</si>
  <si>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</si>
  <si>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</si>
  <si>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</si>
  <si>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</si>
  <si>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</si>
  <si>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</si>
  <si>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</si>
  <si>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</si>
  <si>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</si>
  <si>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</si>
  <si>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</si>
  <si>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</si>
  <si>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</si>
  <si>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</si>
  <si>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</si>
  <si>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</si>
  <si>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</si>
  <si>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</si>
  <si>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</si>
  <si>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</si>
  <si>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</si>
  <si>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</si>
  <si>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</si>
  <si>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</si>
  <si>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</si>
  <si>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</si>
  <si>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</si>
  <si>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</si>
  <si>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</si>
  <si>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</si>
  <si>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</si>
  <si>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</si>
  <si>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</si>
  <si>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</si>
  <si>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</si>
  <si>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</si>
  <si>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</si>
  <si>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</si>
  <si>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</si>
  <si>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</si>
  <si>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</si>
  <si>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</si>
  <si>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</si>
  <si>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</si>
  <si>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</si>
  <si>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</si>
  <si>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</si>
  <si>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</si>
  <si>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</si>
  <si>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</si>
  <si>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</si>
  <si>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</si>
  <si>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</si>
  <si>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</si>
  <si>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</si>
  <si>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</si>
  <si>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</si>
  <si>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</si>
  <si>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</si>
  <si>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</si>
  <si>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</si>
  <si>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</si>
  <si>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</si>
  <si>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</si>
  <si>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</si>
  <si>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</si>
  <si>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</si>
  <si>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</si>
  <si>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</si>
  <si>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</si>
  <si>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</si>
  <si>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</si>
  <si>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</si>
  <si>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</si>
  <si>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</si>
  <si>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</si>
  <si>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</si>
  <si>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</si>
  <si>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</si>
  <si>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</si>
  <si>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</si>
  <si>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</si>
  <si>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</si>
  <si>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</si>
  <si>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</si>
  <si>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</si>
  <si>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</si>
  <si>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</si>
  <si>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</si>
  <si>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</si>
  <si>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</si>
  <si>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</si>
  <si>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</si>
  <si>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</si>
  <si>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</si>
  <si>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</si>
  <si>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</si>
  <si>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</si>
  <si>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</si>
  <si>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</si>
  <si>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</si>
  <si>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</si>
  <si>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</si>
  <si>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</si>
  <si>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</si>
  <si>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</si>
  <si>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</si>
  <si>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</si>
  <si>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</si>
  <si>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</si>
  <si>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</si>
  <si>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</si>
  <si>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</si>
  <si>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</si>
  <si>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</si>
  <si>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</si>
  <si>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</si>
  <si>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</si>
  <si>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</si>
  <si>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</si>
  <si>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</si>
  <si>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</si>
  <si>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</si>
  <si>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</si>
  <si>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</si>
  <si>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</si>
  <si>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</si>
  <si>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</si>
  <si>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</si>
  <si>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</si>
  <si>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</si>
  <si>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</si>
  <si>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</si>
  <si>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</si>
  <si>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</si>
  <si>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</si>
  <si>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</si>
  <si>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</si>
  <si>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</si>
  <si>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</si>
  <si>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</si>
  <si>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</si>
  <si>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</si>
  <si>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</si>
  <si>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</si>
  <si>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</si>
  <si>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</si>
  <si>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</si>
  <si>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</si>
  <si>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</si>
  <si>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</si>
  <si>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</si>
  <si>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Type64ModGreyZone</t>
  </si>
  <si>
    <t>StechkinModGreyZone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</si>
  <si>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</si>
  <si>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</si>
  <si>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</si>
  <si>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</si>
  <si>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</si>
  <si>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</si>
  <si>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</si>
  <si>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</si>
  <si>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</si>
  <si>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</si>
  <si>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</si>
  <si>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</si>
  <si>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</si>
  <si>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</si>
  <si>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</si>
  <si>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</si>
  <si>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</si>
  <si>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</si>
  <si>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</si>
  <si>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</si>
  <si>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</si>
  <si>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</si>
  <si>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</si>
  <si>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</si>
  <si>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</si>
  <si>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</si>
  <si>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</si>
  <si>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</si>
  <si>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</si>
  <si>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</si>
  <si>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t>SS Artil</t>
  </si>
  <si>
    <t>gun-10000388</t>
  </si>
  <si>
    <t>QBU191</t>
  </si>
  <si>
    <t>gun-40000388</t>
  </si>
  <si>
    <t>gun-50000388</t>
  </si>
  <si>
    <t>gun-60000388</t>
  </si>
  <si>
    <t>750814,750815,750816,750817,750818,750819,750820,750821,750823,750827,750829</t>
  </si>
  <si>
    <t>750822</t>
  </si>
  <si>
    <t>12,8,18,14</t>
  </si>
  <si>
    <t>1,10;2,10;3,10</t>
  </si>
  <si>
    <t>2023-06-02 00:00:00</t>
  </si>
  <si>
    <t>gun-10000389</t>
  </si>
  <si>
    <t>Boys</t>
  </si>
  <si>
    <t>BoysAntiTank</t>
  </si>
  <si>
    <t>gun-40000389</t>
  </si>
  <si>
    <t>gun-50000389</t>
  </si>
  <si>
    <t>gun-60000389</t>
  </si>
  <si>
    <t>750803</t>
  </si>
  <si>
    <t>750804</t>
  </si>
  <si>
    <t>18,14,19,15</t>
  </si>
  <si>
    <t>gun-10000390</t>
  </si>
  <si>
    <t>HK433</t>
  </si>
  <si>
    <t>gun-40000390</t>
  </si>
  <si>
    <t>gun-50000390</t>
  </si>
  <si>
    <t>gun-60000390</t>
  </si>
  <si>
    <t>750805,750806</t>
  </si>
  <si>
    <t>750808</t>
  </si>
  <si>
    <t>equip-10000348</t>
  </si>
  <si>
    <t>equip-20000348</t>
  </si>
  <si>
    <t>20026</t>
  </si>
  <si>
    <t>equip-30000348</t>
  </si>
  <si>
    <t>759186</t>
  </si>
  <si>
    <t>equip-10000349</t>
  </si>
  <si>
    <t>equip-20000349</t>
  </si>
  <si>
    <t>20125</t>
  </si>
  <si>
    <t>equip-30000349</t>
  </si>
  <si>
    <t>759062,759191</t>
  </si>
  <si>
    <t>TargetTrain</t>
  </si>
  <si>
    <t>MP5ModGreyZone</t>
  </si>
  <si>
    <t>MG4ModGreyZone</t>
  </si>
  <si>
    <t>PL+ Welrod Buff</t>
  </si>
  <si>
    <t>PL+ Thompson Debuff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</si>
  <si>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June 29, 2023)</t>
    </r>
  </si>
  <si>
    <t>equip-10000350</t>
  </si>
  <si>
    <t>equip-20000350</t>
  </si>
  <si>
    <t>equip-30000350</t>
  </si>
  <si>
    <t>759214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</si>
</sst>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8062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5643</v>
      </c>
    </row>
    <row r="5" spans="1:5" x14ac:dyDescent="0.25">
      <c r="A5" s="155" t="s">
        <v>6526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6525</v>
      </c>
      <c r="B8" s="159" t="s">
        <v>8057</v>
      </c>
      <c r="D8" s="158" t="s">
        <v>848</v>
      </c>
      <c r="E8" s="159">
        <v>220000</v>
      </c>
    </row>
    <row r="9" spans="1:5" x14ac:dyDescent="0.25">
      <c r="A9" s="158" t="s">
        <v>6524</v>
      </c>
      <c r="B9" s="159" t="s">
        <v>961</v>
      </c>
      <c r="D9" s="158" t="s">
        <v>7334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6523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63" t="s">
        <v>6874</v>
      </c>
      <c r="C15" s="264"/>
    </row>
    <row r="16" spans="1:5" outlineLevel="1" x14ac:dyDescent="0.25">
      <c r="A16" s="160"/>
      <c r="B16" s="163"/>
    </row>
    <row r="17" spans="1:29" outlineLevel="1" x14ac:dyDescent="0.25">
      <c r="A17" s="164" t="s">
        <v>6456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6377</v>
      </c>
      <c r="U24" s="182" t="s">
        <v>6381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63" t="s">
        <v>5680</v>
      </c>
      <c r="C35" s="26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6887</v>
      </c>
      <c r="F39" s="208" t="s">
        <v>6888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260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77"/>
      <c r="B63" s="237">
        <v>9</v>
      </c>
      <c r="C63" s="244" t="s">
        <v>6778</v>
      </c>
      <c r="D63" s="178">
        <v>347</v>
      </c>
      <c r="E63" s="178">
        <v>341</v>
      </c>
      <c r="F63" s="178">
        <v>390</v>
      </c>
      <c r="G63" s="180">
        <v>593</v>
      </c>
      <c r="H63" s="178">
        <v>10</v>
      </c>
      <c r="I63" s="178">
        <v>10</v>
      </c>
      <c r="J63" s="180">
        <v>10</v>
      </c>
    </row>
    <row r="64" spans="1:10" outlineLevel="1" x14ac:dyDescent="0.25">
      <c r="A64" s="181"/>
      <c r="B64" s="172">
        <v>10</v>
      </c>
      <c r="C64" s="171" t="s">
        <v>8020</v>
      </c>
      <c r="D64" s="258"/>
      <c r="E64" s="258"/>
      <c r="F64" s="258"/>
      <c r="G64" s="259"/>
      <c r="H64" s="258"/>
      <c r="I64" s="258"/>
      <c r="J64" s="259"/>
    </row>
    <row r="65" spans="1:16" outlineLevel="1" x14ac:dyDescent="0.25"/>
    <row r="66" spans="1:16" outlineLevel="1" x14ac:dyDescent="0.25">
      <c r="A66" s="164" t="s">
        <v>1781</v>
      </c>
    </row>
    <row r="67" spans="1:16" s="189" customFormat="1" outlineLevel="1" x14ac:dyDescent="0.25">
      <c r="A67" s="165"/>
      <c r="B67" s="196"/>
      <c r="C67" s="245"/>
      <c r="D67" s="166" t="s">
        <v>1773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1037</v>
      </c>
      <c r="M67" s="167"/>
      <c r="N67" s="191" t="s">
        <v>1774</v>
      </c>
    </row>
    <row r="68" spans="1:16" s="189" customFormat="1" outlineLevel="1" x14ac:dyDescent="0.25">
      <c r="A68" s="169" t="s">
        <v>854</v>
      </c>
      <c r="B68" s="172" t="s">
        <v>1036</v>
      </c>
      <c r="C68" s="171" t="s">
        <v>8</v>
      </c>
      <c r="D68" s="170" t="s">
        <v>18</v>
      </c>
      <c r="E68" s="170" t="s">
        <v>1771</v>
      </c>
      <c r="F68" s="170" t="s">
        <v>1770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15" t="s">
        <v>1779</v>
      </c>
    </row>
    <row r="69" spans="1:16" outlineLevel="1" x14ac:dyDescent="0.25">
      <c r="A69" s="249"/>
      <c r="B69" s="250">
        <v>1</v>
      </c>
      <c r="C69" s="251" t="s">
        <v>1702</v>
      </c>
      <c r="D69" s="174">
        <v>100</v>
      </c>
      <c r="E69" s="174">
        <v>5</v>
      </c>
      <c r="F69" s="174">
        <v>4</v>
      </c>
      <c r="G69" s="175">
        <v>100</v>
      </c>
      <c r="H69" s="173">
        <v>10</v>
      </c>
      <c r="I69" s="174">
        <v>10</v>
      </c>
      <c r="J69" s="174">
        <v>5</v>
      </c>
      <c r="K69" s="175">
        <v>5</v>
      </c>
      <c r="L69" s="174"/>
      <c r="M69" s="175"/>
      <c r="N69" s="252">
        <v>100</v>
      </c>
      <c r="P69" s="220"/>
    </row>
    <row r="70" spans="1:16" outlineLevel="1" x14ac:dyDescent="0.25">
      <c r="A70" s="211"/>
      <c r="B70" s="208">
        <v>2</v>
      </c>
      <c r="C70" s="244" t="s">
        <v>984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102</v>
      </c>
    </row>
    <row r="71" spans="1:16" outlineLevel="1" x14ac:dyDescent="0.25">
      <c r="A71" s="211"/>
      <c r="B71" s="208">
        <v>3</v>
      </c>
      <c r="C71" s="244" t="s">
        <v>987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104</v>
      </c>
    </row>
    <row r="72" spans="1:16" outlineLevel="1" x14ac:dyDescent="0.25">
      <c r="A72" s="211"/>
      <c r="B72" s="208">
        <v>4</v>
      </c>
      <c r="C72" s="244" t="s">
        <v>993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105</v>
      </c>
    </row>
    <row r="73" spans="1:16" outlineLevel="1" x14ac:dyDescent="0.25">
      <c r="A73" s="211"/>
      <c r="B73" s="208">
        <v>5</v>
      </c>
      <c r="C73" s="244" t="s">
        <v>992</v>
      </c>
      <c r="D73" s="178">
        <v>100</v>
      </c>
      <c r="E73" s="178">
        <v>5</v>
      </c>
      <c r="F73" s="178">
        <v>4</v>
      </c>
      <c r="G73" s="180">
        <v>100</v>
      </c>
      <c r="H73" s="177">
        <v>10</v>
      </c>
      <c r="I73" s="178">
        <v>10</v>
      </c>
      <c r="J73" s="178">
        <v>5</v>
      </c>
      <c r="K73" s="180">
        <v>5</v>
      </c>
      <c r="L73" s="178"/>
      <c r="M73" s="180"/>
      <c r="N73" s="253">
        <v>106</v>
      </c>
    </row>
    <row r="74" spans="1:16" outlineLevel="1" x14ac:dyDescent="0.25">
      <c r="A74" s="202"/>
      <c r="B74" s="170">
        <v>6</v>
      </c>
      <c r="C74" s="171" t="s">
        <v>6936</v>
      </c>
      <c r="D74" s="182">
        <v>100</v>
      </c>
      <c r="E74" s="182">
        <v>5</v>
      </c>
      <c r="F74" s="182">
        <v>4</v>
      </c>
      <c r="G74" s="159">
        <v>100</v>
      </c>
      <c r="H74" s="181">
        <v>10</v>
      </c>
      <c r="I74" s="182">
        <v>10</v>
      </c>
      <c r="J74" s="182">
        <v>5</v>
      </c>
      <c r="K74" s="159">
        <v>5</v>
      </c>
      <c r="L74" s="182"/>
      <c r="M74" s="159"/>
      <c r="N74" s="254">
        <v>101</v>
      </c>
    </row>
    <row r="75" spans="1:16" s="194" customFormat="1" outlineLevel="1" x14ac:dyDescent="0.25"/>
    <row r="76" spans="1:16" outlineLevel="1" x14ac:dyDescent="0.25">
      <c r="A76" s="164" t="s">
        <v>6609</v>
      </c>
      <c r="B76" s="164"/>
      <c r="C76" s="164"/>
      <c r="E76" s="220"/>
    </row>
    <row r="77" spans="1:16" outlineLevel="1" x14ac:dyDescent="0.25">
      <c r="A77" s="198" t="s">
        <v>949</v>
      </c>
      <c r="B77" s="186" t="s">
        <v>783</v>
      </c>
      <c r="C77" s="187" t="s">
        <v>769</v>
      </c>
    </row>
    <row r="78" spans="1:16" outlineLevel="1" x14ac:dyDescent="0.25">
      <c r="A78" s="237">
        <v>1</v>
      </c>
      <c r="B78" s="199"/>
      <c r="C78" s="180"/>
    </row>
    <row r="79" spans="1:16" outlineLevel="1" x14ac:dyDescent="0.25">
      <c r="A79" s="237">
        <v>2</v>
      </c>
      <c r="B79" s="200"/>
      <c r="C79" s="180"/>
    </row>
    <row r="80" spans="1:16" outlineLevel="1" x14ac:dyDescent="0.25">
      <c r="A80" s="172">
        <v>3</v>
      </c>
      <c r="B80" s="201"/>
      <c r="C80" s="159"/>
    </row>
    <row r="81" spans="1:3" outlineLevel="1" x14ac:dyDescent="0.25">
      <c r="A81" s="194"/>
      <c r="B81" s="194"/>
      <c r="C81" s="194"/>
    </row>
    <row r="82" spans="1:3" outlineLevel="1" x14ac:dyDescent="0.25">
      <c r="A82" s="160" t="s">
        <v>6614</v>
      </c>
    </row>
    <row r="83" spans="1:3" outlineLevel="1" x14ac:dyDescent="0.25">
      <c r="A83" s="198" t="s">
        <v>6605</v>
      </c>
      <c r="B83" s="186" t="s">
        <v>6600</v>
      </c>
      <c r="C83" s="187" t="s">
        <v>769</v>
      </c>
    </row>
    <row r="84" spans="1:3" outlineLevel="1" x14ac:dyDescent="0.25">
      <c r="A84" s="237">
        <v>1</v>
      </c>
      <c r="B84" s="199"/>
      <c r="C84" s="180"/>
    </row>
    <row r="85" spans="1:3" outlineLevel="1" x14ac:dyDescent="0.25">
      <c r="A85" s="237">
        <v>2</v>
      </c>
      <c r="B85" s="200"/>
      <c r="C85" s="180"/>
    </row>
    <row r="86" spans="1:3" outlineLevel="1" x14ac:dyDescent="0.25">
      <c r="A86" s="172">
        <v>3</v>
      </c>
      <c r="B86" s="201"/>
      <c r="C86" s="159"/>
    </row>
    <row r="87" spans="1:3" outlineLevel="1" x14ac:dyDescent="0.25"/>
    <row r="88" spans="1:3" outlineLevel="1" x14ac:dyDescent="0.25">
      <c r="A88" s="160" t="s">
        <v>7123</v>
      </c>
    </row>
    <row r="89" spans="1:3" outlineLevel="1" x14ac:dyDescent="0.25">
      <c r="A89" s="198" t="s">
        <v>7109</v>
      </c>
      <c r="B89" s="186" t="s">
        <v>7108</v>
      </c>
      <c r="C89" s="187" t="s">
        <v>1774</v>
      </c>
    </row>
    <row r="90" spans="1:3" outlineLevel="1" x14ac:dyDescent="0.25">
      <c r="A90" s="237">
        <v>1</v>
      </c>
      <c r="B90" s="199"/>
      <c r="C90" s="180"/>
    </row>
    <row r="91" spans="1:3" outlineLevel="1" x14ac:dyDescent="0.25">
      <c r="A91" s="237">
        <v>2</v>
      </c>
      <c r="B91" s="200"/>
      <c r="C91" s="180"/>
    </row>
    <row r="92" spans="1:3" outlineLevel="1" x14ac:dyDescent="0.25">
      <c r="A92" s="172">
        <v>3</v>
      </c>
      <c r="B92" s="201"/>
      <c r="C92" s="159"/>
    </row>
    <row r="9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9:J74">
    <cfRule type="expression" dxfId="7" priority="6">
      <formula>#REF!&lt;&gt;3</formula>
    </cfRule>
  </conditionalFormatting>
  <conditionalFormatting sqref="I69:I74">
    <cfRule type="expression" dxfId="6" priority="5">
      <formula>#REF!&lt;2</formula>
    </cfRule>
  </conditionalFormatting>
  <conditionalFormatting sqref="M69:M74">
    <cfRule type="expression" dxfId="5" priority="19">
      <formula>$E69&lt;4</formula>
    </cfRule>
  </conditionalFormatting>
  <conditionalFormatting sqref="K69:K74">
    <cfRule type="expression" dxfId="4" priority="20">
      <formula>$E69&lt;4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8:C80" xr:uid="{085D9B0C-675C-400E-920A-4A9DD3F50DF7}">
      <formula1>"1,2,3,4,5,6,7,8,9,10"</formula1>
    </dataValidation>
    <dataValidation type="whole" allowBlank="1" showInputMessage="1" showErrorMessage="1" sqref="D40:D48 D69:D74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9:F74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4 C84:C86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4 A69:A74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9:K74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9:E74" xr:uid="{D2F69B15-75AC-411E-918E-07828F1F2C06}">
      <formula1>AND(OR(E69=1,E69=2,E69=3,E69=4,E69=5),E69&gt;=3)</formula1>
    </dataValidation>
    <dataValidation type="custom" allowBlank="1" showInputMessage="1" showErrorMessage="1" sqref="G69:G74" xr:uid="{6117B0B1-BD61-4031-A8DD-CAAB092F0644}">
      <formula1>AND(G69&gt;=0,G69&lt;=150,G69=INT(G69))</formula1>
    </dataValidation>
    <dataValidation type="custom" allowBlank="1" showInputMessage="1" showErrorMessage="1" sqref="H69:I74" xr:uid="{18E55432-524A-477B-8B68-3136B4E41723}">
      <formula1>AND(H69&gt;=0,H69&lt;=10,H69=INT(H69))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90:B92" xr:uid="{20D124D4-90CB-4D4A-8D0D-3D2A17C98D1F}">
      <formula1>1</formula1>
    </dataValidation>
  </dataValidations>
  <hyperlinks>
    <hyperlink ref="N68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L69:M74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N69:N74 C90:C92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B78:B80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B84:B86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7705</v>
      </c>
      <c r="B1" s="10" t="s">
        <v>700</v>
      </c>
      <c r="C1" s="10" t="s">
        <v>8</v>
      </c>
      <c r="D1" s="10" t="s">
        <v>701</v>
      </c>
      <c r="E1" s="10" t="s">
        <v>7975</v>
      </c>
      <c r="F1" s="10" t="s">
        <v>7976</v>
      </c>
      <c r="H1" s="10" t="s">
        <v>7977</v>
      </c>
    </row>
    <row r="2" spans="1:8" x14ac:dyDescent="0.25">
      <c r="A2" t="s">
        <v>7706</v>
      </c>
      <c r="B2">
        <v>1</v>
      </c>
      <c r="C2" t="s">
        <v>7335</v>
      </c>
      <c r="D2" t="s">
        <v>7336</v>
      </c>
      <c r="H2" s="9" t="str">
        <f>IF(A2="Y",B2,"")</f>
        <v/>
      </c>
    </row>
    <row r="3" spans="1:8" x14ac:dyDescent="0.25">
      <c r="A3" t="s">
        <v>7706</v>
      </c>
      <c r="B3">
        <v>2</v>
      </c>
      <c r="C3" t="s">
        <v>7337</v>
      </c>
      <c r="D3" t="s">
        <v>7338</v>
      </c>
      <c r="H3" s="9" t="str">
        <f>IF(A3="N",H2,IF(H2="",B3,H2&amp;";"&amp;B3))</f>
        <v/>
      </c>
    </row>
    <row r="4" spans="1:8" x14ac:dyDescent="0.25">
      <c r="A4" t="s">
        <v>7706</v>
      </c>
      <c r="B4">
        <v>3</v>
      </c>
      <c r="C4" t="s">
        <v>7339</v>
      </c>
      <c r="D4" t="s">
        <v>7340</v>
      </c>
      <c r="H4" s="9" t="str">
        <f t="shared" ref="H4:H67" si="0">IF(A4="N",H3,IF(H3="",B4,H3&amp;";"&amp;B4))</f>
        <v/>
      </c>
    </row>
    <row r="5" spans="1:8" x14ac:dyDescent="0.25">
      <c r="A5" t="s">
        <v>7706</v>
      </c>
      <c r="B5">
        <v>4</v>
      </c>
      <c r="C5" t="s">
        <v>7341</v>
      </c>
      <c r="D5" t="s">
        <v>7342</v>
      </c>
      <c r="H5" s="9" t="str">
        <f t="shared" si="0"/>
        <v/>
      </c>
    </row>
    <row r="6" spans="1:8" x14ac:dyDescent="0.25">
      <c r="A6" t="s">
        <v>7706</v>
      </c>
      <c r="B6">
        <v>5</v>
      </c>
      <c r="C6" t="s">
        <v>7343</v>
      </c>
      <c r="D6" t="s">
        <v>7344</v>
      </c>
      <c r="H6" s="9" t="str">
        <f t="shared" si="0"/>
        <v/>
      </c>
    </row>
    <row r="7" spans="1:8" x14ac:dyDescent="0.25">
      <c r="A7" t="s">
        <v>7706</v>
      </c>
      <c r="B7">
        <v>6</v>
      </c>
      <c r="C7" t="s">
        <v>7345</v>
      </c>
      <c r="D7" t="s">
        <v>7346</v>
      </c>
      <c r="H7" s="9" t="str">
        <f t="shared" si="0"/>
        <v/>
      </c>
    </row>
    <row r="8" spans="1:8" x14ac:dyDescent="0.25">
      <c r="A8" t="s">
        <v>7706</v>
      </c>
      <c r="B8">
        <v>7</v>
      </c>
      <c r="C8" t="s">
        <v>7347</v>
      </c>
      <c r="D8" t="s">
        <v>7348</v>
      </c>
      <c r="H8" s="9" t="str">
        <f t="shared" si="0"/>
        <v/>
      </c>
    </row>
    <row r="9" spans="1:8" x14ac:dyDescent="0.25">
      <c r="A9" t="s">
        <v>7706</v>
      </c>
      <c r="B9">
        <v>8</v>
      </c>
      <c r="C9" t="s">
        <v>7349</v>
      </c>
      <c r="D9" t="s">
        <v>7350</v>
      </c>
      <c r="H9" s="9" t="str">
        <f t="shared" si="0"/>
        <v/>
      </c>
    </row>
    <row r="10" spans="1:8" x14ac:dyDescent="0.25">
      <c r="A10" t="s">
        <v>7706</v>
      </c>
      <c r="B10">
        <v>701</v>
      </c>
      <c r="C10" t="s">
        <v>7351</v>
      </c>
      <c r="D10" t="s">
        <v>7352</v>
      </c>
      <c r="H10" s="9" t="str">
        <f t="shared" si="0"/>
        <v/>
      </c>
    </row>
    <row r="11" spans="1:8" x14ac:dyDescent="0.25">
      <c r="A11" t="s">
        <v>7706</v>
      </c>
      <c r="B11">
        <v>702</v>
      </c>
      <c r="C11" t="s">
        <v>7353</v>
      </c>
      <c r="D11" t="s">
        <v>7354</v>
      </c>
      <c r="H11" s="9" t="str">
        <f t="shared" si="0"/>
        <v/>
      </c>
    </row>
    <row r="12" spans="1:8" x14ac:dyDescent="0.25">
      <c r="A12" t="s">
        <v>7706</v>
      </c>
      <c r="B12">
        <v>703</v>
      </c>
      <c r="C12" t="s">
        <v>7355</v>
      </c>
      <c r="D12" t="s">
        <v>7356</v>
      </c>
      <c r="H12" s="9" t="str">
        <f t="shared" si="0"/>
        <v/>
      </c>
    </row>
    <row r="13" spans="1:8" x14ac:dyDescent="0.25">
      <c r="A13" t="s">
        <v>7706</v>
      </c>
      <c r="B13">
        <v>704</v>
      </c>
      <c r="C13" t="s">
        <v>7357</v>
      </c>
      <c r="D13" t="s">
        <v>7358</v>
      </c>
      <c r="H13" s="9" t="str">
        <f t="shared" si="0"/>
        <v/>
      </c>
    </row>
    <row r="14" spans="1:8" x14ac:dyDescent="0.25">
      <c r="A14" t="s">
        <v>7706</v>
      </c>
      <c r="B14">
        <v>705</v>
      </c>
      <c r="C14" t="s">
        <v>7359</v>
      </c>
      <c r="D14" t="s">
        <v>7360</v>
      </c>
      <c r="H14" s="9" t="str">
        <f t="shared" si="0"/>
        <v/>
      </c>
    </row>
    <row r="15" spans="1:8" x14ac:dyDescent="0.25">
      <c r="A15" t="s">
        <v>7706</v>
      </c>
      <c r="B15">
        <v>706</v>
      </c>
      <c r="C15" t="s">
        <v>7361</v>
      </c>
      <c r="D15" t="s">
        <v>7362</v>
      </c>
      <c r="H15" s="9" t="str">
        <f t="shared" si="0"/>
        <v/>
      </c>
    </row>
    <row r="16" spans="1:8" x14ac:dyDescent="0.25">
      <c r="A16" t="s">
        <v>7706</v>
      </c>
      <c r="B16">
        <v>707</v>
      </c>
      <c r="C16" t="s">
        <v>7363</v>
      </c>
      <c r="D16" t="s">
        <v>7364</v>
      </c>
      <c r="H16" s="9" t="str">
        <f t="shared" si="0"/>
        <v/>
      </c>
    </row>
    <row r="17" spans="1:8" x14ac:dyDescent="0.25">
      <c r="A17" t="s">
        <v>7706</v>
      </c>
      <c r="B17">
        <v>708</v>
      </c>
      <c r="C17" t="s">
        <v>7365</v>
      </c>
      <c r="D17" t="s">
        <v>7366</v>
      </c>
      <c r="H17" s="9" t="str">
        <f t="shared" si="0"/>
        <v/>
      </c>
    </row>
    <row r="18" spans="1:8" x14ac:dyDescent="0.25">
      <c r="A18" t="s">
        <v>7706</v>
      </c>
      <c r="B18">
        <v>709</v>
      </c>
      <c r="C18" t="s">
        <v>7367</v>
      </c>
      <c r="D18" t="s">
        <v>7368</v>
      </c>
      <c r="H18" s="9" t="str">
        <f t="shared" si="0"/>
        <v/>
      </c>
    </row>
    <row r="19" spans="1:8" x14ac:dyDescent="0.25">
      <c r="A19" t="s">
        <v>7706</v>
      </c>
      <c r="B19">
        <v>710</v>
      </c>
      <c r="C19" t="s">
        <v>7369</v>
      </c>
      <c r="D19" t="s">
        <v>7370</v>
      </c>
      <c r="H19" s="9" t="str">
        <f t="shared" si="0"/>
        <v/>
      </c>
    </row>
    <row r="20" spans="1:8" x14ac:dyDescent="0.25">
      <c r="A20" t="s">
        <v>7706</v>
      </c>
      <c r="B20">
        <v>711</v>
      </c>
      <c r="C20" t="s">
        <v>7371</v>
      </c>
      <c r="D20" t="s">
        <v>7372</v>
      </c>
      <c r="H20" s="9" t="str">
        <f t="shared" si="0"/>
        <v/>
      </c>
    </row>
    <row r="21" spans="1:8" x14ac:dyDescent="0.25">
      <c r="A21" t="s">
        <v>7706</v>
      </c>
      <c r="B21">
        <v>712</v>
      </c>
      <c r="C21" t="s">
        <v>7373</v>
      </c>
      <c r="D21" t="s">
        <v>7374</v>
      </c>
      <c r="H21" s="9" t="str">
        <f t="shared" si="0"/>
        <v/>
      </c>
    </row>
    <row r="22" spans="1:8" x14ac:dyDescent="0.25">
      <c r="A22" t="s">
        <v>7706</v>
      </c>
      <c r="B22">
        <v>713</v>
      </c>
      <c r="C22" t="s">
        <v>7375</v>
      </c>
      <c r="D22" t="s">
        <v>7376</v>
      </c>
      <c r="H22" s="9" t="str">
        <f t="shared" si="0"/>
        <v/>
      </c>
    </row>
    <row r="23" spans="1:8" x14ac:dyDescent="0.25">
      <c r="A23" t="s">
        <v>7706</v>
      </c>
      <c r="B23">
        <v>714</v>
      </c>
      <c r="C23" t="s">
        <v>7377</v>
      </c>
      <c r="D23" t="s">
        <v>7378</v>
      </c>
      <c r="H23" s="9" t="str">
        <f t="shared" si="0"/>
        <v/>
      </c>
    </row>
    <row r="24" spans="1:8" x14ac:dyDescent="0.25">
      <c r="A24" t="s">
        <v>7706</v>
      </c>
      <c r="B24">
        <v>715</v>
      </c>
      <c r="C24" t="s">
        <v>7379</v>
      </c>
      <c r="D24" t="s">
        <v>7380</v>
      </c>
      <c r="H24" s="9" t="str">
        <f t="shared" si="0"/>
        <v/>
      </c>
    </row>
    <row r="25" spans="1:8" x14ac:dyDescent="0.25">
      <c r="A25" t="s">
        <v>7706</v>
      </c>
      <c r="B25">
        <v>716</v>
      </c>
      <c r="C25" t="s">
        <v>7381</v>
      </c>
      <c r="D25" t="s">
        <v>7382</v>
      </c>
      <c r="H25" s="9" t="str">
        <f t="shared" si="0"/>
        <v/>
      </c>
    </row>
    <row r="26" spans="1:8" x14ac:dyDescent="0.25">
      <c r="A26" t="s">
        <v>7706</v>
      </c>
      <c r="B26">
        <v>717</v>
      </c>
      <c r="C26" t="s">
        <v>7383</v>
      </c>
      <c r="D26" t="s">
        <v>7384</v>
      </c>
      <c r="H26" s="9" t="str">
        <f t="shared" si="0"/>
        <v/>
      </c>
    </row>
    <row r="27" spans="1:8" x14ac:dyDescent="0.25">
      <c r="A27" t="s">
        <v>7706</v>
      </c>
      <c r="B27">
        <v>718</v>
      </c>
      <c r="C27" t="s">
        <v>7385</v>
      </c>
      <c r="D27" t="s">
        <v>7386</v>
      </c>
      <c r="H27" s="9" t="str">
        <f t="shared" si="0"/>
        <v/>
      </c>
    </row>
    <row r="28" spans="1:8" x14ac:dyDescent="0.25">
      <c r="A28" t="s">
        <v>7706</v>
      </c>
      <c r="B28">
        <v>719</v>
      </c>
      <c r="C28" t="s">
        <v>7387</v>
      </c>
      <c r="D28" t="s">
        <v>7388</v>
      </c>
      <c r="H28" s="9" t="str">
        <f t="shared" si="0"/>
        <v/>
      </c>
    </row>
    <row r="29" spans="1:8" x14ac:dyDescent="0.25">
      <c r="A29" t="s">
        <v>7706</v>
      </c>
      <c r="B29">
        <v>720</v>
      </c>
      <c r="C29" t="s">
        <v>7389</v>
      </c>
      <c r="D29" t="s">
        <v>7390</v>
      </c>
      <c r="H29" s="9" t="str">
        <f t="shared" si="0"/>
        <v/>
      </c>
    </row>
    <row r="30" spans="1:8" x14ac:dyDescent="0.25">
      <c r="A30" t="s">
        <v>7706</v>
      </c>
      <c r="B30">
        <v>721</v>
      </c>
      <c r="C30" t="s">
        <v>7391</v>
      </c>
      <c r="D30" t="s">
        <v>7392</v>
      </c>
      <c r="H30" s="9" t="str">
        <f t="shared" si="0"/>
        <v/>
      </c>
    </row>
    <row r="31" spans="1:8" x14ac:dyDescent="0.25">
      <c r="A31" t="s">
        <v>7706</v>
      </c>
      <c r="B31">
        <v>722</v>
      </c>
      <c r="C31" t="s">
        <v>7393</v>
      </c>
      <c r="D31" t="s">
        <v>7394</v>
      </c>
      <c r="H31" s="9" t="str">
        <f t="shared" si="0"/>
        <v/>
      </c>
    </row>
    <row r="32" spans="1:8" x14ac:dyDescent="0.25">
      <c r="A32" t="s">
        <v>7706</v>
      </c>
      <c r="B32">
        <v>723</v>
      </c>
      <c r="C32" t="s">
        <v>7395</v>
      </c>
      <c r="D32" t="s">
        <v>7396</v>
      </c>
      <c r="H32" s="9" t="str">
        <f t="shared" si="0"/>
        <v/>
      </c>
    </row>
    <row r="33" spans="1:8" x14ac:dyDescent="0.25">
      <c r="A33" t="s">
        <v>7706</v>
      </c>
      <c r="B33">
        <v>724</v>
      </c>
      <c r="C33" t="s">
        <v>7397</v>
      </c>
      <c r="D33" t="s">
        <v>7398</v>
      </c>
      <c r="H33" s="9" t="str">
        <f t="shared" si="0"/>
        <v/>
      </c>
    </row>
    <row r="34" spans="1:8" x14ac:dyDescent="0.25">
      <c r="A34" t="s">
        <v>7706</v>
      </c>
      <c r="B34">
        <v>725</v>
      </c>
      <c r="C34" t="s">
        <v>7399</v>
      </c>
      <c r="D34" t="s">
        <v>7400</v>
      </c>
      <c r="H34" s="9" t="str">
        <f t="shared" si="0"/>
        <v/>
      </c>
    </row>
    <row r="35" spans="1:8" x14ac:dyDescent="0.25">
      <c r="A35" t="s">
        <v>7706</v>
      </c>
      <c r="B35">
        <v>726</v>
      </c>
      <c r="C35" t="s">
        <v>7401</v>
      </c>
      <c r="D35" t="s">
        <v>7402</v>
      </c>
      <c r="H35" s="9" t="str">
        <f t="shared" si="0"/>
        <v/>
      </c>
    </row>
    <row r="36" spans="1:8" x14ac:dyDescent="0.25">
      <c r="A36" t="s">
        <v>7706</v>
      </c>
      <c r="B36">
        <v>727</v>
      </c>
      <c r="C36" t="s">
        <v>7403</v>
      </c>
      <c r="D36" t="s">
        <v>7404</v>
      </c>
      <c r="H36" s="9" t="str">
        <f t="shared" si="0"/>
        <v/>
      </c>
    </row>
    <row r="37" spans="1:8" x14ac:dyDescent="0.25">
      <c r="A37" t="s">
        <v>7706</v>
      </c>
      <c r="B37">
        <v>728</v>
      </c>
      <c r="C37" t="s">
        <v>7405</v>
      </c>
      <c r="D37" t="s">
        <v>7406</v>
      </c>
      <c r="H37" s="9" t="str">
        <f t="shared" si="0"/>
        <v/>
      </c>
    </row>
    <row r="38" spans="1:8" x14ac:dyDescent="0.25">
      <c r="A38" t="s">
        <v>7706</v>
      </c>
      <c r="B38">
        <v>729</v>
      </c>
      <c r="C38" t="s">
        <v>7397</v>
      </c>
      <c r="D38" t="s">
        <v>7407</v>
      </c>
      <c r="H38" s="9" t="str">
        <f t="shared" si="0"/>
        <v/>
      </c>
    </row>
    <row r="39" spans="1:8" x14ac:dyDescent="0.25">
      <c r="A39" t="s">
        <v>7706</v>
      </c>
      <c r="B39">
        <v>730</v>
      </c>
      <c r="C39" t="s">
        <v>7408</v>
      </c>
      <c r="D39" t="s">
        <v>7409</v>
      </c>
      <c r="H39" s="9" t="str">
        <f t="shared" si="0"/>
        <v/>
      </c>
    </row>
    <row r="40" spans="1:8" x14ac:dyDescent="0.25">
      <c r="A40" t="s">
        <v>7706</v>
      </c>
      <c r="B40">
        <v>731</v>
      </c>
      <c r="C40" t="s">
        <v>7410</v>
      </c>
      <c r="D40" t="s">
        <v>7411</v>
      </c>
      <c r="H40" s="9" t="str">
        <f t="shared" si="0"/>
        <v/>
      </c>
    </row>
    <row r="41" spans="1:8" x14ac:dyDescent="0.25">
      <c r="A41" t="s">
        <v>7706</v>
      </c>
      <c r="B41">
        <v>732</v>
      </c>
      <c r="C41" t="s">
        <v>7412</v>
      </c>
      <c r="D41" t="s">
        <v>7413</v>
      </c>
      <c r="H41" s="9" t="str">
        <f t="shared" si="0"/>
        <v/>
      </c>
    </row>
    <row r="42" spans="1:8" x14ac:dyDescent="0.25">
      <c r="A42" t="s">
        <v>7706</v>
      </c>
      <c r="B42">
        <v>733</v>
      </c>
      <c r="C42" t="s">
        <v>7414</v>
      </c>
      <c r="D42" t="s">
        <v>7415</v>
      </c>
      <c r="H42" s="9" t="str">
        <f t="shared" si="0"/>
        <v/>
      </c>
    </row>
    <row r="43" spans="1:8" x14ac:dyDescent="0.25">
      <c r="A43" t="s">
        <v>7706</v>
      </c>
      <c r="B43">
        <v>734</v>
      </c>
      <c r="C43" t="s">
        <v>7416</v>
      </c>
      <c r="D43" t="s">
        <v>7417</v>
      </c>
      <c r="H43" s="9" t="str">
        <f t="shared" si="0"/>
        <v/>
      </c>
    </row>
    <row r="44" spans="1:8" x14ac:dyDescent="0.25">
      <c r="A44" t="s">
        <v>7706</v>
      </c>
      <c r="B44">
        <v>735</v>
      </c>
      <c r="C44" t="s">
        <v>7418</v>
      </c>
      <c r="D44" t="s">
        <v>7419</v>
      </c>
      <c r="H44" s="9" t="str">
        <f t="shared" si="0"/>
        <v/>
      </c>
    </row>
    <row r="45" spans="1:8" x14ac:dyDescent="0.25">
      <c r="A45" t="s">
        <v>7706</v>
      </c>
      <c r="B45">
        <v>736</v>
      </c>
      <c r="C45" t="s">
        <v>7420</v>
      </c>
      <c r="D45" t="s">
        <v>7421</v>
      </c>
      <c r="H45" s="9" t="str">
        <f t="shared" si="0"/>
        <v/>
      </c>
    </row>
    <row r="46" spans="1:8" x14ac:dyDescent="0.25">
      <c r="A46" t="s">
        <v>7706</v>
      </c>
      <c r="B46">
        <v>737</v>
      </c>
      <c r="C46" t="s">
        <v>7422</v>
      </c>
      <c r="D46" t="s">
        <v>7423</v>
      </c>
      <c r="H46" s="9" t="str">
        <f t="shared" si="0"/>
        <v/>
      </c>
    </row>
    <row r="47" spans="1:8" x14ac:dyDescent="0.25">
      <c r="A47" t="s">
        <v>7706</v>
      </c>
      <c r="B47">
        <v>738</v>
      </c>
      <c r="C47" t="s">
        <v>7424</v>
      </c>
      <c r="D47" t="s">
        <v>7425</v>
      </c>
      <c r="H47" s="9" t="str">
        <f t="shared" si="0"/>
        <v/>
      </c>
    </row>
    <row r="48" spans="1:8" x14ac:dyDescent="0.25">
      <c r="A48" t="s">
        <v>7706</v>
      </c>
      <c r="B48">
        <v>739</v>
      </c>
      <c r="C48" t="s">
        <v>7426</v>
      </c>
      <c r="D48" t="s">
        <v>7427</v>
      </c>
      <c r="H48" s="9" t="str">
        <f t="shared" si="0"/>
        <v/>
      </c>
    </row>
    <row r="49" spans="1:8" x14ac:dyDescent="0.25">
      <c r="A49" t="s">
        <v>7706</v>
      </c>
      <c r="B49">
        <v>740</v>
      </c>
      <c r="C49" t="s">
        <v>7428</v>
      </c>
      <c r="D49" t="s">
        <v>7429</v>
      </c>
      <c r="H49" s="9" t="str">
        <f t="shared" si="0"/>
        <v/>
      </c>
    </row>
    <row r="50" spans="1:8" x14ac:dyDescent="0.25">
      <c r="A50" t="s">
        <v>7706</v>
      </c>
      <c r="B50">
        <v>741</v>
      </c>
      <c r="C50" t="s">
        <v>7430</v>
      </c>
      <c r="D50" t="s">
        <v>7431</v>
      </c>
      <c r="H50" s="9" t="str">
        <f t="shared" si="0"/>
        <v/>
      </c>
    </row>
    <row r="51" spans="1:8" x14ac:dyDescent="0.25">
      <c r="A51" t="s">
        <v>7706</v>
      </c>
      <c r="B51">
        <v>742</v>
      </c>
      <c r="C51" t="s">
        <v>7432</v>
      </c>
      <c r="D51" t="s">
        <v>7433</v>
      </c>
      <c r="H51" s="9" t="str">
        <f t="shared" si="0"/>
        <v/>
      </c>
    </row>
    <row r="52" spans="1:8" x14ac:dyDescent="0.25">
      <c r="A52" t="s">
        <v>7706</v>
      </c>
      <c r="B52">
        <v>743</v>
      </c>
      <c r="C52" t="s">
        <v>7434</v>
      </c>
      <c r="D52" t="s">
        <v>7435</v>
      </c>
      <c r="H52" s="9" t="str">
        <f t="shared" si="0"/>
        <v/>
      </c>
    </row>
    <row r="53" spans="1:8" x14ac:dyDescent="0.25">
      <c r="A53" t="s">
        <v>7706</v>
      </c>
      <c r="B53">
        <v>901</v>
      </c>
      <c r="C53" t="s">
        <v>7707</v>
      </c>
      <c r="D53" t="s">
        <v>7841</v>
      </c>
      <c r="E53" t="s">
        <v>7436</v>
      </c>
      <c r="F53" t="s">
        <v>7437</v>
      </c>
      <c r="H53" s="9" t="str">
        <f t="shared" si="0"/>
        <v/>
      </c>
    </row>
    <row r="54" spans="1:8" x14ac:dyDescent="0.25">
      <c r="A54" t="s">
        <v>7706</v>
      </c>
      <c r="B54">
        <v>902</v>
      </c>
      <c r="C54" t="s">
        <v>7708</v>
      </c>
      <c r="D54" t="s">
        <v>7842</v>
      </c>
      <c r="E54" t="s">
        <v>7438</v>
      </c>
      <c r="F54" t="s">
        <v>7439</v>
      </c>
      <c r="H54" s="9" t="str">
        <f t="shared" si="0"/>
        <v/>
      </c>
    </row>
    <row r="55" spans="1:8" x14ac:dyDescent="0.25">
      <c r="A55" t="s">
        <v>7706</v>
      </c>
      <c r="B55">
        <v>903</v>
      </c>
      <c r="C55" t="s">
        <v>7709</v>
      </c>
      <c r="D55" t="s">
        <v>7843</v>
      </c>
      <c r="E55" t="s">
        <v>7440</v>
      </c>
      <c r="F55" t="s">
        <v>7441</v>
      </c>
      <c r="H55" s="9" t="str">
        <f t="shared" si="0"/>
        <v/>
      </c>
    </row>
    <row r="56" spans="1:8" x14ac:dyDescent="0.25">
      <c r="A56" t="s">
        <v>7706</v>
      </c>
      <c r="B56">
        <v>904</v>
      </c>
      <c r="C56" t="s">
        <v>7710</v>
      </c>
      <c r="D56" t="s">
        <v>7844</v>
      </c>
      <c r="E56" t="s">
        <v>7442</v>
      </c>
      <c r="F56" t="s">
        <v>7443</v>
      </c>
      <c r="H56" s="9" t="str">
        <f t="shared" si="0"/>
        <v/>
      </c>
    </row>
    <row r="57" spans="1:8" x14ac:dyDescent="0.25">
      <c r="A57" t="s">
        <v>7706</v>
      </c>
      <c r="B57">
        <v>905</v>
      </c>
      <c r="C57" t="s">
        <v>7711</v>
      </c>
      <c r="D57" t="s">
        <v>7845</v>
      </c>
      <c r="E57" t="s">
        <v>7444</v>
      </c>
      <c r="F57" t="s">
        <v>7445</v>
      </c>
      <c r="H57" s="9" t="str">
        <f t="shared" si="0"/>
        <v/>
      </c>
    </row>
    <row r="58" spans="1:8" x14ac:dyDescent="0.25">
      <c r="A58" t="s">
        <v>7706</v>
      </c>
      <c r="B58">
        <v>906</v>
      </c>
      <c r="C58" t="s">
        <v>7712</v>
      </c>
      <c r="D58" t="s">
        <v>7846</v>
      </c>
      <c r="E58" t="s">
        <v>7446</v>
      </c>
      <c r="F58" t="s">
        <v>7447</v>
      </c>
      <c r="H58" s="9" t="str">
        <f t="shared" si="0"/>
        <v/>
      </c>
    </row>
    <row r="59" spans="1:8" ht="30" x14ac:dyDescent="0.25">
      <c r="A59" t="s">
        <v>7706</v>
      </c>
      <c r="B59">
        <v>1101</v>
      </c>
      <c r="C59" t="s">
        <v>7713</v>
      </c>
      <c r="D59" s="257" t="s">
        <v>7847</v>
      </c>
      <c r="E59" t="s">
        <v>7448</v>
      </c>
      <c r="F59" t="s">
        <v>7449</v>
      </c>
      <c r="H59" s="9" t="str">
        <f t="shared" si="0"/>
        <v/>
      </c>
    </row>
    <row r="60" spans="1:8" ht="30" x14ac:dyDescent="0.25">
      <c r="A60" t="s">
        <v>7706</v>
      </c>
      <c r="B60">
        <v>1102</v>
      </c>
      <c r="C60" t="s">
        <v>7714</v>
      </c>
      <c r="D60" s="257" t="s">
        <v>7848</v>
      </c>
      <c r="E60" t="s">
        <v>7450</v>
      </c>
      <c r="F60" t="s">
        <v>7451</v>
      </c>
      <c r="H60" s="9" t="str">
        <f t="shared" si="0"/>
        <v/>
      </c>
    </row>
    <row r="61" spans="1:8" ht="30" x14ac:dyDescent="0.25">
      <c r="A61" t="s">
        <v>7706</v>
      </c>
      <c r="B61">
        <v>1103</v>
      </c>
      <c r="C61" t="s">
        <v>7715</v>
      </c>
      <c r="D61" s="257" t="s">
        <v>7849</v>
      </c>
      <c r="E61" t="s">
        <v>7452</v>
      </c>
      <c r="F61" t="s">
        <v>7453</v>
      </c>
      <c r="H61" s="9" t="str">
        <f t="shared" si="0"/>
        <v/>
      </c>
    </row>
    <row r="62" spans="1:8" ht="30" x14ac:dyDescent="0.25">
      <c r="A62" t="s">
        <v>7706</v>
      </c>
      <c r="B62">
        <v>1104</v>
      </c>
      <c r="C62" t="s">
        <v>7716</v>
      </c>
      <c r="D62" s="257" t="s">
        <v>7850</v>
      </c>
      <c r="E62" t="s">
        <v>7454</v>
      </c>
      <c r="F62" t="s">
        <v>7455</v>
      </c>
      <c r="H62" s="9" t="str">
        <f t="shared" si="0"/>
        <v/>
      </c>
    </row>
    <row r="63" spans="1:8" ht="30" x14ac:dyDescent="0.25">
      <c r="A63" t="s">
        <v>7706</v>
      </c>
      <c r="B63">
        <v>1105</v>
      </c>
      <c r="C63" t="s">
        <v>7717</v>
      </c>
      <c r="D63" s="257" t="s">
        <v>7851</v>
      </c>
      <c r="E63" t="s">
        <v>7456</v>
      </c>
      <c r="F63" t="s">
        <v>7457</v>
      </c>
      <c r="H63" s="9" t="str">
        <f t="shared" si="0"/>
        <v/>
      </c>
    </row>
    <row r="64" spans="1:8" ht="30" x14ac:dyDescent="0.25">
      <c r="A64" t="s">
        <v>7706</v>
      </c>
      <c r="B64">
        <v>1106</v>
      </c>
      <c r="C64" t="s">
        <v>7718</v>
      </c>
      <c r="D64" s="257" t="s">
        <v>7852</v>
      </c>
      <c r="E64" t="s">
        <v>7458</v>
      </c>
      <c r="F64" t="s">
        <v>7459</v>
      </c>
      <c r="H64" s="9" t="str">
        <f t="shared" si="0"/>
        <v/>
      </c>
    </row>
    <row r="65" spans="1:8" ht="30" x14ac:dyDescent="0.25">
      <c r="A65" t="s">
        <v>7706</v>
      </c>
      <c r="B65">
        <v>1107</v>
      </c>
      <c r="C65" t="s">
        <v>7719</v>
      </c>
      <c r="D65" s="257" t="s">
        <v>7853</v>
      </c>
      <c r="E65" t="s">
        <v>7460</v>
      </c>
      <c r="F65" t="s">
        <v>7461</v>
      </c>
      <c r="H65" s="9" t="str">
        <f t="shared" si="0"/>
        <v/>
      </c>
    </row>
    <row r="66" spans="1:8" ht="30" x14ac:dyDescent="0.25">
      <c r="A66" t="s">
        <v>7706</v>
      </c>
      <c r="B66">
        <v>1108</v>
      </c>
      <c r="C66" t="s">
        <v>7720</v>
      </c>
      <c r="D66" s="257" t="s">
        <v>7854</v>
      </c>
      <c r="E66" t="s">
        <v>7462</v>
      </c>
      <c r="F66" t="s">
        <v>7463</v>
      </c>
      <c r="H66" s="9" t="str">
        <f t="shared" si="0"/>
        <v/>
      </c>
    </row>
    <row r="67" spans="1:8" ht="30" x14ac:dyDescent="0.25">
      <c r="A67" t="s">
        <v>7706</v>
      </c>
      <c r="B67">
        <v>1109</v>
      </c>
      <c r="C67" t="s">
        <v>7721</v>
      </c>
      <c r="D67" s="257" t="s">
        <v>7855</v>
      </c>
      <c r="E67" t="s">
        <v>7464</v>
      </c>
      <c r="F67" t="s">
        <v>7465</v>
      </c>
      <c r="H67" s="9" t="str">
        <f t="shared" si="0"/>
        <v/>
      </c>
    </row>
    <row r="68" spans="1:8" x14ac:dyDescent="0.25">
      <c r="A68" t="s">
        <v>7706</v>
      </c>
      <c r="B68">
        <v>1133001</v>
      </c>
      <c r="C68" t="s">
        <v>7722</v>
      </c>
      <c r="D68" t="s">
        <v>7856</v>
      </c>
      <c r="E68" t="s">
        <v>7466</v>
      </c>
      <c r="F68" t="s">
        <v>7467</v>
      </c>
      <c r="H68" s="9" t="str">
        <f t="shared" ref="H68:H131" si="1">IF(A68="N",H67,IF(H67="",B68,H67&amp;";"&amp;B68))</f>
        <v/>
      </c>
    </row>
    <row r="69" spans="1:8" x14ac:dyDescent="0.25">
      <c r="A69" t="s">
        <v>7706</v>
      </c>
      <c r="B69">
        <v>1133002</v>
      </c>
      <c r="C69" t="s">
        <v>7723</v>
      </c>
      <c r="D69" t="s">
        <v>7857</v>
      </c>
      <c r="E69" t="s">
        <v>7468</v>
      </c>
      <c r="F69" t="s">
        <v>7469</v>
      </c>
      <c r="H69" s="9" t="str">
        <f t="shared" si="1"/>
        <v/>
      </c>
    </row>
    <row r="70" spans="1:8" x14ac:dyDescent="0.25">
      <c r="A70" t="s">
        <v>7706</v>
      </c>
      <c r="B70">
        <v>1133003</v>
      </c>
      <c r="C70" t="s">
        <v>7724</v>
      </c>
      <c r="D70" t="s">
        <v>7858</v>
      </c>
      <c r="E70" t="s">
        <v>7470</v>
      </c>
      <c r="F70" t="s">
        <v>7471</v>
      </c>
      <c r="H70" s="9" t="str">
        <f t="shared" si="1"/>
        <v/>
      </c>
    </row>
    <row r="71" spans="1:8" x14ac:dyDescent="0.25">
      <c r="A71" t="s">
        <v>7706</v>
      </c>
      <c r="B71">
        <v>1133004</v>
      </c>
      <c r="C71" t="s">
        <v>7725</v>
      </c>
      <c r="D71" t="s">
        <v>7859</v>
      </c>
      <c r="E71" t="s">
        <v>7472</v>
      </c>
      <c r="F71" t="s">
        <v>7473</v>
      </c>
      <c r="H71" s="9" t="str">
        <f t="shared" si="1"/>
        <v/>
      </c>
    </row>
    <row r="72" spans="1:8" x14ac:dyDescent="0.25">
      <c r="A72" t="s">
        <v>7706</v>
      </c>
      <c r="B72">
        <v>1133005</v>
      </c>
      <c r="C72" t="s">
        <v>7726</v>
      </c>
      <c r="D72" t="s">
        <v>7860</v>
      </c>
      <c r="E72" t="s">
        <v>7474</v>
      </c>
      <c r="F72" t="s">
        <v>7475</v>
      </c>
      <c r="H72" s="9" t="str">
        <f t="shared" si="1"/>
        <v/>
      </c>
    </row>
    <row r="73" spans="1:8" x14ac:dyDescent="0.25">
      <c r="A73" t="s">
        <v>7706</v>
      </c>
      <c r="B73">
        <v>1133006</v>
      </c>
      <c r="C73" t="s">
        <v>7727</v>
      </c>
      <c r="D73" t="s">
        <v>7861</v>
      </c>
      <c r="E73" t="s">
        <v>7476</v>
      </c>
      <c r="F73" t="s">
        <v>7477</v>
      </c>
      <c r="H73" s="9" t="str">
        <f t="shared" si="1"/>
        <v/>
      </c>
    </row>
    <row r="74" spans="1:8" x14ac:dyDescent="0.25">
      <c r="A74" t="s">
        <v>7706</v>
      </c>
      <c r="B74">
        <v>1133007</v>
      </c>
      <c r="C74" t="s">
        <v>7728</v>
      </c>
      <c r="D74" t="s">
        <v>7862</v>
      </c>
      <c r="E74" t="s">
        <v>7478</v>
      </c>
      <c r="F74" t="s">
        <v>7479</v>
      </c>
      <c r="H74" s="9" t="str">
        <f t="shared" si="1"/>
        <v/>
      </c>
    </row>
    <row r="75" spans="1:8" x14ac:dyDescent="0.25">
      <c r="A75" t="s">
        <v>7706</v>
      </c>
      <c r="B75">
        <v>1133008</v>
      </c>
      <c r="C75" t="s">
        <v>7729</v>
      </c>
      <c r="D75" t="s">
        <v>7863</v>
      </c>
      <c r="E75" t="s">
        <v>7480</v>
      </c>
      <c r="F75" t="s">
        <v>7481</v>
      </c>
      <c r="H75" s="9" t="str">
        <f t="shared" si="1"/>
        <v/>
      </c>
    </row>
    <row r="76" spans="1:8" x14ac:dyDescent="0.25">
      <c r="A76" t="s">
        <v>7706</v>
      </c>
      <c r="B76">
        <v>1133009</v>
      </c>
      <c r="C76" t="s">
        <v>7730</v>
      </c>
      <c r="D76" t="s">
        <v>7864</v>
      </c>
      <c r="E76" t="s">
        <v>7482</v>
      </c>
      <c r="F76" t="s">
        <v>7483</v>
      </c>
      <c r="H76" s="9" t="str">
        <f t="shared" si="1"/>
        <v/>
      </c>
    </row>
    <row r="77" spans="1:8" x14ac:dyDescent="0.25">
      <c r="A77" t="s">
        <v>7706</v>
      </c>
      <c r="B77">
        <v>1133010</v>
      </c>
      <c r="C77" t="s">
        <v>7731</v>
      </c>
      <c r="D77" t="s">
        <v>7865</v>
      </c>
      <c r="E77" t="s">
        <v>7484</v>
      </c>
      <c r="F77" t="s">
        <v>7485</v>
      </c>
      <c r="H77" s="9" t="str">
        <f t="shared" si="1"/>
        <v/>
      </c>
    </row>
    <row r="78" spans="1:8" x14ac:dyDescent="0.25">
      <c r="A78" t="s">
        <v>7706</v>
      </c>
      <c r="B78">
        <v>1133011</v>
      </c>
      <c r="C78" t="s">
        <v>7732</v>
      </c>
      <c r="D78" t="s">
        <v>7866</v>
      </c>
      <c r="E78" t="s">
        <v>7486</v>
      </c>
      <c r="F78" t="s">
        <v>7487</v>
      </c>
      <c r="H78" s="9" t="str">
        <f t="shared" si="1"/>
        <v/>
      </c>
    </row>
    <row r="79" spans="1:8" x14ac:dyDescent="0.25">
      <c r="A79" t="s">
        <v>7706</v>
      </c>
      <c r="B79">
        <v>1133012</v>
      </c>
      <c r="C79" t="s">
        <v>7733</v>
      </c>
      <c r="D79" t="s">
        <v>7867</v>
      </c>
      <c r="E79" t="s">
        <v>7488</v>
      </c>
      <c r="F79" t="s">
        <v>7489</v>
      </c>
      <c r="H79" s="9" t="str">
        <f t="shared" si="1"/>
        <v/>
      </c>
    </row>
    <row r="80" spans="1:8" x14ac:dyDescent="0.25">
      <c r="A80" t="s">
        <v>7706</v>
      </c>
      <c r="B80">
        <v>1133013</v>
      </c>
      <c r="C80" t="s">
        <v>7734</v>
      </c>
      <c r="D80" t="s">
        <v>7868</v>
      </c>
      <c r="E80" t="s">
        <v>7490</v>
      </c>
      <c r="F80" t="s">
        <v>7491</v>
      </c>
      <c r="H80" s="9" t="str">
        <f t="shared" si="1"/>
        <v/>
      </c>
    </row>
    <row r="81" spans="1:8" x14ac:dyDescent="0.25">
      <c r="A81" t="s">
        <v>7706</v>
      </c>
      <c r="B81">
        <v>1133014</v>
      </c>
      <c r="C81" t="s">
        <v>7735</v>
      </c>
      <c r="D81" t="s">
        <v>7869</v>
      </c>
      <c r="E81" t="s">
        <v>7492</v>
      </c>
      <c r="F81" t="s">
        <v>7493</v>
      </c>
      <c r="H81" s="9" t="str">
        <f t="shared" si="1"/>
        <v/>
      </c>
    </row>
    <row r="82" spans="1:8" x14ac:dyDescent="0.25">
      <c r="A82" t="s">
        <v>7706</v>
      </c>
      <c r="B82">
        <v>1133015</v>
      </c>
      <c r="C82" t="s">
        <v>7736</v>
      </c>
      <c r="D82" t="s">
        <v>7870</v>
      </c>
      <c r="E82" t="s">
        <v>7494</v>
      </c>
      <c r="F82" t="s">
        <v>7495</v>
      </c>
      <c r="H82" s="9" t="str">
        <f t="shared" si="1"/>
        <v/>
      </c>
    </row>
    <row r="83" spans="1:8" x14ac:dyDescent="0.25">
      <c r="A83" t="s">
        <v>7706</v>
      </c>
      <c r="B83">
        <v>1133016</v>
      </c>
      <c r="C83" t="s">
        <v>7737</v>
      </c>
      <c r="D83" t="s">
        <v>7871</v>
      </c>
      <c r="E83" t="s">
        <v>7496</v>
      </c>
      <c r="F83" t="s">
        <v>7497</v>
      </c>
      <c r="H83" s="9" t="str">
        <f t="shared" si="1"/>
        <v/>
      </c>
    </row>
    <row r="84" spans="1:8" x14ac:dyDescent="0.25">
      <c r="A84" t="s">
        <v>7706</v>
      </c>
      <c r="B84">
        <v>1133017</v>
      </c>
      <c r="C84" t="s">
        <v>7738</v>
      </c>
      <c r="D84" t="s">
        <v>7872</v>
      </c>
      <c r="E84" t="s">
        <v>7498</v>
      </c>
      <c r="F84" t="s">
        <v>7499</v>
      </c>
      <c r="H84" s="9" t="str">
        <f t="shared" si="1"/>
        <v/>
      </c>
    </row>
    <row r="85" spans="1:8" x14ac:dyDescent="0.25">
      <c r="A85" t="s">
        <v>7706</v>
      </c>
      <c r="B85">
        <v>1133018</v>
      </c>
      <c r="C85" t="s">
        <v>7739</v>
      </c>
      <c r="D85" t="s">
        <v>7873</v>
      </c>
      <c r="E85" t="s">
        <v>7500</v>
      </c>
      <c r="F85" t="s">
        <v>7501</v>
      </c>
      <c r="H85" s="9" t="str">
        <f t="shared" si="1"/>
        <v/>
      </c>
    </row>
    <row r="86" spans="1:8" x14ac:dyDescent="0.25">
      <c r="A86" t="s">
        <v>7706</v>
      </c>
      <c r="B86">
        <v>1133019</v>
      </c>
      <c r="C86" t="s">
        <v>7740</v>
      </c>
      <c r="D86" t="s">
        <v>7874</v>
      </c>
      <c r="E86" t="s">
        <v>7502</v>
      </c>
      <c r="F86" t="s">
        <v>7503</v>
      </c>
      <c r="H86" s="9" t="str">
        <f t="shared" si="1"/>
        <v/>
      </c>
    </row>
    <row r="87" spans="1:8" x14ac:dyDescent="0.25">
      <c r="A87" t="s">
        <v>7706</v>
      </c>
      <c r="B87">
        <v>1133020</v>
      </c>
      <c r="C87" t="s">
        <v>7741</v>
      </c>
      <c r="D87" t="s">
        <v>7875</v>
      </c>
      <c r="E87" t="s">
        <v>7504</v>
      </c>
      <c r="F87" t="s">
        <v>7505</v>
      </c>
      <c r="H87" s="9" t="str">
        <f t="shared" si="1"/>
        <v/>
      </c>
    </row>
    <row r="88" spans="1:8" x14ac:dyDescent="0.25">
      <c r="A88" t="s">
        <v>7706</v>
      </c>
      <c r="B88">
        <v>1133021</v>
      </c>
      <c r="C88" t="s">
        <v>7742</v>
      </c>
      <c r="D88" t="s">
        <v>7876</v>
      </c>
      <c r="E88" t="s">
        <v>7506</v>
      </c>
      <c r="F88" t="s">
        <v>7507</v>
      </c>
      <c r="H88" s="9" t="str">
        <f t="shared" si="1"/>
        <v/>
      </c>
    </row>
    <row r="89" spans="1:8" x14ac:dyDescent="0.25">
      <c r="A89" t="s">
        <v>7706</v>
      </c>
      <c r="B89">
        <v>1133022</v>
      </c>
      <c r="C89" t="s">
        <v>7743</v>
      </c>
      <c r="D89" t="s">
        <v>7877</v>
      </c>
      <c r="E89" t="s">
        <v>7508</v>
      </c>
      <c r="F89" t="s">
        <v>7509</v>
      </c>
      <c r="H89" s="9" t="str">
        <f t="shared" si="1"/>
        <v/>
      </c>
    </row>
    <row r="90" spans="1:8" x14ac:dyDescent="0.25">
      <c r="A90" t="s">
        <v>7706</v>
      </c>
      <c r="B90">
        <v>1133023</v>
      </c>
      <c r="C90" t="s">
        <v>7744</v>
      </c>
      <c r="D90" t="s">
        <v>7878</v>
      </c>
      <c r="E90" t="s">
        <v>7510</v>
      </c>
      <c r="F90" t="s">
        <v>7511</v>
      </c>
      <c r="H90" s="9" t="str">
        <f t="shared" si="1"/>
        <v/>
      </c>
    </row>
    <row r="91" spans="1:8" x14ac:dyDescent="0.25">
      <c r="A91" t="s">
        <v>7706</v>
      </c>
      <c r="B91">
        <v>1133024</v>
      </c>
      <c r="C91" t="s">
        <v>7745</v>
      </c>
      <c r="D91" t="s">
        <v>7879</v>
      </c>
      <c r="E91" t="s">
        <v>7512</v>
      </c>
      <c r="F91" t="s">
        <v>7513</v>
      </c>
      <c r="H91" s="9" t="str">
        <f t="shared" si="1"/>
        <v/>
      </c>
    </row>
    <row r="92" spans="1:8" x14ac:dyDescent="0.25">
      <c r="A92" t="s">
        <v>7706</v>
      </c>
      <c r="B92">
        <v>1133025</v>
      </c>
      <c r="C92" t="s">
        <v>7746</v>
      </c>
      <c r="D92" t="s">
        <v>7880</v>
      </c>
      <c r="E92" t="s">
        <v>7514</v>
      </c>
      <c r="F92" t="s">
        <v>7515</v>
      </c>
      <c r="H92" s="9" t="str">
        <f t="shared" si="1"/>
        <v/>
      </c>
    </row>
    <row r="93" spans="1:8" x14ac:dyDescent="0.25">
      <c r="A93" t="s">
        <v>7706</v>
      </c>
      <c r="B93">
        <v>1133026</v>
      </c>
      <c r="C93" t="s">
        <v>7747</v>
      </c>
      <c r="D93" t="s">
        <v>7881</v>
      </c>
      <c r="E93" t="s">
        <v>7516</v>
      </c>
      <c r="F93" t="s">
        <v>7517</v>
      </c>
      <c r="H93" s="9" t="str">
        <f t="shared" si="1"/>
        <v/>
      </c>
    </row>
    <row r="94" spans="1:8" x14ac:dyDescent="0.25">
      <c r="A94" t="s">
        <v>7706</v>
      </c>
      <c r="B94">
        <v>1133027</v>
      </c>
      <c r="C94" t="s">
        <v>7748</v>
      </c>
      <c r="D94" t="s">
        <v>7882</v>
      </c>
      <c r="E94" t="s">
        <v>7518</v>
      </c>
      <c r="F94" t="s">
        <v>7519</v>
      </c>
      <c r="H94" s="9" t="str">
        <f t="shared" si="1"/>
        <v/>
      </c>
    </row>
    <row r="95" spans="1:8" x14ac:dyDescent="0.25">
      <c r="A95" t="s">
        <v>7706</v>
      </c>
      <c r="B95">
        <v>1133028</v>
      </c>
      <c r="C95" t="s">
        <v>7749</v>
      </c>
      <c r="D95" t="s">
        <v>7883</v>
      </c>
      <c r="E95" t="s">
        <v>7520</v>
      </c>
      <c r="F95" t="s">
        <v>7521</v>
      </c>
      <c r="H95" s="9" t="str">
        <f t="shared" si="1"/>
        <v/>
      </c>
    </row>
    <row r="96" spans="1:8" x14ac:dyDescent="0.25">
      <c r="A96" t="s">
        <v>7706</v>
      </c>
      <c r="B96">
        <v>1133029</v>
      </c>
      <c r="C96" t="s">
        <v>7750</v>
      </c>
      <c r="D96" t="s">
        <v>7884</v>
      </c>
      <c r="E96" t="s">
        <v>7522</v>
      </c>
      <c r="F96" t="s">
        <v>7523</v>
      </c>
      <c r="H96" s="9" t="str">
        <f t="shared" si="1"/>
        <v/>
      </c>
    </row>
    <row r="97" spans="1:8" x14ac:dyDescent="0.25">
      <c r="A97" t="s">
        <v>7706</v>
      </c>
      <c r="B97">
        <v>1133030</v>
      </c>
      <c r="C97" t="s">
        <v>7751</v>
      </c>
      <c r="D97" t="s">
        <v>7885</v>
      </c>
      <c r="E97" t="s">
        <v>7524</v>
      </c>
      <c r="F97" t="s">
        <v>7525</v>
      </c>
      <c r="H97" s="9" t="str">
        <f t="shared" si="1"/>
        <v/>
      </c>
    </row>
    <row r="98" spans="1:8" x14ac:dyDescent="0.25">
      <c r="A98" t="s">
        <v>7706</v>
      </c>
      <c r="B98">
        <v>1133031</v>
      </c>
      <c r="C98" t="s">
        <v>7752</v>
      </c>
      <c r="D98" t="s">
        <v>7886</v>
      </c>
      <c r="E98" t="s">
        <v>7526</v>
      </c>
      <c r="F98" t="s">
        <v>7527</v>
      </c>
      <c r="H98" s="9" t="str">
        <f t="shared" si="1"/>
        <v/>
      </c>
    </row>
    <row r="99" spans="1:8" x14ac:dyDescent="0.25">
      <c r="A99" t="s">
        <v>7706</v>
      </c>
      <c r="B99">
        <v>1133032</v>
      </c>
      <c r="C99" t="s">
        <v>7753</v>
      </c>
      <c r="D99" t="s">
        <v>7887</v>
      </c>
      <c r="E99" t="s">
        <v>7528</v>
      </c>
      <c r="F99" t="s">
        <v>7529</v>
      </c>
      <c r="H99" s="9" t="str">
        <f t="shared" si="1"/>
        <v/>
      </c>
    </row>
    <row r="100" spans="1:8" x14ac:dyDescent="0.25">
      <c r="A100" t="s">
        <v>7706</v>
      </c>
      <c r="B100">
        <v>1133033</v>
      </c>
      <c r="C100" t="s">
        <v>7754</v>
      </c>
      <c r="D100" t="s">
        <v>7888</v>
      </c>
      <c r="E100" t="s">
        <v>7530</v>
      </c>
      <c r="F100" t="s">
        <v>7531</v>
      </c>
      <c r="H100" s="9" t="str">
        <f t="shared" si="1"/>
        <v/>
      </c>
    </row>
    <row r="101" spans="1:8" x14ac:dyDescent="0.25">
      <c r="A101" t="s">
        <v>7706</v>
      </c>
      <c r="B101">
        <v>1133034</v>
      </c>
      <c r="C101" t="s">
        <v>7755</v>
      </c>
      <c r="D101" t="s">
        <v>7889</v>
      </c>
      <c r="E101" t="s">
        <v>7532</v>
      </c>
      <c r="F101" t="s">
        <v>7533</v>
      </c>
      <c r="H101" s="9" t="str">
        <f t="shared" si="1"/>
        <v/>
      </c>
    </row>
    <row r="102" spans="1:8" x14ac:dyDescent="0.25">
      <c r="A102" t="s">
        <v>7706</v>
      </c>
      <c r="B102">
        <v>1133035</v>
      </c>
      <c r="C102" t="s">
        <v>7756</v>
      </c>
      <c r="D102" t="s">
        <v>7890</v>
      </c>
      <c r="E102" t="s">
        <v>7534</v>
      </c>
      <c r="F102" t="s">
        <v>7535</v>
      </c>
      <c r="H102" s="9" t="str">
        <f t="shared" si="1"/>
        <v/>
      </c>
    </row>
    <row r="103" spans="1:8" x14ac:dyDescent="0.25">
      <c r="A103" t="s">
        <v>7706</v>
      </c>
      <c r="B103">
        <v>1133036</v>
      </c>
      <c r="C103" t="s">
        <v>7757</v>
      </c>
      <c r="D103" t="s">
        <v>7891</v>
      </c>
      <c r="E103" t="s">
        <v>7536</v>
      </c>
      <c r="F103" t="s">
        <v>7537</v>
      </c>
      <c r="H103" s="9" t="str">
        <f t="shared" si="1"/>
        <v/>
      </c>
    </row>
    <row r="104" spans="1:8" x14ac:dyDescent="0.25">
      <c r="A104" t="s">
        <v>7706</v>
      </c>
      <c r="B104">
        <v>1133037</v>
      </c>
      <c r="C104" t="s">
        <v>7758</v>
      </c>
      <c r="D104" t="s">
        <v>7892</v>
      </c>
      <c r="E104" t="s">
        <v>7538</v>
      </c>
      <c r="F104" t="s">
        <v>7539</v>
      </c>
      <c r="H104" s="9" t="str">
        <f t="shared" si="1"/>
        <v/>
      </c>
    </row>
    <row r="105" spans="1:8" x14ac:dyDescent="0.25">
      <c r="A105" t="s">
        <v>7706</v>
      </c>
      <c r="B105">
        <v>1133038</v>
      </c>
      <c r="C105" t="s">
        <v>7759</v>
      </c>
      <c r="D105" t="s">
        <v>7893</v>
      </c>
      <c r="E105" t="s">
        <v>7540</v>
      </c>
      <c r="F105" t="s">
        <v>7541</v>
      </c>
      <c r="H105" s="9" t="str">
        <f t="shared" si="1"/>
        <v/>
      </c>
    </row>
    <row r="106" spans="1:8" x14ac:dyDescent="0.25">
      <c r="A106" t="s">
        <v>7706</v>
      </c>
      <c r="B106">
        <v>1133039</v>
      </c>
      <c r="C106" t="s">
        <v>7760</v>
      </c>
      <c r="D106" t="s">
        <v>7894</v>
      </c>
      <c r="E106" t="s">
        <v>7542</v>
      </c>
      <c r="F106" t="s">
        <v>7543</v>
      </c>
      <c r="H106" s="9" t="str">
        <f t="shared" si="1"/>
        <v/>
      </c>
    </row>
    <row r="107" spans="1:8" x14ac:dyDescent="0.25">
      <c r="A107" t="s">
        <v>7706</v>
      </c>
      <c r="B107">
        <v>1133040</v>
      </c>
      <c r="C107" t="s">
        <v>7761</v>
      </c>
      <c r="D107" t="s">
        <v>7895</v>
      </c>
      <c r="E107" t="s">
        <v>7544</v>
      </c>
      <c r="F107" t="s">
        <v>7545</v>
      </c>
      <c r="H107" s="9" t="str">
        <f t="shared" si="1"/>
        <v/>
      </c>
    </row>
    <row r="108" spans="1:8" x14ac:dyDescent="0.25">
      <c r="A108" t="s">
        <v>7706</v>
      </c>
      <c r="B108">
        <v>1133041</v>
      </c>
      <c r="C108" t="s">
        <v>7762</v>
      </c>
      <c r="D108" t="s">
        <v>7896</v>
      </c>
      <c r="E108" t="s">
        <v>7546</v>
      </c>
      <c r="F108" t="s">
        <v>7547</v>
      </c>
      <c r="H108" s="9" t="str">
        <f t="shared" si="1"/>
        <v/>
      </c>
    </row>
    <row r="109" spans="1:8" x14ac:dyDescent="0.25">
      <c r="A109" t="s">
        <v>7706</v>
      </c>
      <c r="B109">
        <v>1133042</v>
      </c>
      <c r="C109" t="s">
        <v>7763</v>
      </c>
      <c r="D109" t="s">
        <v>7897</v>
      </c>
      <c r="E109" t="s">
        <v>7548</v>
      </c>
      <c r="F109" t="s">
        <v>7549</v>
      </c>
      <c r="H109" s="9" t="str">
        <f t="shared" si="1"/>
        <v/>
      </c>
    </row>
    <row r="110" spans="1:8" x14ac:dyDescent="0.25">
      <c r="A110" t="s">
        <v>7706</v>
      </c>
      <c r="B110">
        <v>1133043</v>
      </c>
      <c r="C110" t="s">
        <v>7764</v>
      </c>
      <c r="D110" t="s">
        <v>7898</v>
      </c>
      <c r="E110" t="s">
        <v>7550</v>
      </c>
      <c r="F110" t="s">
        <v>7551</v>
      </c>
      <c r="H110" s="9" t="str">
        <f t="shared" si="1"/>
        <v/>
      </c>
    </row>
    <row r="111" spans="1:8" x14ac:dyDescent="0.25">
      <c r="A111" t="s">
        <v>7706</v>
      </c>
      <c r="B111">
        <v>1133044</v>
      </c>
      <c r="C111" t="s">
        <v>7765</v>
      </c>
      <c r="D111" t="s">
        <v>7899</v>
      </c>
      <c r="E111" t="s">
        <v>7552</v>
      </c>
      <c r="F111" t="s">
        <v>7553</v>
      </c>
      <c r="H111" s="9" t="str">
        <f t="shared" si="1"/>
        <v/>
      </c>
    </row>
    <row r="112" spans="1:8" x14ac:dyDescent="0.25">
      <c r="A112" t="s">
        <v>7706</v>
      </c>
      <c r="B112">
        <v>1133045</v>
      </c>
      <c r="C112" t="s">
        <v>7766</v>
      </c>
      <c r="D112" t="s">
        <v>7900</v>
      </c>
      <c r="E112" t="s">
        <v>7554</v>
      </c>
      <c r="F112" t="s">
        <v>7555</v>
      </c>
      <c r="H112" s="9" t="str">
        <f t="shared" si="1"/>
        <v/>
      </c>
    </row>
    <row r="113" spans="1:8" x14ac:dyDescent="0.25">
      <c r="A113" t="s">
        <v>7706</v>
      </c>
      <c r="B113">
        <v>1133046</v>
      </c>
      <c r="C113" t="s">
        <v>7767</v>
      </c>
      <c r="D113" t="s">
        <v>7901</v>
      </c>
      <c r="E113" t="s">
        <v>7556</v>
      </c>
      <c r="F113" t="s">
        <v>7557</v>
      </c>
      <c r="H113" s="9" t="str">
        <f t="shared" si="1"/>
        <v/>
      </c>
    </row>
    <row r="114" spans="1:8" x14ac:dyDescent="0.25">
      <c r="A114" t="s">
        <v>7706</v>
      </c>
      <c r="B114">
        <v>1133047</v>
      </c>
      <c r="C114" t="s">
        <v>7768</v>
      </c>
      <c r="D114" t="s">
        <v>7902</v>
      </c>
      <c r="E114" t="s">
        <v>7558</v>
      </c>
      <c r="F114" t="s">
        <v>7559</v>
      </c>
      <c r="H114" s="9" t="str">
        <f t="shared" si="1"/>
        <v/>
      </c>
    </row>
    <row r="115" spans="1:8" x14ac:dyDescent="0.25">
      <c r="A115" t="s">
        <v>7706</v>
      </c>
      <c r="B115">
        <v>1133048</v>
      </c>
      <c r="C115" t="s">
        <v>7769</v>
      </c>
      <c r="D115" t="s">
        <v>7903</v>
      </c>
      <c r="E115" t="s">
        <v>7560</v>
      </c>
      <c r="F115" t="s">
        <v>7561</v>
      </c>
      <c r="H115" s="9" t="str">
        <f t="shared" si="1"/>
        <v/>
      </c>
    </row>
    <row r="116" spans="1:8" x14ac:dyDescent="0.25">
      <c r="A116" t="s">
        <v>7706</v>
      </c>
      <c r="B116">
        <v>1133049</v>
      </c>
      <c r="C116" t="s">
        <v>7770</v>
      </c>
      <c r="D116" t="s">
        <v>7904</v>
      </c>
      <c r="E116" t="s">
        <v>7562</v>
      </c>
      <c r="F116" t="s">
        <v>7563</v>
      </c>
      <c r="H116" s="9" t="str">
        <f t="shared" si="1"/>
        <v/>
      </c>
    </row>
    <row r="117" spans="1:8" x14ac:dyDescent="0.25">
      <c r="A117" t="s">
        <v>7706</v>
      </c>
      <c r="B117">
        <v>1133050</v>
      </c>
      <c r="C117" t="s">
        <v>7771</v>
      </c>
      <c r="D117" t="s">
        <v>7905</v>
      </c>
      <c r="E117" t="s">
        <v>7564</v>
      </c>
      <c r="F117" t="s">
        <v>7565</v>
      </c>
      <c r="H117" s="9" t="str">
        <f t="shared" si="1"/>
        <v/>
      </c>
    </row>
    <row r="118" spans="1:8" x14ac:dyDescent="0.25">
      <c r="A118" t="s">
        <v>7706</v>
      </c>
      <c r="B118">
        <v>1133051</v>
      </c>
      <c r="C118" t="s">
        <v>7772</v>
      </c>
      <c r="D118" t="s">
        <v>7906</v>
      </c>
      <c r="E118" t="s">
        <v>7566</v>
      </c>
      <c r="F118" t="s">
        <v>7567</v>
      </c>
      <c r="H118" s="9" t="str">
        <f t="shared" si="1"/>
        <v/>
      </c>
    </row>
    <row r="119" spans="1:8" x14ac:dyDescent="0.25">
      <c r="A119" t="s">
        <v>7706</v>
      </c>
      <c r="B119">
        <v>1133052</v>
      </c>
      <c r="C119" t="s">
        <v>7773</v>
      </c>
      <c r="D119" t="s">
        <v>7907</v>
      </c>
      <c r="E119" t="s">
        <v>7568</v>
      </c>
      <c r="F119" t="s">
        <v>7569</v>
      </c>
      <c r="H119" s="9" t="str">
        <f t="shared" si="1"/>
        <v/>
      </c>
    </row>
    <row r="120" spans="1:8" x14ac:dyDescent="0.25">
      <c r="A120" t="s">
        <v>7706</v>
      </c>
      <c r="B120">
        <v>1133053</v>
      </c>
      <c r="C120" t="s">
        <v>7774</v>
      </c>
      <c r="D120" t="s">
        <v>7908</v>
      </c>
      <c r="E120" t="s">
        <v>7570</v>
      </c>
      <c r="F120" t="s">
        <v>7571</v>
      </c>
      <c r="H120" s="9" t="str">
        <f t="shared" si="1"/>
        <v/>
      </c>
    </row>
    <row r="121" spans="1:8" x14ac:dyDescent="0.25">
      <c r="A121" t="s">
        <v>7706</v>
      </c>
      <c r="B121">
        <v>1133054</v>
      </c>
      <c r="C121" t="s">
        <v>7775</v>
      </c>
      <c r="D121" t="s">
        <v>7909</v>
      </c>
      <c r="E121" t="s">
        <v>7572</v>
      </c>
      <c r="F121" t="s">
        <v>7573</v>
      </c>
      <c r="H121" s="9" t="str">
        <f t="shared" si="1"/>
        <v/>
      </c>
    </row>
    <row r="122" spans="1:8" x14ac:dyDescent="0.25">
      <c r="A122" t="s">
        <v>7706</v>
      </c>
      <c r="B122">
        <v>1133055</v>
      </c>
      <c r="C122" t="s">
        <v>7776</v>
      </c>
      <c r="D122" t="s">
        <v>7910</v>
      </c>
      <c r="E122" t="s">
        <v>7574</v>
      </c>
      <c r="F122" t="s">
        <v>7575</v>
      </c>
      <c r="H122" s="9" t="str">
        <f t="shared" si="1"/>
        <v/>
      </c>
    </row>
    <row r="123" spans="1:8" x14ac:dyDescent="0.25">
      <c r="A123" t="s">
        <v>7706</v>
      </c>
      <c r="B123">
        <v>1133056</v>
      </c>
      <c r="C123" t="s">
        <v>7777</v>
      </c>
      <c r="D123" t="s">
        <v>7911</v>
      </c>
      <c r="E123" t="s">
        <v>7576</v>
      </c>
      <c r="F123" t="s">
        <v>7577</v>
      </c>
      <c r="H123" s="9" t="str">
        <f t="shared" si="1"/>
        <v/>
      </c>
    </row>
    <row r="124" spans="1:8" x14ac:dyDescent="0.25">
      <c r="A124" t="s">
        <v>7706</v>
      </c>
      <c r="B124">
        <v>1133057</v>
      </c>
      <c r="C124" t="s">
        <v>7778</v>
      </c>
      <c r="D124" t="s">
        <v>7912</v>
      </c>
      <c r="E124" t="s">
        <v>7578</v>
      </c>
      <c r="F124" t="s">
        <v>7579</v>
      </c>
      <c r="H124" s="9" t="str">
        <f t="shared" si="1"/>
        <v/>
      </c>
    </row>
    <row r="125" spans="1:8" x14ac:dyDescent="0.25">
      <c r="A125" t="s">
        <v>7706</v>
      </c>
      <c r="B125">
        <v>1133058</v>
      </c>
      <c r="C125" t="s">
        <v>7779</v>
      </c>
      <c r="D125" t="s">
        <v>7913</v>
      </c>
      <c r="E125" t="s">
        <v>7580</v>
      </c>
      <c r="F125" t="s">
        <v>7581</v>
      </c>
      <c r="H125" s="9" t="str">
        <f t="shared" si="1"/>
        <v/>
      </c>
    </row>
    <row r="126" spans="1:8" x14ac:dyDescent="0.25">
      <c r="A126" t="s">
        <v>7706</v>
      </c>
      <c r="B126">
        <v>1133059</v>
      </c>
      <c r="C126" t="s">
        <v>7780</v>
      </c>
      <c r="D126" t="s">
        <v>7914</v>
      </c>
      <c r="E126" t="s">
        <v>7582</v>
      </c>
      <c r="F126" t="s">
        <v>7583</v>
      </c>
      <c r="H126" s="9" t="str">
        <f t="shared" si="1"/>
        <v/>
      </c>
    </row>
    <row r="127" spans="1:8" x14ac:dyDescent="0.25">
      <c r="A127" t="s">
        <v>7706</v>
      </c>
      <c r="B127">
        <v>1133060</v>
      </c>
      <c r="C127" t="s">
        <v>7781</v>
      </c>
      <c r="D127" t="s">
        <v>7915</v>
      </c>
      <c r="E127" t="s">
        <v>7584</v>
      </c>
      <c r="F127" t="s">
        <v>7585</v>
      </c>
      <c r="H127" s="9" t="str">
        <f t="shared" si="1"/>
        <v/>
      </c>
    </row>
    <row r="128" spans="1:8" x14ac:dyDescent="0.25">
      <c r="A128" t="s">
        <v>7706</v>
      </c>
      <c r="B128">
        <v>1133061</v>
      </c>
      <c r="C128" t="s">
        <v>7782</v>
      </c>
      <c r="D128" t="s">
        <v>7916</v>
      </c>
      <c r="E128" t="s">
        <v>7586</v>
      </c>
      <c r="F128" t="s">
        <v>7587</v>
      </c>
      <c r="H128" s="9" t="str">
        <f t="shared" si="1"/>
        <v/>
      </c>
    </row>
    <row r="129" spans="1:8" x14ac:dyDescent="0.25">
      <c r="A129" t="s">
        <v>7706</v>
      </c>
      <c r="B129">
        <v>1133062</v>
      </c>
      <c r="C129" t="s">
        <v>7783</v>
      </c>
      <c r="D129" t="s">
        <v>7917</v>
      </c>
      <c r="E129" t="s">
        <v>7588</v>
      </c>
      <c r="F129" t="s">
        <v>7589</v>
      </c>
      <c r="H129" s="9" t="str">
        <f t="shared" si="1"/>
        <v/>
      </c>
    </row>
    <row r="130" spans="1:8" x14ac:dyDescent="0.25">
      <c r="A130" t="s">
        <v>7706</v>
      </c>
      <c r="B130">
        <v>1133063</v>
      </c>
      <c r="C130" t="s">
        <v>7784</v>
      </c>
      <c r="D130" t="s">
        <v>7918</v>
      </c>
      <c r="E130" t="s">
        <v>7590</v>
      </c>
      <c r="F130" t="s">
        <v>7591</v>
      </c>
      <c r="H130" s="9" t="str">
        <f t="shared" si="1"/>
        <v/>
      </c>
    </row>
    <row r="131" spans="1:8" x14ac:dyDescent="0.25">
      <c r="A131" t="s">
        <v>7706</v>
      </c>
      <c r="B131">
        <v>1133064</v>
      </c>
      <c r="C131" t="s">
        <v>7785</v>
      </c>
      <c r="D131" t="s">
        <v>7919</v>
      </c>
      <c r="E131" t="s">
        <v>7592</v>
      </c>
      <c r="F131" t="s">
        <v>7593</v>
      </c>
      <c r="H131" s="9" t="str">
        <f t="shared" si="1"/>
        <v/>
      </c>
    </row>
    <row r="132" spans="1:8" x14ac:dyDescent="0.25">
      <c r="A132" t="s">
        <v>7706</v>
      </c>
      <c r="B132">
        <v>1133065</v>
      </c>
      <c r="C132" t="s">
        <v>7786</v>
      </c>
      <c r="D132" t="s">
        <v>7920</v>
      </c>
      <c r="E132" t="s">
        <v>7594</v>
      </c>
      <c r="F132" t="s">
        <v>7595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7706</v>
      </c>
      <c r="B133">
        <v>1133066</v>
      </c>
      <c r="C133" t="s">
        <v>7787</v>
      </c>
      <c r="D133" t="s">
        <v>7921</v>
      </c>
      <c r="E133" t="s">
        <v>7596</v>
      </c>
      <c r="F133" t="s">
        <v>7597</v>
      </c>
      <c r="H133" s="9" t="str">
        <f t="shared" si="2"/>
        <v/>
      </c>
    </row>
    <row r="134" spans="1:8" x14ac:dyDescent="0.25">
      <c r="A134" t="s">
        <v>7706</v>
      </c>
      <c r="B134">
        <v>1133067</v>
      </c>
      <c r="C134" t="s">
        <v>7788</v>
      </c>
      <c r="D134" t="s">
        <v>7922</v>
      </c>
      <c r="E134" t="s">
        <v>7598</v>
      </c>
      <c r="F134" t="s">
        <v>7599</v>
      </c>
      <c r="H134" s="9" t="str">
        <f t="shared" si="2"/>
        <v/>
      </c>
    </row>
    <row r="135" spans="1:8" x14ac:dyDescent="0.25">
      <c r="A135" t="s">
        <v>7706</v>
      </c>
      <c r="B135">
        <v>1133068</v>
      </c>
      <c r="C135" t="s">
        <v>7789</v>
      </c>
      <c r="D135" t="s">
        <v>7923</v>
      </c>
      <c r="E135" t="s">
        <v>7600</v>
      </c>
      <c r="F135" t="s">
        <v>7601</v>
      </c>
      <c r="H135" s="9" t="str">
        <f t="shared" si="2"/>
        <v/>
      </c>
    </row>
    <row r="136" spans="1:8" x14ac:dyDescent="0.25">
      <c r="A136" t="s">
        <v>7706</v>
      </c>
      <c r="B136">
        <v>1133069</v>
      </c>
      <c r="C136" t="s">
        <v>7790</v>
      </c>
      <c r="D136" t="s">
        <v>7924</v>
      </c>
      <c r="E136" t="s">
        <v>7602</v>
      </c>
      <c r="F136" t="s">
        <v>7603</v>
      </c>
      <c r="H136" s="9" t="str">
        <f t="shared" si="2"/>
        <v/>
      </c>
    </row>
    <row r="137" spans="1:8" x14ac:dyDescent="0.25">
      <c r="A137" t="s">
        <v>7706</v>
      </c>
      <c r="B137">
        <v>1133070</v>
      </c>
      <c r="C137" t="s">
        <v>7791</v>
      </c>
      <c r="D137" t="s">
        <v>7925</v>
      </c>
      <c r="E137" t="s">
        <v>7604</v>
      </c>
      <c r="F137" t="s">
        <v>7605</v>
      </c>
      <c r="H137" s="9" t="str">
        <f t="shared" si="2"/>
        <v/>
      </c>
    </row>
    <row r="138" spans="1:8" x14ac:dyDescent="0.25">
      <c r="A138" t="s">
        <v>7706</v>
      </c>
      <c r="B138">
        <v>1133071</v>
      </c>
      <c r="C138" t="s">
        <v>7792</v>
      </c>
      <c r="D138" t="s">
        <v>7926</v>
      </c>
      <c r="E138" t="s">
        <v>7606</v>
      </c>
      <c r="F138" t="s">
        <v>7607</v>
      </c>
      <c r="H138" s="9" t="str">
        <f t="shared" si="2"/>
        <v/>
      </c>
    </row>
    <row r="139" spans="1:8" x14ac:dyDescent="0.25">
      <c r="A139" t="s">
        <v>7706</v>
      </c>
      <c r="B139">
        <v>1133072</v>
      </c>
      <c r="C139" t="s">
        <v>7793</v>
      </c>
      <c r="D139" t="s">
        <v>7927</v>
      </c>
      <c r="E139" t="s">
        <v>7608</v>
      </c>
      <c r="F139" t="s">
        <v>7609</v>
      </c>
      <c r="H139" s="9" t="str">
        <f t="shared" si="2"/>
        <v/>
      </c>
    </row>
    <row r="140" spans="1:8" x14ac:dyDescent="0.25">
      <c r="A140" t="s">
        <v>7706</v>
      </c>
      <c r="B140">
        <v>1133073</v>
      </c>
      <c r="C140" t="s">
        <v>7794</v>
      </c>
      <c r="D140" t="s">
        <v>7928</v>
      </c>
      <c r="E140" t="s">
        <v>7610</v>
      </c>
      <c r="F140" t="s">
        <v>7611</v>
      </c>
      <c r="H140" s="9" t="str">
        <f t="shared" si="2"/>
        <v/>
      </c>
    </row>
    <row r="141" spans="1:8" x14ac:dyDescent="0.25">
      <c r="A141" t="s">
        <v>7706</v>
      </c>
      <c r="B141">
        <v>1133074</v>
      </c>
      <c r="C141" t="s">
        <v>7795</v>
      </c>
      <c r="D141" t="s">
        <v>7929</v>
      </c>
      <c r="E141" t="s">
        <v>7612</v>
      </c>
      <c r="F141" t="s">
        <v>7613</v>
      </c>
      <c r="H141" s="9" t="str">
        <f t="shared" si="2"/>
        <v/>
      </c>
    </row>
    <row r="142" spans="1:8" x14ac:dyDescent="0.25">
      <c r="A142" t="s">
        <v>7706</v>
      </c>
      <c r="B142">
        <v>1133075</v>
      </c>
      <c r="C142" t="s">
        <v>7796</v>
      </c>
      <c r="D142" t="s">
        <v>7930</v>
      </c>
      <c r="E142" t="s">
        <v>7614</v>
      </c>
      <c r="F142" t="s">
        <v>7615</v>
      </c>
      <c r="H142" s="9" t="str">
        <f t="shared" si="2"/>
        <v/>
      </c>
    </row>
    <row r="143" spans="1:8" x14ac:dyDescent="0.25">
      <c r="A143" t="s">
        <v>7706</v>
      </c>
      <c r="B143">
        <v>1133076</v>
      </c>
      <c r="C143" t="s">
        <v>7797</v>
      </c>
      <c r="D143" t="s">
        <v>7931</v>
      </c>
      <c r="E143" t="s">
        <v>7616</v>
      </c>
      <c r="F143" t="s">
        <v>7617</v>
      </c>
      <c r="H143" s="9" t="str">
        <f t="shared" si="2"/>
        <v/>
      </c>
    </row>
    <row r="144" spans="1:8" x14ac:dyDescent="0.25">
      <c r="A144" t="s">
        <v>7706</v>
      </c>
      <c r="B144">
        <v>1133077</v>
      </c>
      <c r="C144" t="s">
        <v>7798</v>
      </c>
      <c r="D144" t="s">
        <v>7932</v>
      </c>
      <c r="E144" t="s">
        <v>7618</v>
      </c>
      <c r="F144" t="s">
        <v>7619</v>
      </c>
      <c r="H144" s="9" t="str">
        <f t="shared" si="2"/>
        <v/>
      </c>
    </row>
    <row r="145" spans="1:8" x14ac:dyDescent="0.25">
      <c r="A145" t="s">
        <v>7706</v>
      </c>
      <c r="B145">
        <v>1133078</v>
      </c>
      <c r="C145" t="s">
        <v>7799</v>
      </c>
      <c r="D145" t="s">
        <v>7933</v>
      </c>
      <c r="E145" t="s">
        <v>7620</v>
      </c>
      <c r="F145" t="s">
        <v>7621</v>
      </c>
      <c r="H145" s="9" t="str">
        <f t="shared" si="2"/>
        <v/>
      </c>
    </row>
    <row r="146" spans="1:8" x14ac:dyDescent="0.25">
      <c r="A146" t="s">
        <v>7706</v>
      </c>
      <c r="B146">
        <v>1133079</v>
      </c>
      <c r="C146" t="s">
        <v>7800</v>
      </c>
      <c r="D146" t="s">
        <v>7934</v>
      </c>
      <c r="E146" t="s">
        <v>7622</v>
      </c>
      <c r="F146" t="s">
        <v>7623</v>
      </c>
      <c r="H146" s="9" t="str">
        <f t="shared" si="2"/>
        <v/>
      </c>
    </row>
    <row r="147" spans="1:8" x14ac:dyDescent="0.25">
      <c r="A147" t="s">
        <v>7706</v>
      </c>
      <c r="B147">
        <v>1133080</v>
      </c>
      <c r="C147" t="s">
        <v>7801</v>
      </c>
      <c r="D147" t="s">
        <v>7935</v>
      </c>
      <c r="E147" t="s">
        <v>7624</v>
      </c>
      <c r="F147" t="s">
        <v>7625</v>
      </c>
      <c r="H147" s="9" t="str">
        <f t="shared" si="2"/>
        <v/>
      </c>
    </row>
    <row r="148" spans="1:8" x14ac:dyDescent="0.25">
      <c r="A148" t="s">
        <v>7706</v>
      </c>
      <c r="B148">
        <v>1133081</v>
      </c>
      <c r="C148" t="s">
        <v>7802</v>
      </c>
      <c r="D148" t="s">
        <v>7936</v>
      </c>
      <c r="E148" t="s">
        <v>7626</v>
      </c>
      <c r="F148" t="s">
        <v>7627</v>
      </c>
      <c r="H148" s="9" t="str">
        <f t="shared" si="2"/>
        <v/>
      </c>
    </row>
    <row r="149" spans="1:8" x14ac:dyDescent="0.25">
      <c r="A149" t="s">
        <v>7706</v>
      </c>
      <c r="B149">
        <v>1133082</v>
      </c>
      <c r="C149" t="s">
        <v>7803</v>
      </c>
      <c r="D149" t="s">
        <v>7937</v>
      </c>
      <c r="E149" t="s">
        <v>7628</v>
      </c>
      <c r="F149" t="s">
        <v>7629</v>
      </c>
      <c r="H149" s="9" t="str">
        <f t="shared" si="2"/>
        <v/>
      </c>
    </row>
    <row r="150" spans="1:8" x14ac:dyDescent="0.25">
      <c r="A150" t="s">
        <v>7706</v>
      </c>
      <c r="B150">
        <v>1133083</v>
      </c>
      <c r="C150" t="s">
        <v>7804</v>
      </c>
      <c r="D150" t="s">
        <v>7938</v>
      </c>
      <c r="E150" t="s">
        <v>7630</v>
      </c>
      <c r="F150" t="s">
        <v>7631</v>
      </c>
      <c r="H150" s="9" t="str">
        <f t="shared" si="2"/>
        <v/>
      </c>
    </row>
    <row r="151" spans="1:8" x14ac:dyDescent="0.25">
      <c r="A151" t="s">
        <v>7706</v>
      </c>
      <c r="B151">
        <v>1133084</v>
      </c>
      <c r="C151" t="s">
        <v>7805</v>
      </c>
      <c r="D151" t="s">
        <v>7939</v>
      </c>
      <c r="E151" t="s">
        <v>7632</v>
      </c>
      <c r="F151" t="s">
        <v>7633</v>
      </c>
      <c r="H151" s="9" t="str">
        <f t="shared" si="2"/>
        <v/>
      </c>
    </row>
    <row r="152" spans="1:8" x14ac:dyDescent="0.25">
      <c r="A152" t="s">
        <v>7706</v>
      </c>
      <c r="B152">
        <v>1133085</v>
      </c>
      <c r="C152" t="s">
        <v>7806</v>
      </c>
      <c r="D152" t="s">
        <v>7940</v>
      </c>
      <c r="E152" t="s">
        <v>7634</v>
      </c>
      <c r="F152" t="s">
        <v>7635</v>
      </c>
      <c r="H152" s="9" t="str">
        <f t="shared" si="2"/>
        <v/>
      </c>
    </row>
    <row r="153" spans="1:8" x14ac:dyDescent="0.25">
      <c r="A153" t="s">
        <v>7706</v>
      </c>
      <c r="B153">
        <v>12020101</v>
      </c>
      <c r="C153" t="s">
        <v>7807</v>
      </c>
      <c r="D153" t="s">
        <v>7941</v>
      </c>
      <c r="E153" t="s">
        <v>7636</v>
      </c>
      <c r="F153" t="s">
        <v>7637</v>
      </c>
      <c r="H153" s="9" t="str">
        <f t="shared" si="2"/>
        <v/>
      </c>
    </row>
    <row r="154" spans="1:8" x14ac:dyDescent="0.25">
      <c r="A154" t="s">
        <v>7706</v>
      </c>
      <c r="B154">
        <v>12020201</v>
      </c>
      <c r="C154" t="s">
        <v>7808</v>
      </c>
      <c r="D154" t="s">
        <v>7942</v>
      </c>
      <c r="E154" t="s">
        <v>7638</v>
      </c>
      <c r="F154" t="s">
        <v>7639</v>
      </c>
      <c r="H154" s="9" t="str">
        <f t="shared" si="2"/>
        <v/>
      </c>
    </row>
    <row r="155" spans="1:8" x14ac:dyDescent="0.25">
      <c r="A155" t="s">
        <v>7706</v>
      </c>
      <c r="B155">
        <v>12020301</v>
      </c>
      <c r="C155" t="s">
        <v>7809</v>
      </c>
      <c r="D155" t="s">
        <v>7943</v>
      </c>
      <c r="E155" t="s">
        <v>7640</v>
      </c>
      <c r="F155" t="s">
        <v>7641</v>
      </c>
      <c r="H155" s="9" t="str">
        <f t="shared" si="2"/>
        <v/>
      </c>
    </row>
    <row r="156" spans="1:8" x14ac:dyDescent="0.25">
      <c r="A156" t="s">
        <v>7706</v>
      </c>
      <c r="B156">
        <v>12020401</v>
      </c>
      <c r="C156" t="s">
        <v>7810</v>
      </c>
      <c r="D156" t="s">
        <v>7944</v>
      </c>
      <c r="E156" t="s">
        <v>7642</v>
      </c>
      <c r="F156" t="s">
        <v>7643</v>
      </c>
      <c r="H156" s="9" t="str">
        <f t="shared" si="2"/>
        <v/>
      </c>
    </row>
    <row r="157" spans="1:8" x14ac:dyDescent="0.25">
      <c r="A157" t="s">
        <v>7706</v>
      </c>
      <c r="B157">
        <v>12020501</v>
      </c>
      <c r="C157" t="s">
        <v>7742</v>
      </c>
      <c r="D157" t="s">
        <v>7945</v>
      </c>
      <c r="E157" t="s">
        <v>7644</v>
      </c>
      <c r="F157" t="s">
        <v>7645</v>
      </c>
      <c r="H157" s="9" t="str">
        <f t="shared" si="2"/>
        <v/>
      </c>
    </row>
    <row r="158" spans="1:8" x14ac:dyDescent="0.25">
      <c r="A158" t="s">
        <v>7706</v>
      </c>
      <c r="B158">
        <v>12020601</v>
      </c>
      <c r="C158" t="s">
        <v>7811</v>
      </c>
      <c r="D158" t="s">
        <v>7946</v>
      </c>
      <c r="E158" t="s">
        <v>7646</v>
      </c>
      <c r="F158" t="s">
        <v>7647</v>
      </c>
      <c r="H158" s="9" t="str">
        <f t="shared" si="2"/>
        <v/>
      </c>
    </row>
    <row r="159" spans="1:8" x14ac:dyDescent="0.25">
      <c r="A159" t="s">
        <v>7706</v>
      </c>
      <c r="B159">
        <v>12020701</v>
      </c>
      <c r="C159" t="s">
        <v>7812</v>
      </c>
      <c r="D159" t="s">
        <v>7947</v>
      </c>
      <c r="E159" t="s">
        <v>7648</v>
      </c>
      <c r="F159" t="s">
        <v>7649</v>
      </c>
      <c r="H159" s="9" t="str">
        <f t="shared" si="2"/>
        <v/>
      </c>
    </row>
    <row r="160" spans="1:8" x14ac:dyDescent="0.25">
      <c r="A160" t="s">
        <v>7706</v>
      </c>
      <c r="B160">
        <v>12020801</v>
      </c>
      <c r="C160" t="s">
        <v>7813</v>
      </c>
      <c r="D160" t="s">
        <v>7948</v>
      </c>
      <c r="E160" t="s">
        <v>7650</v>
      </c>
      <c r="F160" t="s">
        <v>7651</v>
      </c>
      <c r="H160" s="9" t="str">
        <f t="shared" si="2"/>
        <v/>
      </c>
    </row>
    <row r="161" spans="1:8" x14ac:dyDescent="0.25">
      <c r="A161" t="s">
        <v>7706</v>
      </c>
      <c r="B161">
        <v>12020901</v>
      </c>
      <c r="C161" t="s">
        <v>7814</v>
      </c>
      <c r="D161" t="s">
        <v>7949</v>
      </c>
      <c r="E161" t="s">
        <v>7652</v>
      </c>
      <c r="F161" t="s">
        <v>7653</v>
      </c>
      <c r="H161" s="9" t="str">
        <f t="shared" si="2"/>
        <v/>
      </c>
    </row>
    <row r="162" spans="1:8" x14ac:dyDescent="0.25">
      <c r="A162" t="s">
        <v>7706</v>
      </c>
      <c r="B162">
        <v>12021001</v>
      </c>
      <c r="C162" t="s">
        <v>7815</v>
      </c>
      <c r="D162" t="s">
        <v>7950</v>
      </c>
      <c r="E162" t="s">
        <v>7654</v>
      </c>
      <c r="F162" t="s">
        <v>7655</v>
      </c>
      <c r="H162" s="9" t="str">
        <f t="shared" si="2"/>
        <v/>
      </c>
    </row>
    <row r="163" spans="1:8" x14ac:dyDescent="0.25">
      <c r="A163" t="s">
        <v>7706</v>
      </c>
      <c r="B163">
        <v>12021101</v>
      </c>
      <c r="C163" t="s">
        <v>7816</v>
      </c>
      <c r="D163" t="s">
        <v>7951</v>
      </c>
      <c r="E163" t="s">
        <v>7656</v>
      </c>
      <c r="F163" t="s">
        <v>7657</v>
      </c>
      <c r="H163" s="9" t="str">
        <f t="shared" si="2"/>
        <v/>
      </c>
    </row>
    <row r="164" spans="1:8" x14ac:dyDescent="0.25">
      <c r="A164" t="s">
        <v>7706</v>
      </c>
      <c r="B164">
        <v>12021201</v>
      </c>
      <c r="C164" t="s">
        <v>7817</v>
      </c>
      <c r="D164" t="s">
        <v>7952</v>
      </c>
      <c r="E164" t="s">
        <v>7658</v>
      </c>
      <c r="F164" t="s">
        <v>7659</v>
      </c>
      <c r="H164" s="9" t="str">
        <f t="shared" si="2"/>
        <v/>
      </c>
    </row>
    <row r="165" spans="1:8" x14ac:dyDescent="0.25">
      <c r="A165" t="s">
        <v>7706</v>
      </c>
      <c r="B165">
        <v>12021301</v>
      </c>
      <c r="C165" t="s">
        <v>7818</v>
      </c>
      <c r="D165" t="s">
        <v>7953</v>
      </c>
      <c r="E165" t="s">
        <v>7660</v>
      </c>
      <c r="F165" t="s">
        <v>7661</v>
      </c>
      <c r="H165" s="9" t="str">
        <f t="shared" si="2"/>
        <v/>
      </c>
    </row>
    <row r="166" spans="1:8" x14ac:dyDescent="0.25">
      <c r="A166" t="s">
        <v>7706</v>
      </c>
      <c r="B166">
        <v>12021401</v>
      </c>
      <c r="C166" t="s">
        <v>7819</v>
      </c>
      <c r="D166" t="s">
        <v>7954</v>
      </c>
      <c r="E166" t="s">
        <v>7662</v>
      </c>
      <c r="F166" t="s">
        <v>7663</v>
      </c>
      <c r="H166" s="9" t="str">
        <f t="shared" si="2"/>
        <v/>
      </c>
    </row>
    <row r="167" spans="1:8" x14ac:dyDescent="0.25">
      <c r="A167" t="s">
        <v>7706</v>
      </c>
      <c r="B167">
        <v>12021501</v>
      </c>
      <c r="C167" t="s">
        <v>7820</v>
      </c>
      <c r="D167" t="s">
        <v>7955</v>
      </c>
      <c r="E167" t="s">
        <v>7664</v>
      </c>
      <c r="F167" t="s">
        <v>7665</v>
      </c>
      <c r="H167" s="9" t="str">
        <f t="shared" si="2"/>
        <v/>
      </c>
    </row>
    <row r="168" spans="1:8" x14ac:dyDescent="0.25">
      <c r="A168" t="s">
        <v>7706</v>
      </c>
      <c r="B168">
        <v>12021601</v>
      </c>
      <c r="C168" t="s">
        <v>7821</v>
      </c>
      <c r="D168" t="s">
        <v>7956</v>
      </c>
      <c r="E168" t="s">
        <v>7666</v>
      </c>
      <c r="F168" t="s">
        <v>7667</v>
      </c>
      <c r="H168" s="9" t="str">
        <f t="shared" si="2"/>
        <v/>
      </c>
    </row>
    <row r="169" spans="1:8" x14ac:dyDescent="0.25">
      <c r="A169" t="s">
        <v>7706</v>
      </c>
      <c r="B169">
        <v>12021701</v>
      </c>
      <c r="C169" t="s">
        <v>7822</v>
      </c>
      <c r="D169" t="s">
        <v>7957</v>
      </c>
      <c r="E169" t="s">
        <v>7668</v>
      </c>
      <c r="F169" t="s">
        <v>7669</v>
      </c>
      <c r="H169" s="9" t="str">
        <f t="shared" si="2"/>
        <v/>
      </c>
    </row>
    <row r="170" spans="1:8" x14ac:dyDescent="0.25">
      <c r="A170" t="s">
        <v>7706</v>
      </c>
      <c r="B170">
        <v>12021801</v>
      </c>
      <c r="C170" t="s">
        <v>7823</v>
      </c>
      <c r="D170" t="s">
        <v>7958</v>
      </c>
      <c r="E170" t="s">
        <v>7670</v>
      </c>
      <c r="F170" t="s">
        <v>7671</v>
      </c>
      <c r="H170" s="9" t="str">
        <f t="shared" si="2"/>
        <v/>
      </c>
    </row>
    <row r="171" spans="1:8" x14ac:dyDescent="0.25">
      <c r="A171" t="s">
        <v>7706</v>
      </c>
      <c r="B171">
        <v>12021901</v>
      </c>
      <c r="C171" t="s">
        <v>7824</v>
      </c>
      <c r="D171" t="s">
        <v>7959</v>
      </c>
      <c r="E171" t="s">
        <v>7672</v>
      </c>
      <c r="F171" t="s">
        <v>7673</v>
      </c>
      <c r="H171" s="9" t="str">
        <f t="shared" si="2"/>
        <v/>
      </c>
    </row>
    <row r="172" spans="1:8" x14ac:dyDescent="0.25">
      <c r="A172" t="s">
        <v>7706</v>
      </c>
      <c r="B172">
        <v>12022001</v>
      </c>
      <c r="C172" t="s">
        <v>7825</v>
      </c>
      <c r="D172" t="s">
        <v>7960</v>
      </c>
      <c r="E172" t="s">
        <v>7674</v>
      </c>
      <c r="F172" t="s">
        <v>7675</v>
      </c>
      <c r="H172" s="9" t="str">
        <f t="shared" si="2"/>
        <v/>
      </c>
    </row>
    <row r="173" spans="1:8" x14ac:dyDescent="0.25">
      <c r="A173" t="s">
        <v>7706</v>
      </c>
      <c r="B173">
        <v>12022101</v>
      </c>
      <c r="C173" t="s">
        <v>7826</v>
      </c>
      <c r="D173" t="s">
        <v>7961</v>
      </c>
      <c r="E173" t="s">
        <v>7676</v>
      </c>
      <c r="F173" t="s">
        <v>7677</v>
      </c>
      <c r="H173" s="9" t="str">
        <f t="shared" si="2"/>
        <v/>
      </c>
    </row>
    <row r="174" spans="1:8" x14ac:dyDescent="0.25">
      <c r="A174" t="s">
        <v>7706</v>
      </c>
      <c r="B174">
        <v>12022201</v>
      </c>
      <c r="C174" t="s">
        <v>7827</v>
      </c>
      <c r="D174" t="s">
        <v>7962</v>
      </c>
      <c r="E174" t="s">
        <v>7678</v>
      </c>
      <c r="F174" t="s">
        <v>7679</v>
      </c>
      <c r="H174" s="9" t="str">
        <f t="shared" si="2"/>
        <v/>
      </c>
    </row>
    <row r="175" spans="1:8" x14ac:dyDescent="0.25">
      <c r="A175" t="s">
        <v>7706</v>
      </c>
      <c r="B175">
        <v>12022301</v>
      </c>
      <c r="C175" t="s">
        <v>7828</v>
      </c>
      <c r="D175" t="s">
        <v>7963</v>
      </c>
      <c r="E175" t="s">
        <v>7680</v>
      </c>
      <c r="F175" t="s">
        <v>7681</v>
      </c>
      <c r="H175" s="9" t="str">
        <f t="shared" si="2"/>
        <v/>
      </c>
    </row>
    <row r="176" spans="1:8" x14ac:dyDescent="0.25">
      <c r="A176" t="s">
        <v>7706</v>
      </c>
      <c r="B176">
        <v>12022401</v>
      </c>
      <c r="C176" t="s">
        <v>7829</v>
      </c>
      <c r="D176" t="s">
        <v>7964</v>
      </c>
      <c r="E176" t="s">
        <v>7682</v>
      </c>
      <c r="F176" t="s">
        <v>7683</v>
      </c>
      <c r="H176" s="9" t="str">
        <f t="shared" si="2"/>
        <v/>
      </c>
    </row>
    <row r="177" spans="1:8" x14ac:dyDescent="0.25">
      <c r="A177" t="s">
        <v>7706</v>
      </c>
      <c r="B177">
        <v>12022501</v>
      </c>
      <c r="C177" t="s">
        <v>7830</v>
      </c>
      <c r="D177" t="s">
        <v>7965</v>
      </c>
      <c r="E177" t="s">
        <v>7684</v>
      </c>
      <c r="F177" t="s">
        <v>7685</v>
      </c>
      <c r="H177" s="9" t="str">
        <f t="shared" si="2"/>
        <v/>
      </c>
    </row>
    <row r="178" spans="1:8" x14ac:dyDescent="0.25">
      <c r="A178" t="s">
        <v>7706</v>
      </c>
      <c r="B178">
        <v>12022601</v>
      </c>
      <c r="C178" t="s">
        <v>7831</v>
      </c>
      <c r="D178" t="s">
        <v>7966</v>
      </c>
      <c r="E178" t="s">
        <v>7686</v>
      </c>
      <c r="F178" t="s">
        <v>7687</v>
      </c>
      <c r="H178" s="9" t="str">
        <f t="shared" si="2"/>
        <v/>
      </c>
    </row>
    <row r="179" spans="1:8" x14ac:dyDescent="0.25">
      <c r="A179" t="s">
        <v>7706</v>
      </c>
      <c r="B179">
        <v>12022701</v>
      </c>
      <c r="C179" t="s">
        <v>7832</v>
      </c>
      <c r="D179" t="s">
        <v>7967</v>
      </c>
      <c r="E179" t="s">
        <v>7688</v>
      </c>
      <c r="F179" t="s">
        <v>7689</v>
      </c>
      <c r="H179" s="9" t="str">
        <f t="shared" si="2"/>
        <v/>
      </c>
    </row>
    <row r="180" spans="1:8" x14ac:dyDescent="0.25">
      <c r="A180" t="s">
        <v>7706</v>
      </c>
      <c r="B180">
        <v>12022801</v>
      </c>
      <c r="C180" t="s">
        <v>7833</v>
      </c>
      <c r="D180" t="s">
        <v>7968</v>
      </c>
      <c r="E180" t="s">
        <v>7690</v>
      </c>
      <c r="F180" t="s">
        <v>7691</v>
      </c>
      <c r="H180" s="9" t="str">
        <f t="shared" si="2"/>
        <v/>
      </c>
    </row>
    <row r="181" spans="1:8" x14ac:dyDescent="0.25">
      <c r="A181" t="s">
        <v>7706</v>
      </c>
      <c r="B181">
        <v>12022901</v>
      </c>
      <c r="C181" t="s">
        <v>7834</v>
      </c>
      <c r="D181" t="s">
        <v>7969</v>
      </c>
      <c r="E181" t="s">
        <v>7692</v>
      </c>
      <c r="F181" t="s">
        <v>7693</v>
      </c>
      <c r="H181" s="9" t="str">
        <f t="shared" si="2"/>
        <v/>
      </c>
    </row>
    <row r="182" spans="1:8" x14ac:dyDescent="0.25">
      <c r="A182" t="s">
        <v>7706</v>
      </c>
      <c r="B182">
        <v>12023001</v>
      </c>
      <c r="C182" t="s">
        <v>7835</v>
      </c>
      <c r="D182" t="s">
        <v>7970</v>
      </c>
      <c r="E182" t="s">
        <v>7694</v>
      </c>
      <c r="F182" t="s">
        <v>7695</v>
      </c>
      <c r="H182" s="9" t="str">
        <f t="shared" si="2"/>
        <v/>
      </c>
    </row>
    <row r="183" spans="1:8" x14ac:dyDescent="0.25">
      <c r="A183" t="s">
        <v>7706</v>
      </c>
      <c r="B183">
        <v>12023101</v>
      </c>
      <c r="C183" t="s">
        <v>7836</v>
      </c>
      <c r="D183" t="s">
        <v>7836</v>
      </c>
      <c r="E183" t="s">
        <v>7696</v>
      </c>
      <c r="F183" t="s">
        <v>7696</v>
      </c>
      <c r="H183" s="9" t="str">
        <f t="shared" si="2"/>
        <v/>
      </c>
    </row>
    <row r="184" spans="1:8" x14ac:dyDescent="0.25">
      <c r="A184" t="s">
        <v>7706</v>
      </c>
      <c r="B184">
        <v>12023201</v>
      </c>
      <c r="C184" t="s">
        <v>7837</v>
      </c>
      <c r="D184" t="s">
        <v>7971</v>
      </c>
      <c r="E184" t="s">
        <v>7697</v>
      </c>
      <c r="F184" t="s">
        <v>7698</v>
      </c>
      <c r="H184" s="9" t="str">
        <f t="shared" si="2"/>
        <v/>
      </c>
    </row>
    <row r="185" spans="1:8" x14ac:dyDescent="0.25">
      <c r="A185" t="s">
        <v>7706</v>
      </c>
      <c r="B185">
        <v>12023301</v>
      </c>
      <c r="C185" t="s">
        <v>7838</v>
      </c>
      <c r="D185" t="s">
        <v>7972</v>
      </c>
      <c r="E185" t="s">
        <v>7699</v>
      </c>
      <c r="F185" t="s">
        <v>7700</v>
      </c>
      <c r="H185" s="9" t="str">
        <f t="shared" si="2"/>
        <v/>
      </c>
    </row>
    <row r="186" spans="1:8" x14ac:dyDescent="0.25">
      <c r="A186" t="s">
        <v>7706</v>
      </c>
      <c r="B186">
        <v>12023401</v>
      </c>
      <c r="C186" t="s">
        <v>7839</v>
      </c>
      <c r="D186" t="s">
        <v>7973</v>
      </c>
      <c r="E186" t="s">
        <v>7701</v>
      </c>
      <c r="F186" t="s">
        <v>7702</v>
      </c>
      <c r="H186" s="9" t="str">
        <f t="shared" si="2"/>
        <v/>
      </c>
    </row>
    <row r="187" spans="1:8" x14ac:dyDescent="0.25">
      <c r="A187" t="s">
        <v>7706</v>
      </c>
      <c r="B187">
        <v>12023501</v>
      </c>
      <c r="C187" t="s">
        <v>7840</v>
      </c>
      <c r="D187" t="s">
        <v>7974</v>
      </c>
      <c r="E187" t="s">
        <v>7703</v>
      </c>
      <c r="F187" t="s">
        <v>7704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6372</v>
      </c>
    </row>
    <row r="2" spans="1:2" x14ac:dyDescent="0.25">
      <c r="A2" s="10" t="s">
        <v>701</v>
      </c>
      <c r="B2" s="10" t="s">
        <v>6335</v>
      </c>
    </row>
    <row r="3" spans="1:2" x14ac:dyDescent="0.25">
      <c r="A3" t="s">
        <v>6864</v>
      </c>
      <c r="B3" s="225" t="s">
        <v>6863</v>
      </c>
    </row>
    <row r="4" spans="1:2" x14ac:dyDescent="0.25">
      <c r="A4" t="s">
        <v>6322</v>
      </c>
      <c r="B4" s="225" t="s">
        <v>5642</v>
      </c>
    </row>
    <row r="5" spans="1:2" x14ac:dyDescent="0.25">
      <c r="A5" t="s">
        <v>6323</v>
      </c>
      <c r="B5" s="226" t="s">
        <v>6324</v>
      </c>
    </row>
    <row r="6" spans="1:2" x14ac:dyDescent="0.25">
      <c r="A6" t="s">
        <v>6325</v>
      </c>
      <c r="B6" s="225" t="s">
        <v>6326</v>
      </c>
    </row>
    <row r="7" spans="1:2" x14ac:dyDescent="0.25">
      <c r="A7" t="s">
        <v>6327</v>
      </c>
      <c r="B7" s="225" t="s">
        <v>6328</v>
      </c>
    </row>
    <row r="8" spans="1:2" x14ac:dyDescent="0.25">
      <c r="A8" t="s">
        <v>6329</v>
      </c>
      <c r="B8" s="225" t="s">
        <v>6330</v>
      </c>
    </row>
    <row r="9" spans="1:2" x14ac:dyDescent="0.25">
      <c r="A9" t="s">
        <v>6331</v>
      </c>
      <c r="B9" s="225" t="s">
        <v>6332</v>
      </c>
    </row>
    <row r="10" spans="1:2" x14ac:dyDescent="0.25">
      <c r="A10" t="s">
        <v>6333</v>
      </c>
      <c r="B10" s="225" t="s">
        <v>6334</v>
      </c>
    </row>
    <row r="11" spans="1:2" x14ac:dyDescent="0.25">
      <c r="A11" t="s">
        <v>6862</v>
      </c>
      <c r="B11" s="225" t="s">
        <v>6861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6390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6877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6340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6374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6377</v>
      </c>
      <c r="O22" s="178" t="s">
        <v>6381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6619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6880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6878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6874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6879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6876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6875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6321</v>
      </c>
      <c r="D39" s="173">
        <v>5</v>
      </c>
      <c r="E39" s="174" t="s">
        <v>3</v>
      </c>
      <c r="F39" s="175" t="s">
        <v>6101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6340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6377</v>
      </c>
      <c r="O77" s="178" t="s">
        <v>6381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6377</v>
      </c>
      <c r="W83" s="182" t="s">
        <v>6381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6874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6377</v>
      </c>
      <c r="W98" s="182" t="s">
        <v>6381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6875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6377</v>
      </c>
      <c r="W102" s="178" t="s">
        <v>6381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6377</v>
      </c>
      <c r="W103" s="182" t="s">
        <v>6381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6878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6377</v>
      </c>
      <c r="O108" s="182" t="s">
        <v>6381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6879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6377</v>
      </c>
      <c r="O111" s="178" t="s">
        <v>6381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6400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6880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6377</v>
      </c>
      <c r="O114" s="178" t="s">
        <v>6381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6876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6388</v>
      </c>
      <c r="D124" s="173">
        <v>4</v>
      </c>
      <c r="E124" s="174" t="s">
        <v>3</v>
      </c>
      <c r="F124" s="175" t="s">
        <v>5692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6877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6377</v>
      </c>
      <c r="W137" s="178" t="s">
        <v>6381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6377</v>
      </c>
      <c r="W138" s="182" t="s">
        <v>6381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6390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6377</v>
      </c>
      <c r="O142" s="178" t="s">
        <v>6381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6377</v>
      </c>
      <c r="O147" s="178" t="s">
        <v>6381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6377</v>
      </c>
      <c r="O149" s="178" t="s">
        <v>6381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6886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5680</v>
      </c>
      <c r="C4" t="s">
        <v>5680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6865</v>
      </c>
      <c r="O4" s="180" t="s">
        <v>6866</v>
      </c>
      <c r="Q4" s="192"/>
      <c r="S4" s="161">
        <v>3</v>
      </c>
      <c r="T4" s="161"/>
      <c r="U4" s="161"/>
    </row>
    <row r="5" spans="1:21" x14ac:dyDescent="0.25">
      <c r="A5" t="s">
        <v>6889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6890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6889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6865</v>
      </c>
      <c r="O13" s="180" t="s">
        <v>6866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6865</v>
      </c>
      <c r="O22" s="180" t="s">
        <v>6866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6865</v>
      </c>
      <c r="O31" s="180" t="s">
        <v>6866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6865</v>
      </c>
      <c r="O40" s="180" t="s">
        <v>6866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6865</v>
      </c>
      <c r="O49" s="180" t="s">
        <v>6866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6865</v>
      </c>
      <c r="O58" s="180" t="s">
        <v>6866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6890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6870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  <row r="11" spans="1:33" x14ac:dyDescent="0.25">
      <c r="A11" s="1" t="str">
        <f>IF(Main!A64="","",10019)</f>
        <v/>
      </c>
      <c r="B11" s="261">
        <v>1019</v>
      </c>
      <c r="C11" s="261">
        <f>VLOOKUP(D11,'Exp Tables'!$I$3:$K$102,3,FALSE)</f>
        <v>15000000</v>
      </c>
      <c r="D11" s="261">
        <v>100</v>
      </c>
      <c r="E11" s="261">
        <v>5</v>
      </c>
      <c r="F11" s="261">
        <v>10</v>
      </c>
      <c r="G11" s="261">
        <v>100</v>
      </c>
      <c r="H11" s="261">
        <v>0</v>
      </c>
      <c r="I11" s="261">
        <v>10</v>
      </c>
      <c r="J11" s="261">
        <v>10</v>
      </c>
      <c r="K11" s="262">
        <v>0</v>
      </c>
      <c r="L11" s="262">
        <v>0</v>
      </c>
      <c r="M11" s="262">
        <v>0</v>
      </c>
      <c r="N11" s="262">
        <v>0</v>
      </c>
      <c r="O11" s="262">
        <v>0</v>
      </c>
      <c r="P11" s="262">
        <v>0</v>
      </c>
      <c r="Q11" s="262">
        <v>0</v>
      </c>
      <c r="R11" s="262">
        <v>0</v>
      </c>
      <c r="S11" s="262">
        <v>0</v>
      </c>
      <c r="T11" s="262">
        <v>0</v>
      </c>
      <c r="U11" s="26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IF(Main!A74="X",2&amp;Main!B74,"")</f>
        <v/>
      </c>
      <c r="B16" s="50">
        <v>562858</v>
      </c>
      <c r="C16" s="50">
        <f>INDEX('SF Data'!$A:$A,MATCH(Main!C74,'SF Data'!$C:$C,0))</f>
        <v>1022</v>
      </c>
      <c r="D16" s="50">
        <f>VLOOKUP(E16,'Exp Tables'!$M$3:$O$102,3,FALSE)</f>
        <v>3255500</v>
      </c>
      <c r="E16" s="50">
        <f>Main!D74</f>
        <v>100</v>
      </c>
      <c r="F16" s="50">
        <f>Main!E74</f>
        <v>5</v>
      </c>
      <c r="G16" s="50">
        <f>Main!F74</f>
        <v>4</v>
      </c>
      <c r="H16" s="50">
        <v>100</v>
      </c>
      <c r="I16" s="50">
        <v>0</v>
      </c>
      <c r="J16" s="50">
        <v>0</v>
      </c>
      <c r="K16" s="50">
        <f>Main!H74</f>
        <v>10</v>
      </c>
      <c r="L16" s="50">
        <f>Main!I74</f>
        <v>10</v>
      </c>
      <c r="M16" s="50">
        <f>Main!J74</f>
        <v>5</v>
      </c>
      <c r="N16" s="50">
        <f>IF(Main!E74&gt;=4,Main!K74,0)</f>
        <v>5</v>
      </c>
      <c r="O16" s="50">
        <f>IF(Main!L74="",0,INDEX('SF Chip Data'!$A:$A,MATCH(Main!L74,'SF Chip Data'!$B:$B,0)))</f>
        <v>0</v>
      </c>
      <c r="P16" s="50">
        <f>IF(AND(Main!E74&gt;=4,Main!M74&lt;&gt;""),INDEX('SF Chip Data'!$A:$A,MATCH(Main!M74,'SF Chip Data'!$B:$B,0)),0)</f>
        <v>0</v>
      </c>
      <c r="Q16" s="50">
        <v>0</v>
      </c>
      <c r="R16" s="50">
        <f>Main!G74*10000</f>
        <v>1000000</v>
      </c>
      <c r="S16" s="50">
        <f>IF(Main!G74&lt;=100,1000000,1500000)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IF(Main!G74&gt;100,1,0)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Data'!A:A,MATCH(Main!L69,'SF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Data'!A:A,MATCH(Main!L73,'SF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Data'!A:A,MATCH(Main!L74,'SF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Data'!A:A,MATCH(Main!M69,'SF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Data'!A:A,MATCH(Main!M72,'SF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Data'!A:A,MATCH(Main!M73,'SF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Data'!A:A,MATCH(Main!M74,'SF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IF(Main!A74="X",ROW(),"")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6472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7106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7332</v>
      </c>
      <c r="B7" s="1">
        <f>IF(DayNight="Day",83,79)</f>
        <v>79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Team'!$D$3:$D$8,--(Main!$A$69:$A$74="X"),--(Main!$N$69:$N$74=A2))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Team'!$D$3:$D$8,--(Main!$A$69:$A$74="X"),--(Main!$N$69:$N$74=A3))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Team'!$D$3:$D$8,--(Main!$A$69:$A$74="X"),--(Main!$N$69:$N$74=A4))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Team'!$D$3:$D$8,--(Main!$A$69:$A$74="X"),--(Main!$N$69:$N$74=A5))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Team'!$D$3:$D$8,--(Main!$A$69:$A$74="X"),--(Main!$N$69:$N$74=A6))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Team'!$D$3:$D$8,--(Main!$A$69:$A$74="X"),--(Main!$N$69:$N$74=A7))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Team'!$D$3:$D$8,--(Main!$A$69:$A$74="X"),--(Main!$N$69:$N$74=A8))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Team'!$D$3:$D$8,--(Main!$A$69:$A$74="X"),--(Main!$N$69:$N$74=A9))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Team'!$D$3:$D$7,--(Main!$A$69:$A$73="X"),--(Main!$N$69:$N$73=A10))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Team'!$D$3:$D$7,--(Main!$A$69:$A$73="X"),--(Main!$N$69:$N$73=A11))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Team'!$D$3:$D$7,--(Main!$A$69:$A$73="X"),--(Main!$N$69:$N$73=A12))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Team'!$D$3:$D$7,--(Main!$A$69:$A$73="X"),--(Main!$N$69:$N$73=A13))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Team'!$D$3:$D$7,--(Main!$A$69:$A$73="X"),--(Main!$N$69:$N$73=A14))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Team'!$D$3:$D$7,--(Main!$A$69:$A$73="X"),--(Main!$N$69:$N$73=A15))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Team'!$D$3:$D$7,--(Main!$A$69:$A$73="X"),--(Main!$N$69:$N$73=A16))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Team'!$D$3:$D$7,--(Main!$A$69:$A$73="X"),--(Main!$N$69:$N$73=A17))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Team'!$D$3:$D$7,--(Main!$A$69:$A$73="X"),--(Main!$N$69:$N$73=A18))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Team'!$D$3:$D$7,--(Main!$A$69:$A$73="X"),--(Main!$N$69:$N$73=A19))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Team'!$D$3:$D$7,--(Main!$A$69:$A$73="X"),--(Main!$N$69:$N$73=A20))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Team'!$D$3:$D$7,--(Main!$A$69:$A$73="X"),--(Main!$N$69:$N$73=A21))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Team'!$D$3:$D$7,--(Main!$A$69:$A$73="X"),--(Main!$N$69:$N$73=A22))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Team'!$D$3:$D$7,--(Main!$A$69:$A$73="X"),--(Main!$N$69:$N$73=A23))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Team'!$D$3:$D$7,--(Main!$A$69:$A$73="X"),--(Main!$N$69:$N$73=A24))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Team'!$D$3:$D$7,--(Main!$A$69:$A$73="X"),--(Main!$N$69:$N$73=A25))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Team'!$D$3:$D$7,--(Main!$A$69:$A$73="X"),--(Main!$N$69:$N$73=A26))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Team'!$D$3:$D$7,--(Main!$A$69:$A$73="X"),--(Main!$N$69:$N$73=A27))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Team'!$D$3:$D$7,--(Main!$A$69:$A$73="X"),--(Main!$N$69:$N$73=A28))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Team'!$D$3:$D$7,--(Main!$A$69:$A$73="X"),--(Main!$N$69:$N$73=A29))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Team'!$D$3:$D$7,--(Main!$A$69:$A$73="X"),--(Main!$N$69:$N$73=A30))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Team'!$D$3:$D$7,--(Main!$A$69:$A$73="X"),--(Main!$N$69:$N$73=A31))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6528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7332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7333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6777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1049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1049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1049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1049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Main!D73</f>
        <v>100</v>
      </c>
      <c r="K16" s="76">
        <v>3</v>
      </c>
      <c r="L16" s="76">
        <f>Main!E73</f>
        <v>5</v>
      </c>
      <c r="M16" s="76">
        <f>Main!F73</f>
        <v>4</v>
      </c>
      <c r="N16" s="76" t="s">
        <v>1049</v>
      </c>
      <c r="O16" s="75">
        <f>(INDEX('SF Data'!$M:$M,MATCH(Main!C73,'SF Data'!$C:$C,0))&amp;"0"&amp;M16)*1</f>
        <v>11304</v>
      </c>
      <c r="P16" s="76">
        <v>100</v>
      </c>
      <c r="Q16" s="76">
        <f>INDEX('SF Data'!AE:AE,MATCH(Main!C73,'SF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Data'!L:L,MATCH(Main!C73,'SF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Main!D74</f>
        <v>100</v>
      </c>
      <c r="K17" s="83">
        <v>3</v>
      </c>
      <c r="L17" s="83">
        <f>Main!E74</f>
        <v>5</v>
      </c>
      <c r="M17" s="83">
        <f>Main!F74</f>
        <v>4</v>
      </c>
      <c r="N17" s="83" t="s">
        <v>1049</v>
      </c>
      <c r="O17" s="82">
        <f>(INDEX('SF Data'!$M:$M,MATCH(Main!C74,'SF Data'!$C:$C,0))&amp;"0"&amp;M17)*1</f>
        <v>12204</v>
      </c>
      <c r="P17" s="83">
        <v>100</v>
      </c>
      <c r="Q17" s="83">
        <f>INDEX('SF Data'!AE:AE,MATCH(Main!C74,'SF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Data'!L:L,MATCH(Main!C74,'SF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6384</v>
      </c>
      <c r="T20" s="19"/>
      <c r="U20" s="11"/>
      <c r="X20" s="1"/>
      <c r="Y20" s="29"/>
    </row>
    <row r="21" spans="1:25" x14ac:dyDescent="0.25">
      <c r="A21" s="147" t="s">
        <v>6385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2"/>
  <sheetViews>
    <sheetView zoomScaleNormal="100" workbookViewId="0">
      <pane ySplit="1" topLeftCell="A2" activePane="bottomLeft" state="frozen"/>
      <selection pane="bottomLeft" activeCell="C40" sqref="C40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7105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7325</v>
      </c>
      <c r="C26" s="1">
        <v>6</v>
      </c>
      <c r="D26" t="s">
        <v>7326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1006</v>
      </c>
      <c r="B28" t="s">
        <v>664</v>
      </c>
      <c r="C28" s="1">
        <v>2</v>
      </c>
      <c r="D28" t="s">
        <v>622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26</v>
      </c>
      <c r="B29" t="s">
        <v>659</v>
      </c>
      <c r="C29" s="1">
        <v>1</v>
      </c>
      <c r="D29" t="s">
        <v>611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10</v>
      </c>
      <c r="B30" t="s">
        <v>645</v>
      </c>
      <c r="C30" s="1">
        <v>5</v>
      </c>
      <c r="D30" t="s">
        <v>593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16</v>
      </c>
      <c r="B31" t="s">
        <v>651</v>
      </c>
      <c r="C31" s="1">
        <v>1</v>
      </c>
      <c r="D31" t="s">
        <v>600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1</v>
      </c>
      <c r="K31" s="1">
        <v>0</v>
      </c>
    </row>
    <row r="32" spans="1:11" x14ac:dyDescent="0.25">
      <c r="A32" s="1">
        <v>13</v>
      </c>
      <c r="B32" t="s">
        <v>648</v>
      </c>
      <c r="C32" s="1">
        <v>6</v>
      </c>
      <c r="D32" t="s">
        <v>597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2</v>
      </c>
      <c r="K32" s="1">
        <v>0</v>
      </c>
    </row>
    <row r="33" spans="1:11" x14ac:dyDescent="0.25">
      <c r="A33" s="1">
        <v>1001</v>
      </c>
      <c r="B33" t="s">
        <v>236</v>
      </c>
      <c r="C33" s="1">
        <v>4</v>
      </c>
      <c r="D33" t="s">
        <v>615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1005</v>
      </c>
      <c r="B34" t="s">
        <v>665</v>
      </c>
      <c r="C34" s="1">
        <v>2</v>
      </c>
      <c r="D34" t="s">
        <v>621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4</v>
      </c>
      <c r="B35" t="s">
        <v>639</v>
      </c>
      <c r="C35" s="1">
        <v>3</v>
      </c>
      <c r="D35" t="s">
        <v>587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7</v>
      </c>
      <c r="B36" t="s">
        <v>642</v>
      </c>
      <c r="C36" s="1">
        <v>4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1004</v>
      </c>
      <c r="B37" t="s">
        <v>663</v>
      </c>
      <c r="C37" s="1">
        <v>6</v>
      </c>
      <c r="D37" t="s">
        <v>620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1</v>
      </c>
    </row>
    <row r="38" spans="1:11" x14ac:dyDescent="0.25">
      <c r="A38" s="1">
        <v>6</v>
      </c>
      <c r="B38" t="s">
        <v>641</v>
      </c>
      <c r="C38" s="1">
        <v>3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31</v>
      </c>
      <c r="B39" t="s">
        <v>5785</v>
      </c>
      <c r="C39" s="1">
        <v>6</v>
      </c>
      <c r="D39" t="s">
        <v>5784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2</v>
      </c>
      <c r="K39" s="1">
        <v>0</v>
      </c>
    </row>
    <row r="40" spans="1:11" x14ac:dyDescent="0.25">
      <c r="A40" s="1">
        <v>25</v>
      </c>
      <c r="B40" t="s">
        <v>658</v>
      </c>
      <c r="C40" s="1">
        <v>3</v>
      </c>
      <c r="D40" t="s">
        <v>610</v>
      </c>
      <c r="E40" s="99">
        <v>0</v>
      </c>
      <c r="F40" s="99">
        <v>100</v>
      </c>
      <c r="G40" s="99">
        <v>500</v>
      </c>
      <c r="H40" s="99">
        <v>1500</v>
      </c>
      <c r="I40" s="99">
        <v>3000</v>
      </c>
      <c r="J40" s="1">
        <v>1</v>
      </c>
      <c r="K40" s="1">
        <v>0</v>
      </c>
    </row>
    <row r="41" spans="1:11" x14ac:dyDescent="0.25">
      <c r="A41" s="1">
        <v>1</v>
      </c>
      <c r="B41" t="s">
        <v>647</v>
      </c>
      <c r="C41" s="1">
        <v>2</v>
      </c>
      <c r="D41" t="s">
        <v>584</v>
      </c>
      <c r="E41" s="99">
        <v>0</v>
      </c>
      <c r="F41" s="99">
        <v>100</v>
      </c>
      <c r="G41" s="99">
        <v>500</v>
      </c>
      <c r="H41" s="99">
        <v>1500</v>
      </c>
      <c r="I41" s="99">
        <v>3000</v>
      </c>
      <c r="J41" s="1">
        <v>1</v>
      </c>
      <c r="K41" s="1">
        <v>0</v>
      </c>
    </row>
    <row r="42" spans="1:11" x14ac:dyDescent="0.25">
      <c r="A42" s="1">
        <v>30</v>
      </c>
      <c r="B42" t="s">
        <v>1724</v>
      </c>
      <c r="C42" s="1">
        <v>6</v>
      </c>
      <c r="D42" t="s">
        <v>1725</v>
      </c>
      <c r="E42" s="99">
        <v>0</v>
      </c>
      <c r="F42" s="99">
        <v>100</v>
      </c>
      <c r="G42" s="99">
        <v>200</v>
      </c>
      <c r="H42" s="99">
        <v>350</v>
      </c>
      <c r="I42" s="99">
        <v>550</v>
      </c>
      <c r="J42" s="1">
        <v>1</v>
      </c>
      <c r="K42" s="1">
        <v>1</v>
      </c>
    </row>
  </sheetData>
  <autoFilter ref="A1:K38" xr:uid="{E8DDA3D5-6745-4184-9D68-AAC802051D8B}">
    <sortState ref="A2:K42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7"/>
  <sheetViews>
    <sheetView workbookViewId="0">
      <selection activeCell="C24" sqref="C24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6601</v>
      </c>
      <c r="B1" s="43" t="s">
        <v>942</v>
      </c>
      <c r="C1" s="43" t="s">
        <v>943</v>
      </c>
      <c r="E1" s="43" t="s">
        <v>6602</v>
      </c>
      <c r="F1" s="43" t="s">
        <v>942</v>
      </c>
      <c r="G1" s="43" t="s">
        <v>943</v>
      </c>
    </row>
    <row r="2" spans="1:7" x14ac:dyDescent="0.25">
      <c r="A2" s="9" t="s">
        <v>6615</v>
      </c>
      <c r="B2" s="1">
        <v>50008</v>
      </c>
      <c r="C2" s="1">
        <v>30011</v>
      </c>
      <c r="E2" s="9" t="s">
        <v>660</v>
      </c>
      <c r="F2" s="1">
        <v>1811</v>
      </c>
      <c r="G2" s="1">
        <v>18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6604</v>
      </c>
      <c r="F3" s="1">
        <v>440002</v>
      </c>
      <c r="G3" s="1">
        <v>4400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6618</v>
      </c>
      <c r="F4" s="1">
        <v>10086</v>
      </c>
      <c r="G4" s="1">
        <v>9</v>
      </c>
    </row>
    <row r="5" spans="1:7" x14ac:dyDescent="0.25">
      <c r="A5" s="9" t="s">
        <v>945</v>
      </c>
      <c r="B5" s="1">
        <v>1701</v>
      </c>
      <c r="C5" s="1">
        <v>17</v>
      </c>
      <c r="E5" s="9" t="s">
        <v>8061</v>
      </c>
      <c r="F5" s="1">
        <v>6360003</v>
      </c>
      <c r="G5" s="1">
        <v>6360018</v>
      </c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7327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7328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7329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7330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7331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6473</v>
      </c>
      <c r="B19" s="1">
        <v>50007</v>
      </c>
      <c r="C19" s="1">
        <v>30009</v>
      </c>
    </row>
    <row r="20" spans="1:3" x14ac:dyDescent="0.25">
      <c r="A20" s="9" t="s">
        <v>7990</v>
      </c>
      <c r="B20" s="1">
        <v>6540000</v>
      </c>
      <c r="C20" s="1">
        <v>6540001</v>
      </c>
    </row>
    <row r="21" spans="1:3" x14ac:dyDescent="0.25">
      <c r="A21" s="9" t="s">
        <v>7991</v>
      </c>
      <c r="B21" s="1">
        <v>6540003</v>
      </c>
      <c r="C21" s="1">
        <v>6540001</v>
      </c>
    </row>
    <row r="22" spans="1:3" x14ac:dyDescent="0.25">
      <c r="A22" s="9" t="s">
        <v>7992</v>
      </c>
      <c r="B22" s="1">
        <v>6540006</v>
      </c>
      <c r="C22" s="1">
        <v>6540001</v>
      </c>
    </row>
    <row r="23" spans="1:3" x14ac:dyDescent="0.25">
      <c r="A23" s="9" t="s">
        <v>7993</v>
      </c>
      <c r="B23" s="1">
        <v>6540010</v>
      </c>
      <c r="C23" s="1">
        <v>6540001</v>
      </c>
    </row>
    <row r="24" spans="1:3" x14ac:dyDescent="0.25">
      <c r="A24" s="9" t="s">
        <v>6617</v>
      </c>
      <c r="B24" s="1">
        <v>10086</v>
      </c>
      <c r="C24" s="1">
        <v>9</v>
      </c>
    </row>
    <row r="25" spans="1:3" x14ac:dyDescent="0.25">
      <c r="A25" s="9" t="s">
        <v>8060</v>
      </c>
      <c r="B25" s="1">
        <v>6360007</v>
      </c>
      <c r="C25" s="1">
        <v>6360013</v>
      </c>
    </row>
    <row r="26" spans="1:3" x14ac:dyDescent="0.25">
      <c r="A26" s="9" t="s">
        <v>648</v>
      </c>
      <c r="B26" s="1">
        <v>2300</v>
      </c>
      <c r="C26" s="1">
        <v>23</v>
      </c>
    </row>
    <row r="27" spans="1:3" x14ac:dyDescent="0.25">
      <c r="A27" s="9" t="s">
        <v>663</v>
      </c>
      <c r="B27" s="1">
        <v>1004</v>
      </c>
      <c r="C27" s="1">
        <v>1004</v>
      </c>
    </row>
  </sheetData>
  <sortState ref="E2:G5">
    <sortCondition ref="E2:E5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49"/>
  <sheetViews>
    <sheetView topLeftCell="Y1" workbookViewId="0">
      <pane ySplit="1" topLeftCell="A326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6378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6379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6380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6381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5678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5677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6387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5644</v>
      </c>
      <c r="C266" s="1" t="s">
        <v>5645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5647</v>
      </c>
      <c r="C267" s="1" t="s">
        <v>5648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5650</v>
      </c>
      <c r="C268" s="1" t="s">
        <v>5651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5652</v>
      </c>
      <c r="AJ268" s="1">
        <v>0</v>
      </c>
      <c r="AK268" s="1" t="s">
        <v>5653</v>
      </c>
      <c r="AL268" s="1" t="s">
        <v>5654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5655</v>
      </c>
      <c r="C269" s="1" t="s">
        <v>5656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5657</v>
      </c>
      <c r="AJ269" s="1">
        <v>0</v>
      </c>
      <c r="AK269" s="1" t="s">
        <v>5658</v>
      </c>
      <c r="AL269" s="1" t="s">
        <v>5659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5660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5762</v>
      </c>
      <c r="C270" s="1" t="s">
        <v>5763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5765</v>
      </c>
      <c r="C271" s="1" t="s">
        <v>5766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5730</v>
      </c>
      <c r="AH271" s="1">
        <v>3600</v>
      </c>
      <c r="AI271" s="1" t="s">
        <v>1851</v>
      </c>
      <c r="AJ271" s="1">
        <v>0</v>
      </c>
      <c r="AK271" s="1" t="s">
        <v>5761</v>
      </c>
      <c r="AL271" s="1" t="s">
        <v>5767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5768</v>
      </c>
      <c r="C272" s="1" t="s">
        <v>5769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5745</v>
      </c>
      <c r="AH272" s="1">
        <v>3600</v>
      </c>
      <c r="AI272" s="1" t="s">
        <v>5652</v>
      </c>
      <c r="AJ272" s="1">
        <v>0</v>
      </c>
      <c r="AK272" s="1" t="s">
        <v>5770</v>
      </c>
      <c r="AL272" s="1" t="s">
        <v>5771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5772</v>
      </c>
      <c r="C273" s="1" t="s">
        <v>5773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5738</v>
      </c>
      <c r="AH273" s="1">
        <v>3600</v>
      </c>
      <c r="AI273" s="1" t="s">
        <v>1851</v>
      </c>
      <c r="AJ273" s="1">
        <v>0</v>
      </c>
      <c r="AK273" s="1" t="s">
        <v>5775</v>
      </c>
      <c r="AL273" s="1" t="s">
        <v>5776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5777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5778</v>
      </c>
      <c r="C274" s="1" t="s">
        <v>5779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5754</v>
      </c>
      <c r="AH274" s="1">
        <v>3060</v>
      </c>
      <c r="AI274" s="1" t="s">
        <v>2414</v>
      </c>
      <c r="AJ274" s="1">
        <v>0</v>
      </c>
      <c r="AK274" s="1" t="s">
        <v>5780</v>
      </c>
      <c r="AL274" s="1" t="s">
        <v>5781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5782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6317</v>
      </c>
      <c r="C275" s="1" t="s">
        <v>6318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6319</v>
      </c>
      <c r="AL275" s="1" t="s">
        <v>6320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6353</v>
      </c>
      <c r="C276" s="1" t="s">
        <v>6354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6355</v>
      </c>
      <c r="AJ276" s="1">
        <v>0</v>
      </c>
      <c r="AK276" s="1" t="s">
        <v>5384</v>
      </c>
      <c r="AL276" s="1" t="s">
        <v>6356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6357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6414</v>
      </c>
      <c r="C277" s="1" t="s">
        <v>6415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6417</v>
      </c>
      <c r="C278" s="1" t="s">
        <v>6418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6420</v>
      </c>
      <c r="C279" s="1" t="s">
        <v>6421</v>
      </c>
      <c r="D279" s="1">
        <v>5</v>
      </c>
      <c r="E279" s="1">
        <v>2</v>
      </c>
      <c r="F279" s="1">
        <v>19</v>
      </c>
      <c r="G279" s="1" t="s">
        <v>6422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6423</v>
      </c>
      <c r="AJ279" s="1">
        <v>0</v>
      </c>
      <c r="AK279" s="1" t="s">
        <v>5237</v>
      </c>
      <c r="AL279" s="1" t="s">
        <v>6424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6425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6426</v>
      </c>
      <c r="C280" s="1" t="s">
        <v>6427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6428</v>
      </c>
      <c r="AL280" s="1" t="s">
        <v>6429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6430</v>
      </c>
      <c r="C281" s="1" t="s">
        <v>6431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6460</v>
      </c>
      <c r="C282" s="1" t="s">
        <v>6461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6506</v>
      </c>
      <c r="C283" s="1" t="s">
        <v>6507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6476</v>
      </c>
      <c r="AH283" s="1">
        <v>3600</v>
      </c>
      <c r="AI283" s="1" t="s">
        <v>1851</v>
      </c>
      <c r="AJ283" s="1">
        <v>0</v>
      </c>
      <c r="AK283" s="1" t="s">
        <v>6504</v>
      </c>
      <c r="AL283" s="1" t="s">
        <v>6508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6509</v>
      </c>
      <c r="C284" s="1" t="s">
        <v>6510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6484</v>
      </c>
      <c r="AH284" s="1">
        <v>3600</v>
      </c>
      <c r="AI284" s="1" t="s">
        <v>1851</v>
      </c>
      <c r="AJ284" s="1">
        <v>0</v>
      </c>
      <c r="AK284" s="1" t="s">
        <v>6503</v>
      </c>
      <c r="AL284" s="1" t="s">
        <v>6511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6512</v>
      </c>
      <c r="C285" s="1" t="s">
        <v>6513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6522</v>
      </c>
      <c r="AH285" s="1">
        <v>3600</v>
      </c>
      <c r="AI285" s="1" t="s">
        <v>6514</v>
      </c>
      <c r="AJ285" s="1">
        <v>0</v>
      </c>
      <c r="AK285" s="1" t="s">
        <v>6505</v>
      </c>
      <c r="AL285" s="1" t="s">
        <v>6515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6517</v>
      </c>
      <c r="C286" s="1" t="s">
        <v>6518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6497</v>
      </c>
      <c r="AH286" s="1">
        <v>2700</v>
      </c>
      <c r="AI286" s="1" t="s">
        <v>6519</v>
      </c>
      <c r="AJ286" s="1">
        <v>0</v>
      </c>
      <c r="AK286" s="1" t="s">
        <v>6520</v>
      </c>
      <c r="AL286" s="1" t="s">
        <v>6521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6529</v>
      </c>
      <c r="C287" s="1" t="s">
        <v>6530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6531</v>
      </c>
      <c r="AL287" s="1" t="s">
        <v>6532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6533</v>
      </c>
      <c r="AS287" s="1">
        <v>0</v>
      </c>
      <c r="AT287" s="1" t="s">
        <v>6534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6552</v>
      </c>
      <c r="C288" t="s">
        <v>6553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6554</v>
      </c>
      <c r="AL288" s="1" t="s">
        <v>6555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6556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6557</v>
      </c>
      <c r="C289" t="s">
        <v>6558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6560</v>
      </c>
      <c r="AL289" s="1" t="s">
        <v>6561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6562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6563</v>
      </c>
      <c r="C290" t="s">
        <v>6564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6565</v>
      </c>
      <c r="AL290" s="1" t="s">
        <v>6566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5660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6567</v>
      </c>
      <c r="C291" t="s">
        <v>6568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6569</v>
      </c>
      <c r="AJ291">
        <v>0</v>
      </c>
      <c r="AK291" s="1" t="s">
        <v>6570</v>
      </c>
      <c r="AL291" s="1" t="s">
        <v>6571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6626</v>
      </c>
      <c r="C292" t="s">
        <v>6627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6628</v>
      </c>
      <c r="AL292" s="1" t="s">
        <v>6629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6630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6631</v>
      </c>
      <c r="C293" t="s">
        <v>6632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6633</v>
      </c>
      <c r="AL293" s="1" t="s">
        <v>6634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6638</v>
      </c>
      <c r="C294" t="s">
        <v>6639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6640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6641</v>
      </c>
      <c r="AJ294">
        <v>0</v>
      </c>
      <c r="AK294" s="1" t="s">
        <v>6642</v>
      </c>
      <c r="AL294" s="1" t="s">
        <v>6643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6644</v>
      </c>
      <c r="AS294">
        <v>0</v>
      </c>
      <c r="AT294" t="s">
        <v>6645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6748</v>
      </c>
      <c r="C295" t="s">
        <v>6749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6771</v>
      </c>
      <c r="AH295" s="1">
        <v>3600</v>
      </c>
      <c r="AI295" t="s">
        <v>1851</v>
      </c>
      <c r="AJ295">
        <v>0</v>
      </c>
      <c r="AK295" s="1" t="s">
        <v>6750</v>
      </c>
      <c r="AL295" s="1" t="s">
        <v>6751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6752</v>
      </c>
      <c r="C296" t="s">
        <v>6753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6640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6772</v>
      </c>
      <c r="AH296" s="1">
        <v>3360</v>
      </c>
      <c r="AI296" t="s">
        <v>1851</v>
      </c>
      <c r="AJ296">
        <v>0</v>
      </c>
      <c r="AK296" s="1" t="s">
        <v>6746</v>
      </c>
      <c r="AL296" s="1" t="s">
        <v>6754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6755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6756</v>
      </c>
      <c r="C297" t="s">
        <v>6757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6773</v>
      </c>
      <c r="AH297" s="1">
        <v>3300</v>
      </c>
      <c r="AI297" t="s">
        <v>1851</v>
      </c>
      <c r="AJ297">
        <v>0</v>
      </c>
      <c r="AK297" s="1" t="s">
        <v>6747</v>
      </c>
      <c r="AL297" s="1" t="s">
        <v>6759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6760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6761</v>
      </c>
      <c r="C298" t="s">
        <v>6762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6775</v>
      </c>
      <c r="AH298" s="1">
        <v>3060</v>
      </c>
      <c r="AI298" t="s">
        <v>1851</v>
      </c>
      <c r="AJ298">
        <v>0</v>
      </c>
      <c r="AK298" s="1" t="s">
        <v>6763</v>
      </c>
      <c r="AL298" s="1" t="s">
        <v>6764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6765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6766</v>
      </c>
      <c r="C299" t="s">
        <v>6767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6768</v>
      </c>
      <c r="AJ299">
        <v>0</v>
      </c>
      <c r="AK299" s="1" t="s">
        <v>6769</v>
      </c>
      <c r="AL299" s="1" t="s">
        <v>6770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6779</v>
      </c>
      <c r="C300" t="s">
        <v>6780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6781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6782</v>
      </c>
      <c r="C301" t="s">
        <v>6783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6784</v>
      </c>
      <c r="AJ301">
        <v>0</v>
      </c>
      <c r="AK301" s="1" t="s">
        <v>6785</v>
      </c>
      <c r="AL301" s="1" t="s">
        <v>6786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6787</v>
      </c>
      <c r="C302" t="s">
        <v>6788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6789</v>
      </c>
      <c r="AL302" s="1" t="s">
        <v>6790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6791</v>
      </c>
      <c r="C303" t="s">
        <v>6792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6793</v>
      </c>
      <c r="AJ303">
        <v>0</v>
      </c>
      <c r="AK303" s="1" t="s">
        <v>6794</v>
      </c>
      <c r="AL303" s="1" t="s">
        <v>6795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6796</v>
      </c>
      <c r="AS303">
        <v>0</v>
      </c>
      <c r="AT303" t="s">
        <v>6797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6808</v>
      </c>
      <c r="C304" t="s">
        <v>6809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6810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6855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6811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6812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6813</v>
      </c>
      <c r="C305" t="s">
        <v>6814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6856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6815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6816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6817</v>
      </c>
      <c r="C306" t="s">
        <v>6818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6857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6819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6820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6821</v>
      </c>
      <c r="C307" t="s">
        <v>6822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6858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6823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6824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6825</v>
      </c>
      <c r="C308" t="s">
        <v>6826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6827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6948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6828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6829</v>
      </c>
      <c r="C309" t="s">
        <v>6830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6859</v>
      </c>
      <c r="AH309" s="1">
        <v>2580</v>
      </c>
      <c r="AI309" t="s">
        <v>6784</v>
      </c>
      <c r="AJ309">
        <v>0</v>
      </c>
      <c r="AK309" s="1" t="s">
        <v>329</v>
      </c>
      <c r="AL309" s="1" t="s">
        <v>6831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6832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6833</v>
      </c>
      <c r="C310" t="s">
        <v>6834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6860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6835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6836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6837</v>
      </c>
      <c r="C311" t="s">
        <v>6838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6949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6839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6840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6841</v>
      </c>
      <c r="C312" t="s">
        <v>6842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6950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6843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6844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6845</v>
      </c>
      <c r="C313" t="s">
        <v>6846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6951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6847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6848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6849</v>
      </c>
      <c r="C314" t="s">
        <v>6850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6851</v>
      </c>
      <c r="AL314" s="1" t="s">
        <v>6852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6853</v>
      </c>
      <c r="AS314">
        <v>0</v>
      </c>
      <c r="AT314" t="s">
        <v>6854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6881</v>
      </c>
      <c r="C315" t="s">
        <v>6882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6883</v>
      </c>
      <c r="AL315" s="1" t="s">
        <v>6884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6885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6925</v>
      </c>
      <c r="C316" t="s">
        <v>6926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6919</v>
      </c>
      <c r="AH316" s="1">
        <v>3600</v>
      </c>
      <c r="AI316" t="s">
        <v>1851</v>
      </c>
      <c r="AJ316">
        <v>0</v>
      </c>
      <c r="AK316" s="1" t="s">
        <v>6927</v>
      </c>
      <c r="AL316" s="1" t="s">
        <v>6928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6929</v>
      </c>
      <c r="C317" t="s">
        <v>6930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6931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6911</v>
      </c>
      <c r="AH317" s="1">
        <v>3600</v>
      </c>
      <c r="AI317" t="s">
        <v>1851</v>
      </c>
      <c r="AJ317">
        <v>0</v>
      </c>
      <c r="AK317" s="1" t="s">
        <v>6932</v>
      </c>
      <c r="AL317" s="1" t="s">
        <v>6933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6934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6944</v>
      </c>
      <c r="C318" t="s">
        <v>6945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6946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6947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6952</v>
      </c>
      <c r="C319" t="s">
        <v>6953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6954</v>
      </c>
      <c r="AL319" s="1" t="s">
        <v>6955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6956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6957</v>
      </c>
      <c r="C320" t="s">
        <v>6958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6959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6960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6961</v>
      </c>
      <c r="AS320">
        <v>0</v>
      </c>
      <c r="AT320" t="s">
        <v>6962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6963</v>
      </c>
      <c r="C321" t="s">
        <v>6964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6965</v>
      </c>
      <c r="AL321" s="1" t="s">
        <v>6966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6967</v>
      </c>
      <c r="C322" t="s">
        <v>6968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6969</v>
      </c>
      <c r="AJ322">
        <v>0</v>
      </c>
      <c r="AK322" s="1" t="s">
        <v>6970</v>
      </c>
      <c r="AL322" s="1" t="s">
        <v>6971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6972</v>
      </c>
      <c r="C323" t="s">
        <v>6973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6974</v>
      </c>
      <c r="AL323" s="1" t="s">
        <v>6975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6562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7070</v>
      </c>
      <c r="C324" t="s">
        <v>7071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7072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7073</v>
      </c>
      <c r="AL324" s="1" t="s">
        <v>7074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7075</v>
      </c>
      <c r="C325" t="s">
        <v>7076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7029</v>
      </c>
      <c r="AH325" s="1">
        <v>2700</v>
      </c>
      <c r="AI325" t="s">
        <v>1851</v>
      </c>
      <c r="AJ325">
        <v>0</v>
      </c>
      <c r="AK325" s="1" t="s">
        <v>7077</v>
      </c>
      <c r="AL325" s="1" t="s">
        <v>7078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7079</v>
      </c>
      <c r="C326" t="s">
        <v>7080</v>
      </c>
      <c r="D326">
        <v>5</v>
      </c>
      <c r="E326">
        <v>2</v>
      </c>
      <c r="F326">
        <v>19</v>
      </c>
      <c r="G326" s="1" t="s">
        <v>390</v>
      </c>
      <c r="H326" s="1" t="s">
        <v>7081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6988</v>
      </c>
      <c r="AH326" s="1">
        <v>3600</v>
      </c>
      <c r="AI326" t="s">
        <v>1851</v>
      </c>
      <c r="AJ326">
        <v>0</v>
      </c>
      <c r="AK326" s="1" t="s">
        <v>7082</v>
      </c>
      <c r="AL326" s="1" t="s">
        <v>7083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7084</v>
      </c>
      <c r="C327" t="s">
        <v>7085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6998</v>
      </c>
      <c r="AH327" s="1">
        <v>3600</v>
      </c>
      <c r="AI327" t="s">
        <v>1851</v>
      </c>
      <c r="AJ327">
        <v>0</v>
      </c>
      <c r="AK327" s="1" t="s">
        <v>7086</v>
      </c>
      <c r="AL327" s="1" t="s">
        <v>7087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7088</v>
      </c>
      <c r="C328" t="s">
        <v>7089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7013</v>
      </c>
      <c r="AH328" s="1">
        <v>3060</v>
      </c>
      <c r="AI328" t="s">
        <v>1851</v>
      </c>
      <c r="AJ328">
        <v>0</v>
      </c>
      <c r="AK328" s="1" t="s">
        <v>7090</v>
      </c>
      <c r="AL328" s="1" t="s">
        <v>7091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7092</v>
      </c>
      <c r="C329" t="s">
        <v>7093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7022</v>
      </c>
      <c r="AH329" s="1">
        <v>3060</v>
      </c>
      <c r="AI329" t="s">
        <v>1851</v>
      </c>
      <c r="AJ329">
        <v>0</v>
      </c>
      <c r="AK329" s="1" t="s">
        <v>7094</v>
      </c>
      <c r="AL329" s="1" t="s">
        <v>7095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7096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7097</v>
      </c>
      <c r="C330" t="s">
        <v>7098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7037</v>
      </c>
      <c r="AH330" s="1">
        <v>3060</v>
      </c>
      <c r="AI330" t="s">
        <v>1851</v>
      </c>
      <c r="AJ330">
        <v>0</v>
      </c>
      <c r="AK330" s="1" t="s">
        <v>7099</v>
      </c>
      <c r="AL330" s="1" t="s">
        <v>7100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7101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7117</v>
      </c>
      <c r="C331" t="s">
        <v>7118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7119</v>
      </c>
      <c r="AJ331">
        <v>0</v>
      </c>
      <c r="AK331" s="1" t="s">
        <v>7120</v>
      </c>
      <c r="AL331" s="1" t="s">
        <v>7121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7122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7191</v>
      </c>
      <c r="C332" t="s">
        <v>7192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7161</v>
      </c>
      <c r="AH332" s="1">
        <v>3540</v>
      </c>
      <c r="AI332" t="s">
        <v>1851</v>
      </c>
      <c r="AJ332">
        <v>0</v>
      </c>
      <c r="AK332" s="1" t="s">
        <v>7190</v>
      </c>
      <c r="AL332" s="1" t="s">
        <v>7193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6848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7194</v>
      </c>
      <c r="C333" t="s">
        <v>7195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7168</v>
      </c>
      <c r="AH333" s="1">
        <v>3120</v>
      </c>
      <c r="AI333" t="s">
        <v>1851</v>
      </c>
      <c r="AJ333">
        <v>0</v>
      </c>
      <c r="AK333" s="1" t="s">
        <v>7196</v>
      </c>
      <c r="AL333" s="1" t="s">
        <v>7197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7198</v>
      </c>
      <c r="C334" t="s">
        <v>7199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7212</v>
      </c>
      <c r="AH334" s="1">
        <v>3600</v>
      </c>
      <c r="AI334" t="s">
        <v>6514</v>
      </c>
      <c r="AJ334">
        <v>0</v>
      </c>
      <c r="AK334" s="1" t="s">
        <v>7189</v>
      </c>
      <c r="AL334" s="1" t="s">
        <v>7200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6516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7201</v>
      </c>
      <c r="C335" t="s">
        <v>7202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7203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7183</v>
      </c>
      <c r="AH335" s="1">
        <v>3060</v>
      </c>
      <c r="AI335" t="s">
        <v>1851</v>
      </c>
      <c r="AJ335">
        <v>0</v>
      </c>
      <c r="AK335" s="1" t="s">
        <v>7204</v>
      </c>
      <c r="AL335" s="1" t="s">
        <v>7205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7206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7207</v>
      </c>
      <c r="C336" t="s">
        <v>7208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7209</v>
      </c>
      <c r="AL336" s="1" t="s">
        <v>7210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7211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7300</v>
      </c>
      <c r="C337" t="s">
        <v>7301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6931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7322</v>
      </c>
      <c r="AH337" s="1">
        <v>3300</v>
      </c>
      <c r="AI337" t="s">
        <v>1851</v>
      </c>
      <c r="AJ337">
        <v>0</v>
      </c>
      <c r="AK337" s="1" t="s">
        <v>7302</v>
      </c>
      <c r="AL337" s="1" t="s">
        <v>7303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7304</v>
      </c>
      <c r="AS337">
        <v>0</v>
      </c>
      <c r="AT337" t="s">
        <v>7305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7306</v>
      </c>
      <c r="C338" t="s">
        <v>7307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6640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7323</v>
      </c>
      <c r="AH338" s="1">
        <v>3600</v>
      </c>
      <c r="AI338" t="s">
        <v>1926</v>
      </c>
      <c r="AJ338">
        <v>0</v>
      </c>
      <c r="AK338" s="1" t="s">
        <v>7308</v>
      </c>
      <c r="AL338" s="1" t="s">
        <v>7309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7310</v>
      </c>
      <c r="AS338">
        <v>0</v>
      </c>
      <c r="AT338" t="s">
        <v>7311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7312</v>
      </c>
      <c r="C339" t="s">
        <v>7313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7314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7324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7315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6961</v>
      </c>
      <c r="AS339">
        <v>0</v>
      </c>
      <c r="AT339" t="s">
        <v>7316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7317</v>
      </c>
      <c r="C340" t="s">
        <v>7318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7319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6996</v>
      </c>
      <c r="AL340" s="1" t="s">
        <v>7320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6961</v>
      </c>
      <c r="AS340">
        <v>0</v>
      </c>
      <c r="AT340" t="s">
        <v>7321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7978</v>
      </c>
      <c r="C341" t="s">
        <v>7979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8" t="s">
        <v>7989</v>
      </c>
      <c r="AH341" s="1">
        <v>3600</v>
      </c>
      <c r="AI341" t="s">
        <v>1851</v>
      </c>
      <c r="AJ341">
        <v>0</v>
      </c>
      <c r="AK341" s="1" t="s">
        <v>7980</v>
      </c>
      <c r="AL341" s="1" t="s">
        <v>7981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1477</v>
      </c>
      <c r="AS341">
        <v>0</v>
      </c>
      <c r="AT341" t="s">
        <v>7982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7983</v>
      </c>
      <c r="C342" t="s">
        <v>7984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8" t="s">
        <v>7988</v>
      </c>
      <c r="AH342" s="1">
        <v>3600</v>
      </c>
      <c r="AI342" t="s">
        <v>1851</v>
      </c>
      <c r="AJ342">
        <v>0</v>
      </c>
      <c r="AK342" s="1" t="s">
        <v>7985</v>
      </c>
      <c r="AL342" s="1" t="s">
        <v>7986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1477</v>
      </c>
      <c r="AS342">
        <v>0</v>
      </c>
      <c r="AT342" t="s">
        <v>7987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7994</v>
      </c>
      <c r="C343" t="s">
        <v>7995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8" t="s">
        <v>3221</v>
      </c>
      <c r="AH343" s="1">
        <v>3540</v>
      </c>
      <c r="AI343" t="s">
        <v>1851</v>
      </c>
      <c r="AJ343">
        <v>0</v>
      </c>
      <c r="AK343" s="1" t="s">
        <v>7996</v>
      </c>
      <c r="AL343" s="1" t="s">
        <v>7997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1573</v>
      </c>
      <c r="AS343">
        <v>0</v>
      </c>
      <c r="AT343" t="s">
        <v>1814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7998</v>
      </c>
      <c r="C344" t="s">
        <v>7999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8" t="s">
        <v>789</v>
      </c>
      <c r="AH344" s="1">
        <v>2700</v>
      </c>
      <c r="AI344" t="s">
        <v>1851</v>
      </c>
      <c r="AJ344">
        <v>0</v>
      </c>
      <c r="AK344" s="1" t="s">
        <v>5424</v>
      </c>
      <c r="AL344" s="1" t="s">
        <v>8000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1528</v>
      </c>
      <c r="AS344">
        <v>0</v>
      </c>
      <c r="AT344" t="s">
        <v>1814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8001</v>
      </c>
      <c r="C345" t="s">
        <v>8002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8" t="s">
        <v>66</v>
      </c>
      <c r="AH345" s="1">
        <v>3600</v>
      </c>
      <c r="AI345" t="s">
        <v>1851</v>
      </c>
      <c r="AJ345">
        <v>0</v>
      </c>
      <c r="AK345" s="1" t="s">
        <v>4866</v>
      </c>
      <c r="AL345" s="1" t="s">
        <v>8003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1480</v>
      </c>
      <c r="AS345">
        <v>0</v>
      </c>
      <c r="AT345" t="s">
        <v>1814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8004</v>
      </c>
      <c r="C346" t="s">
        <v>8005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4833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8" t="s">
        <v>145</v>
      </c>
      <c r="AH346" s="1">
        <v>3060</v>
      </c>
      <c r="AI346" t="s">
        <v>1851</v>
      </c>
      <c r="AJ346">
        <v>0</v>
      </c>
      <c r="AK346" s="1" t="s">
        <v>8006</v>
      </c>
      <c r="AL346" s="1" t="s">
        <v>8007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8008</v>
      </c>
      <c r="AS346">
        <v>0</v>
      </c>
      <c r="AT346" t="s">
        <v>8009</v>
      </c>
      <c r="AU346">
        <v>10</v>
      </c>
      <c r="AV346">
        <v>20058</v>
      </c>
      <c r="AW346">
        <v>0</v>
      </c>
      <c r="AX346">
        <v>0</v>
      </c>
    </row>
    <row r="347" spans="1:50" x14ac:dyDescent="0.25">
      <c r="A347">
        <v>348</v>
      </c>
      <c r="B347" t="s">
        <v>8047</v>
      </c>
      <c r="C347" t="s">
        <v>8048</v>
      </c>
      <c r="D347">
        <v>5</v>
      </c>
      <c r="E347">
        <v>2</v>
      </c>
      <c r="F347">
        <v>19</v>
      </c>
      <c r="G347" s="1" t="s">
        <v>325</v>
      </c>
      <c r="H347" s="1" t="s">
        <v>336</v>
      </c>
      <c r="I347" s="1" t="s">
        <v>329</v>
      </c>
      <c r="J347" s="1" t="s">
        <v>329</v>
      </c>
      <c r="K347" s="1" t="s">
        <v>329</v>
      </c>
      <c r="L347" s="1" t="s">
        <v>329</v>
      </c>
      <c r="M347" s="1" t="s">
        <v>329</v>
      </c>
      <c r="N347" s="1" t="s">
        <v>387</v>
      </c>
      <c r="O347" s="1" t="s">
        <v>329</v>
      </c>
      <c r="P347" s="1" t="s">
        <v>329</v>
      </c>
      <c r="Q347" s="1" t="s">
        <v>329</v>
      </c>
      <c r="R347" s="1" t="s">
        <v>329</v>
      </c>
      <c r="S347" s="1" t="s">
        <v>329</v>
      </c>
      <c r="T347" s="1" t="s">
        <v>329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4</v>
      </c>
      <c r="AD347" s="1">
        <v>4</v>
      </c>
      <c r="AE347" s="1">
        <v>0</v>
      </c>
      <c r="AF347" s="1">
        <v>2</v>
      </c>
      <c r="AG347" s="248" t="s">
        <v>8058</v>
      </c>
      <c r="AH347" s="1">
        <v>3600</v>
      </c>
      <c r="AI347" t="s">
        <v>1851</v>
      </c>
      <c r="AJ347">
        <v>0</v>
      </c>
      <c r="AK347" s="1" t="s">
        <v>8049</v>
      </c>
      <c r="AL347" s="1" t="s">
        <v>8050</v>
      </c>
      <c r="AM347" s="1">
        <v>0.48</v>
      </c>
      <c r="AN347" s="1">
        <v>0.48</v>
      </c>
      <c r="AO347" s="1">
        <v>0.08</v>
      </c>
      <c r="AP347" s="1">
        <v>0.25</v>
      </c>
      <c r="AQ347" s="1">
        <v>3</v>
      </c>
      <c r="AR347" t="s">
        <v>1535</v>
      </c>
      <c r="AS347">
        <v>0</v>
      </c>
      <c r="AT347" t="s">
        <v>8051</v>
      </c>
      <c r="AU347">
        <v>10</v>
      </c>
      <c r="AV347">
        <v>19060</v>
      </c>
      <c r="AW347">
        <v>7</v>
      </c>
      <c r="AX347">
        <v>0</v>
      </c>
    </row>
    <row r="348" spans="1:50" x14ac:dyDescent="0.25">
      <c r="A348">
        <v>349</v>
      </c>
      <c r="B348" t="s">
        <v>8052</v>
      </c>
      <c r="C348" t="s">
        <v>8053</v>
      </c>
      <c r="D348">
        <v>5</v>
      </c>
      <c r="E348">
        <v>3</v>
      </c>
      <c r="F348">
        <v>20</v>
      </c>
      <c r="G348" s="1" t="s">
        <v>471</v>
      </c>
      <c r="H348" s="1" t="s">
        <v>329</v>
      </c>
      <c r="I348" s="1" t="s">
        <v>329</v>
      </c>
      <c r="J348" s="1" t="s">
        <v>4833</v>
      </c>
      <c r="K348" s="1" t="s">
        <v>329</v>
      </c>
      <c r="L348" s="1" t="s">
        <v>329</v>
      </c>
      <c r="M348" s="1" t="s">
        <v>329</v>
      </c>
      <c r="N348" s="1" t="s">
        <v>329</v>
      </c>
      <c r="O348" s="1" t="s">
        <v>329</v>
      </c>
      <c r="P348" s="1" t="s">
        <v>329</v>
      </c>
      <c r="Q348" s="1" t="s">
        <v>329</v>
      </c>
      <c r="R348" s="1" t="s">
        <v>329</v>
      </c>
      <c r="S348" s="1" t="s">
        <v>329</v>
      </c>
      <c r="T348" s="1" t="s">
        <v>329</v>
      </c>
      <c r="U348" s="1">
        <v>0</v>
      </c>
      <c r="V348" s="1">
        <v>300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3</v>
      </c>
      <c r="AD348" s="1">
        <v>1</v>
      </c>
      <c r="AE348" s="1">
        <v>1</v>
      </c>
      <c r="AF348" s="1">
        <v>3</v>
      </c>
      <c r="AG348" s="248" t="s">
        <v>8059</v>
      </c>
      <c r="AH348" s="1">
        <v>3540</v>
      </c>
      <c r="AI348" t="s">
        <v>1851</v>
      </c>
      <c r="AJ348">
        <v>0</v>
      </c>
      <c r="AK348" s="1" t="s">
        <v>8054</v>
      </c>
      <c r="AL348" s="1" t="s">
        <v>8055</v>
      </c>
      <c r="AM348" s="1">
        <v>0.1</v>
      </c>
      <c r="AN348" s="1">
        <v>0.1</v>
      </c>
      <c r="AO348" s="1">
        <v>0.1</v>
      </c>
      <c r="AP348" s="1">
        <v>0.55000000000000004</v>
      </c>
      <c r="AQ348" s="1">
        <v>3</v>
      </c>
      <c r="AR348" t="s">
        <v>1482</v>
      </c>
      <c r="AS348">
        <v>0</v>
      </c>
      <c r="AT348" t="s">
        <v>8056</v>
      </c>
      <c r="AU348">
        <v>10</v>
      </c>
      <c r="AV348">
        <v>20059</v>
      </c>
      <c r="AW348">
        <v>8</v>
      </c>
      <c r="AX348">
        <v>0</v>
      </c>
    </row>
    <row r="349" spans="1:50" x14ac:dyDescent="0.25">
      <c r="A349">
        <v>350</v>
      </c>
      <c r="B349" t="s">
        <v>8063</v>
      </c>
      <c r="C349" t="s">
        <v>8064</v>
      </c>
      <c r="D349">
        <v>5</v>
      </c>
      <c r="E349">
        <v>3</v>
      </c>
      <c r="F349">
        <v>20</v>
      </c>
      <c r="G349" s="1" t="s">
        <v>329</v>
      </c>
      <c r="H349" s="1" t="s">
        <v>329</v>
      </c>
      <c r="I349" s="1" t="s">
        <v>5397</v>
      </c>
      <c r="J349" s="1" t="s">
        <v>333</v>
      </c>
      <c r="K349" s="1" t="s">
        <v>329</v>
      </c>
      <c r="L349" s="1" t="s">
        <v>329</v>
      </c>
      <c r="M349" s="1" t="s">
        <v>329</v>
      </c>
      <c r="N349" s="1" t="s">
        <v>329</v>
      </c>
      <c r="O349" s="1" t="s">
        <v>329</v>
      </c>
      <c r="P349" s="1" t="s">
        <v>329</v>
      </c>
      <c r="Q349" s="1" t="s">
        <v>329</v>
      </c>
      <c r="R349" s="1" t="s">
        <v>329</v>
      </c>
      <c r="S349" s="1" t="s">
        <v>329</v>
      </c>
      <c r="T349" s="1" t="s">
        <v>329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4</v>
      </c>
      <c r="AD349" s="1">
        <v>2</v>
      </c>
      <c r="AE349" s="1">
        <v>0</v>
      </c>
      <c r="AF349" s="1">
        <v>4</v>
      </c>
      <c r="AG349" s="248" t="s">
        <v>1648</v>
      </c>
      <c r="AH349" s="1">
        <v>3120</v>
      </c>
      <c r="AI349" t="s">
        <v>1851</v>
      </c>
      <c r="AJ349">
        <v>0</v>
      </c>
      <c r="AK349" s="1" t="s">
        <v>5201</v>
      </c>
      <c r="AL349" s="1" t="s">
        <v>8065</v>
      </c>
      <c r="AM349" s="1">
        <v>0.3</v>
      </c>
      <c r="AN349" s="1">
        <v>0.25</v>
      </c>
      <c r="AO349" s="1">
        <v>0.12</v>
      </c>
      <c r="AP349" s="1">
        <v>0.38</v>
      </c>
      <c r="AQ349" s="1">
        <v>3</v>
      </c>
      <c r="AR349" t="s">
        <v>1764</v>
      </c>
      <c r="AS349">
        <v>0</v>
      </c>
      <c r="AT349" t="s">
        <v>8066</v>
      </c>
      <c r="AU349">
        <v>10</v>
      </c>
      <c r="AV349">
        <v>20060</v>
      </c>
      <c r="AW349">
        <v>0</v>
      </c>
      <c r="AX349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09"/>
  <sheetViews>
    <sheetView topLeftCell="B1" workbookViewId="0">
      <pane ySplit="1" topLeftCell="A584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6776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6636</v>
      </c>
      <c r="BF1" t="s">
        <v>6637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6774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5681</v>
      </c>
      <c r="C351" s="247" t="s">
        <v>5682</v>
      </c>
      <c r="D351" s="1" t="s">
        <v>5682</v>
      </c>
      <c r="E351" s="1" t="s">
        <v>329</v>
      </c>
      <c r="F351" s="1" t="s">
        <v>329</v>
      </c>
      <c r="G351" s="1" t="s">
        <v>5683</v>
      </c>
      <c r="H351" s="1" t="s">
        <v>5684</v>
      </c>
      <c r="I351" s="1" t="s">
        <v>5685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5686</v>
      </c>
      <c r="AK351" s="1" t="s">
        <v>5687</v>
      </c>
      <c r="AL351" s="1">
        <v>13</v>
      </c>
      <c r="AM351" s="1" t="s">
        <v>1814</v>
      </c>
      <c r="AN351" s="1" t="s">
        <v>5688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5689</v>
      </c>
      <c r="AX351" s="1" t="s">
        <v>5690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5691</v>
      </c>
      <c r="C352" s="247" t="s">
        <v>5692</v>
      </c>
      <c r="D352" s="1" t="s">
        <v>5692</v>
      </c>
      <c r="E352" s="1" t="s">
        <v>329</v>
      </c>
      <c r="F352" s="1" t="s">
        <v>329</v>
      </c>
      <c r="G352" s="1" t="s">
        <v>5693</v>
      </c>
      <c r="H352" s="1" t="s">
        <v>5694</v>
      </c>
      <c r="I352" s="1" t="s">
        <v>5695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5696</v>
      </c>
      <c r="AL352" s="1">
        <v>13</v>
      </c>
      <c r="AM352" s="1" t="s">
        <v>1814</v>
      </c>
      <c r="AN352" s="1" t="s">
        <v>5697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5698</v>
      </c>
      <c r="C353" s="247" t="s">
        <v>5699</v>
      </c>
      <c r="D353" s="1" t="s">
        <v>5699</v>
      </c>
      <c r="E353" s="1" t="s">
        <v>329</v>
      </c>
      <c r="F353" s="1" t="s">
        <v>329</v>
      </c>
      <c r="G353" s="1" t="s">
        <v>5700</v>
      </c>
      <c r="H353" s="1" t="s">
        <v>5701</v>
      </c>
      <c r="I353" s="1" t="s">
        <v>5702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5703</v>
      </c>
      <c r="AK353" s="1" t="s">
        <v>5704</v>
      </c>
      <c r="AL353" s="1">
        <v>13</v>
      </c>
      <c r="AM353" s="1" t="s">
        <v>399</v>
      </c>
      <c r="AN353" s="1" t="s">
        <v>5705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5706</v>
      </c>
      <c r="C354" s="247" t="s">
        <v>5707</v>
      </c>
      <c r="D354" s="1" t="s">
        <v>5707</v>
      </c>
      <c r="E354" s="1" t="s">
        <v>329</v>
      </c>
      <c r="F354" s="1" t="s">
        <v>329</v>
      </c>
      <c r="G354" s="1" t="s">
        <v>5708</v>
      </c>
      <c r="H354" s="1" t="s">
        <v>5709</v>
      </c>
      <c r="I354" s="1" t="s">
        <v>5710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5711</v>
      </c>
      <c r="AK354" s="1" t="s">
        <v>5712</v>
      </c>
      <c r="AL354" s="1">
        <v>13</v>
      </c>
      <c r="AM354" s="1" t="s">
        <v>4770</v>
      </c>
      <c r="AN354" s="1" t="s">
        <v>5713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5689</v>
      </c>
      <c r="AX354" s="1" t="s">
        <v>5714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5715</v>
      </c>
      <c r="C355" s="247" t="s">
        <v>5716</v>
      </c>
      <c r="D355" s="1" t="s">
        <v>5716</v>
      </c>
      <c r="E355" s="1" t="s">
        <v>329</v>
      </c>
      <c r="F355" s="1" t="s">
        <v>329</v>
      </c>
      <c r="G355" s="1" t="s">
        <v>5717</v>
      </c>
      <c r="H355" s="1" t="s">
        <v>5718</v>
      </c>
      <c r="I355" s="1" t="s">
        <v>5719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5720</v>
      </c>
      <c r="AL355" s="1">
        <v>13</v>
      </c>
      <c r="AM355" s="1" t="s">
        <v>4727</v>
      </c>
      <c r="AN355" s="1" t="s">
        <v>4872</v>
      </c>
      <c r="AO355" s="1" t="s">
        <v>5721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5689</v>
      </c>
      <c r="AX355" s="1" t="s">
        <v>5714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5722</v>
      </c>
      <c r="C356" s="247" t="s">
        <v>5723</v>
      </c>
      <c r="D356" s="1" t="s">
        <v>5723</v>
      </c>
      <c r="E356" s="1" t="s">
        <v>329</v>
      </c>
      <c r="F356" s="1" t="s">
        <v>329</v>
      </c>
      <c r="G356" s="1" t="s">
        <v>5724</v>
      </c>
      <c r="H356" s="1" t="s">
        <v>5725</v>
      </c>
      <c r="I356" s="1" t="s">
        <v>5726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5727</v>
      </c>
      <c r="AK356" s="1" t="s">
        <v>5728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6391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6392</v>
      </c>
      <c r="H357" s="1" t="s">
        <v>6393</v>
      </c>
      <c r="I357" s="1" t="s">
        <v>6394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6395</v>
      </c>
      <c r="AK357" s="1" t="s">
        <v>6396</v>
      </c>
      <c r="AL357" s="1">
        <v>13</v>
      </c>
      <c r="AM357" s="1" t="s">
        <v>399</v>
      </c>
      <c r="AN357" s="1" t="s">
        <v>6397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6399</v>
      </c>
      <c r="C358" s="247" t="s">
        <v>6400</v>
      </c>
      <c r="D358" s="1" t="s">
        <v>6400</v>
      </c>
      <c r="E358" s="1" t="s">
        <v>329</v>
      </c>
      <c r="F358" s="1" t="s">
        <v>329</v>
      </c>
      <c r="G358" s="1" t="s">
        <v>6401</v>
      </c>
      <c r="H358" s="1" t="s">
        <v>6402</v>
      </c>
      <c r="I358" s="1" t="s">
        <v>6403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6404</v>
      </c>
      <c r="AK358" s="1" t="s">
        <v>6405</v>
      </c>
      <c r="AL358" s="1">
        <v>8</v>
      </c>
      <c r="AM358" s="1" t="s">
        <v>399</v>
      </c>
      <c r="AN358" s="1" t="s">
        <v>6406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6407</v>
      </c>
      <c r="C359" s="247" t="s">
        <v>6408</v>
      </c>
      <c r="D359" s="1" t="s">
        <v>6408</v>
      </c>
      <c r="E359" s="1" t="s">
        <v>329</v>
      </c>
      <c r="F359" s="1" t="s">
        <v>329</v>
      </c>
      <c r="G359" s="1" t="s">
        <v>6409</v>
      </c>
      <c r="H359" s="1" t="s">
        <v>6410</v>
      </c>
      <c r="I359" s="1" t="s">
        <v>6411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6412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6574</v>
      </c>
      <c r="C360" s="248" t="s">
        <v>6575</v>
      </c>
      <c r="D360" t="s">
        <v>6575</v>
      </c>
      <c r="E360" t="s">
        <v>329</v>
      </c>
      <c r="F360" t="s">
        <v>329</v>
      </c>
      <c r="G360" t="s">
        <v>6576</v>
      </c>
      <c r="H360" t="s">
        <v>6577</v>
      </c>
      <c r="I360" t="s">
        <v>6578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6579</v>
      </c>
      <c r="AK360" t="s">
        <v>6580</v>
      </c>
      <c r="AL360">
        <v>8</v>
      </c>
      <c r="AM360" t="s">
        <v>388</v>
      </c>
      <c r="AN360" t="s">
        <v>6581</v>
      </c>
      <c r="AO360" t="s">
        <v>6582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6583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6584</v>
      </c>
      <c r="C361" s="248" t="s">
        <v>6585</v>
      </c>
      <c r="D361" t="s">
        <v>6585</v>
      </c>
      <c r="E361" t="s">
        <v>329</v>
      </c>
      <c r="F361" t="s">
        <v>329</v>
      </c>
      <c r="G361" t="s">
        <v>6586</v>
      </c>
      <c r="H361" t="s">
        <v>6587</v>
      </c>
      <c r="I361" t="s">
        <v>6588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6589</v>
      </c>
      <c r="AK361" t="s">
        <v>6590</v>
      </c>
      <c r="AL361">
        <v>9</v>
      </c>
      <c r="AM361" t="s">
        <v>4724</v>
      </c>
      <c r="AN361" t="s">
        <v>6591</v>
      </c>
      <c r="AO361" t="s">
        <v>6592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6583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6593</v>
      </c>
      <c r="C362" s="248" t="s">
        <v>6594</v>
      </c>
      <c r="D362" t="s">
        <v>6594</v>
      </c>
      <c r="E362" t="s">
        <v>329</v>
      </c>
      <c r="F362" t="s">
        <v>329</v>
      </c>
      <c r="G362" t="s">
        <v>6595</v>
      </c>
      <c r="H362" t="s">
        <v>6596</v>
      </c>
      <c r="I362" t="s">
        <v>6597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6598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6583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5792</v>
      </c>
      <c r="C391" s="247" t="s">
        <v>5793</v>
      </c>
      <c r="D391" s="1" t="s">
        <v>5794</v>
      </c>
      <c r="E391" s="1"/>
      <c r="F391" s="1"/>
      <c r="G391" s="1" t="s">
        <v>5795</v>
      </c>
      <c r="H391" s="1" t="s">
        <v>5796</v>
      </c>
      <c r="I391" s="1" t="s">
        <v>5797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5798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5799</v>
      </c>
      <c r="AS391" s="1" t="s">
        <v>5800</v>
      </c>
      <c r="AT391" s="1" t="s">
        <v>329</v>
      </c>
      <c r="AU391" s="1">
        <v>10</v>
      </c>
      <c r="AV391" s="1">
        <v>1</v>
      </c>
      <c r="AW391" s="1" t="s">
        <v>5801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5802</v>
      </c>
      <c r="C392" s="247" t="s">
        <v>5803</v>
      </c>
      <c r="D392" s="1" t="s">
        <v>5804</v>
      </c>
      <c r="E392" s="1"/>
      <c r="F392" s="1"/>
      <c r="G392" s="1" t="s">
        <v>5805</v>
      </c>
      <c r="H392" s="1" t="s">
        <v>5806</v>
      </c>
      <c r="I392" s="1" t="s">
        <v>5807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5798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5799</v>
      </c>
      <c r="AS392" s="1" t="s">
        <v>5800</v>
      </c>
      <c r="AT392" s="1" t="s">
        <v>329</v>
      </c>
      <c r="AU392" s="1">
        <v>10</v>
      </c>
      <c r="AV392" s="1">
        <v>1</v>
      </c>
      <c r="AW392" s="1" t="s">
        <v>5801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5808</v>
      </c>
      <c r="C393" s="247" t="s">
        <v>5809</v>
      </c>
      <c r="D393" s="1" t="s">
        <v>5810</v>
      </c>
      <c r="E393" s="1"/>
      <c r="F393" s="1"/>
      <c r="G393" s="1" t="s">
        <v>5811</v>
      </c>
      <c r="H393" s="1" t="s">
        <v>5812</v>
      </c>
      <c r="I393" s="1" t="s">
        <v>5813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5799</v>
      </c>
      <c r="AS393" s="1" t="s">
        <v>5800</v>
      </c>
      <c r="AT393" s="1" t="s">
        <v>329</v>
      </c>
      <c r="AU393" s="1">
        <v>10</v>
      </c>
      <c r="AV393" s="1">
        <v>1</v>
      </c>
      <c r="AW393" s="1" t="s">
        <v>5801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5814</v>
      </c>
      <c r="C394" s="247" t="s">
        <v>5815</v>
      </c>
      <c r="D394" s="1" t="s">
        <v>5816</v>
      </c>
      <c r="E394" s="1"/>
      <c r="F394" s="1"/>
      <c r="G394" s="1" t="s">
        <v>5817</v>
      </c>
      <c r="H394" s="1" t="s">
        <v>5818</v>
      </c>
      <c r="I394" s="1" t="s">
        <v>5819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5820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5799</v>
      </c>
      <c r="AS394" s="1" t="s">
        <v>5800</v>
      </c>
      <c r="AT394" s="1" t="s">
        <v>329</v>
      </c>
      <c r="AU394" s="1">
        <v>10</v>
      </c>
      <c r="AV394" s="1">
        <v>1</v>
      </c>
      <c r="AW394" s="1" t="s">
        <v>5801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5821</v>
      </c>
      <c r="C395" s="247" t="s">
        <v>5822</v>
      </c>
      <c r="D395" s="1" t="s">
        <v>5823</v>
      </c>
      <c r="E395" s="1"/>
      <c r="F395" s="1"/>
      <c r="G395" s="1" t="s">
        <v>5824</v>
      </c>
      <c r="H395" s="1" t="s">
        <v>5825</v>
      </c>
      <c r="I395" s="1" t="s">
        <v>5826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5799</v>
      </c>
      <c r="AS395" s="1" t="s">
        <v>5800</v>
      </c>
      <c r="AT395" s="1" t="s">
        <v>329</v>
      </c>
      <c r="AU395" s="1">
        <v>10</v>
      </c>
      <c r="AV395" s="1">
        <v>1</v>
      </c>
      <c r="AW395" s="1" t="s">
        <v>5801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5827</v>
      </c>
      <c r="C396" s="247" t="s">
        <v>5793</v>
      </c>
      <c r="D396" s="1" t="s">
        <v>5794</v>
      </c>
      <c r="E396" s="1"/>
      <c r="F396" s="1"/>
      <c r="G396" s="1" t="s">
        <v>5828</v>
      </c>
      <c r="H396" s="1" t="s">
        <v>5829</v>
      </c>
      <c r="I396" s="1" t="s">
        <v>5830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5798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5799</v>
      </c>
      <c r="AS396" s="1" t="s">
        <v>5800</v>
      </c>
      <c r="AT396" s="1" t="s">
        <v>329</v>
      </c>
      <c r="AU396" s="1">
        <v>10</v>
      </c>
      <c r="AV396" s="1">
        <v>1</v>
      </c>
      <c r="AW396" s="1" t="s">
        <v>5801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5831</v>
      </c>
      <c r="C397" s="247" t="s">
        <v>5793</v>
      </c>
      <c r="D397" s="1" t="s">
        <v>5794</v>
      </c>
      <c r="E397" s="1"/>
      <c r="F397" s="1"/>
      <c r="G397" s="1" t="s">
        <v>5832</v>
      </c>
      <c r="H397" s="1" t="s">
        <v>5833</v>
      </c>
      <c r="I397" s="1" t="s">
        <v>5834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5798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5799</v>
      </c>
      <c r="AS397" s="1" t="s">
        <v>5800</v>
      </c>
      <c r="AT397" s="1" t="s">
        <v>329</v>
      </c>
      <c r="AU397" s="1">
        <v>10</v>
      </c>
      <c r="AV397" s="1">
        <v>1</v>
      </c>
      <c r="AW397" s="1" t="s">
        <v>5801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5835</v>
      </c>
      <c r="C398" s="247" t="s">
        <v>5803</v>
      </c>
      <c r="D398" s="1" t="s">
        <v>5804</v>
      </c>
      <c r="E398" s="1"/>
      <c r="F398" s="1"/>
      <c r="G398" s="1" t="s">
        <v>5836</v>
      </c>
      <c r="H398" s="1" t="s">
        <v>5837</v>
      </c>
      <c r="I398" s="1" t="s">
        <v>5838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5798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5799</v>
      </c>
      <c r="AS398" s="1" t="s">
        <v>5800</v>
      </c>
      <c r="AT398" s="1" t="s">
        <v>329</v>
      </c>
      <c r="AU398" s="1">
        <v>10</v>
      </c>
      <c r="AV398" s="1">
        <v>1</v>
      </c>
      <c r="AW398" s="1" t="s">
        <v>5801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5839</v>
      </c>
      <c r="C399" s="247" t="s">
        <v>5803</v>
      </c>
      <c r="D399" s="1" t="s">
        <v>5804</v>
      </c>
      <c r="E399" s="1"/>
      <c r="F399" s="1"/>
      <c r="G399" s="1" t="s">
        <v>5840</v>
      </c>
      <c r="H399" s="1" t="s">
        <v>5841</v>
      </c>
      <c r="I399" s="1" t="s">
        <v>5842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5798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5799</v>
      </c>
      <c r="AS399" s="1" t="s">
        <v>5800</v>
      </c>
      <c r="AT399" s="1" t="s">
        <v>329</v>
      </c>
      <c r="AU399" s="1">
        <v>10</v>
      </c>
      <c r="AV399" s="1">
        <v>1</v>
      </c>
      <c r="AW399" s="1" t="s">
        <v>5801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5843</v>
      </c>
      <c r="C400" s="247" t="s">
        <v>5815</v>
      </c>
      <c r="D400" s="1" t="s">
        <v>5816</v>
      </c>
      <c r="E400" s="1"/>
      <c r="F400" s="1"/>
      <c r="G400" s="1" t="s">
        <v>5844</v>
      </c>
      <c r="H400" s="1" t="s">
        <v>5845</v>
      </c>
      <c r="I400" s="1" t="s">
        <v>5846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5820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5799</v>
      </c>
      <c r="AS400" s="1" t="s">
        <v>5800</v>
      </c>
      <c r="AT400" s="1" t="s">
        <v>329</v>
      </c>
      <c r="AU400" s="1">
        <v>10</v>
      </c>
      <c r="AV400" s="1">
        <v>1</v>
      </c>
      <c r="AW400" s="1" t="s">
        <v>5801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5847</v>
      </c>
      <c r="C401" s="247" t="s">
        <v>5815</v>
      </c>
      <c r="D401" s="1" t="s">
        <v>5816</v>
      </c>
      <c r="E401" s="1"/>
      <c r="F401" s="1"/>
      <c r="G401" s="1" t="s">
        <v>5848</v>
      </c>
      <c r="H401" s="1" t="s">
        <v>5849</v>
      </c>
      <c r="I401" s="1" t="s">
        <v>5850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5820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5799</v>
      </c>
      <c r="AS401" s="1" t="s">
        <v>5800</v>
      </c>
      <c r="AT401" s="1" t="s">
        <v>329</v>
      </c>
      <c r="AU401" s="1">
        <v>10</v>
      </c>
      <c r="AV401" s="1">
        <v>1</v>
      </c>
      <c r="AW401" s="1" t="s">
        <v>5801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5851</v>
      </c>
      <c r="C402" s="247" t="s">
        <v>22</v>
      </c>
      <c r="D402" s="1" t="s">
        <v>256</v>
      </c>
      <c r="E402" s="1"/>
      <c r="F402" s="1"/>
      <c r="G402" s="1" t="s">
        <v>5852</v>
      </c>
      <c r="H402" s="1" t="s">
        <v>5853</v>
      </c>
      <c r="I402" s="1" t="s">
        <v>5854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5855</v>
      </c>
      <c r="AL402" s="1">
        <v>13</v>
      </c>
      <c r="AM402" s="1" t="s">
        <v>4798</v>
      </c>
      <c r="AN402" s="1" t="s">
        <v>4869</v>
      </c>
      <c r="AO402" s="1" t="s">
        <v>5856</v>
      </c>
      <c r="AP402" s="1">
        <v>0</v>
      </c>
      <c r="AQ402" s="1" t="s">
        <v>1137</v>
      </c>
      <c r="AR402" s="1" t="s">
        <v>1161</v>
      </c>
      <c r="AS402" s="1" t="s">
        <v>5857</v>
      </c>
      <c r="AT402" s="1" t="s">
        <v>329</v>
      </c>
      <c r="AU402" s="1">
        <v>55</v>
      </c>
      <c r="AV402" s="1">
        <v>0</v>
      </c>
      <c r="AW402" s="1" t="s">
        <v>5801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5858</v>
      </c>
      <c r="C403" s="247" t="s">
        <v>121</v>
      </c>
      <c r="D403" s="1" t="s">
        <v>121</v>
      </c>
      <c r="E403" s="1"/>
      <c r="F403" s="1"/>
      <c r="G403" s="1" t="s">
        <v>5859</v>
      </c>
      <c r="H403" s="1" t="s">
        <v>5860</v>
      </c>
      <c r="I403" s="1" t="s">
        <v>5861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5862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5801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5864</v>
      </c>
      <c r="C404" s="247" t="s">
        <v>5865</v>
      </c>
      <c r="D404" s="1" t="s">
        <v>3493</v>
      </c>
      <c r="E404" s="1"/>
      <c r="F404" s="1"/>
      <c r="G404" s="1" t="s">
        <v>5866</v>
      </c>
      <c r="H404" s="1" t="s">
        <v>5867</v>
      </c>
      <c r="I404" s="1" t="s">
        <v>5868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5869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5870</v>
      </c>
      <c r="C405" s="247" t="s">
        <v>1638</v>
      </c>
      <c r="D405" s="1" t="s">
        <v>1638</v>
      </c>
      <c r="E405" s="1"/>
      <c r="F405" s="1"/>
      <c r="G405" s="1" t="s">
        <v>5871</v>
      </c>
      <c r="H405" s="1" t="s">
        <v>5872</v>
      </c>
      <c r="I405" s="1" t="s">
        <v>5873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5874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5875</v>
      </c>
      <c r="AS405" s="1" t="s">
        <v>5800</v>
      </c>
      <c r="AT405" s="1" t="s">
        <v>329</v>
      </c>
      <c r="AU405" s="1">
        <v>149</v>
      </c>
      <c r="AV405" s="1">
        <v>0</v>
      </c>
      <c r="AW405" s="1" t="s">
        <v>5801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5876</v>
      </c>
      <c r="C406" s="247" t="s">
        <v>156</v>
      </c>
      <c r="D406" s="1" t="s">
        <v>156</v>
      </c>
      <c r="E406" s="1"/>
      <c r="F406" s="1"/>
      <c r="G406" s="1" t="s">
        <v>5877</v>
      </c>
      <c r="H406" s="1" t="s">
        <v>5878</v>
      </c>
      <c r="I406" s="1" t="s">
        <v>5879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5880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5801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5881</v>
      </c>
      <c r="C407" s="247" t="s">
        <v>168</v>
      </c>
      <c r="D407" s="1" t="s">
        <v>168</v>
      </c>
      <c r="E407" s="1"/>
      <c r="F407" s="1"/>
      <c r="G407" s="1" t="s">
        <v>5882</v>
      </c>
      <c r="H407" s="1" t="s">
        <v>5883</v>
      </c>
      <c r="I407" s="1" t="s">
        <v>5884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5862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5885</v>
      </c>
      <c r="C408" s="247" t="s">
        <v>5865</v>
      </c>
      <c r="D408" s="1" t="s">
        <v>3493</v>
      </c>
      <c r="E408" s="1"/>
      <c r="F408" s="1"/>
      <c r="G408" s="1" t="s">
        <v>5886</v>
      </c>
      <c r="H408" s="1" t="s">
        <v>5887</v>
      </c>
      <c r="I408" s="1" t="s">
        <v>5888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5869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5889</v>
      </c>
      <c r="C409" s="247" t="s">
        <v>1638</v>
      </c>
      <c r="D409" s="1" t="s">
        <v>1638</v>
      </c>
      <c r="E409" s="1"/>
      <c r="F409" s="1"/>
      <c r="G409" s="1" t="s">
        <v>5890</v>
      </c>
      <c r="H409" s="1" t="s">
        <v>5891</v>
      </c>
      <c r="I409" s="1" t="s">
        <v>5892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5874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5875</v>
      </c>
      <c r="AS409" s="1" t="s">
        <v>5800</v>
      </c>
      <c r="AT409" s="1" t="s">
        <v>329</v>
      </c>
      <c r="AU409" s="1">
        <v>149</v>
      </c>
      <c r="AV409" s="1">
        <v>0</v>
      </c>
      <c r="AW409" s="1" t="s">
        <v>5801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5893</v>
      </c>
      <c r="C410" s="247" t="s">
        <v>156</v>
      </c>
      <c r="D410" s="1" t="s">
        <v>156</v>
      </c>
      <c r="E410" s="1"/>
      <c r="F410" s="1"/>
      <c r="G410" s="1" t="s">
        <v>5894</v>
      </c>
      <c r="H410" s="1" t="s">
        <v>5895</v>
      </c>
      <c r="I410" s="1" t="s">
        <v>5896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5880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5801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5897</v>
      </c>
      <c r="C411" s="247" t="s">
        <v>168</v>
      </c>
      <c r="D411" s="1" t="s">
        <v>168</v>
      </c>
      <c r="E411" s="1"/>
      <c r="F411" s="1"/>
      <c r="G411" s="1" t="s">
        <v>5898</v>
      </c>
      <c r="H411" s="1" t="s">
        <v>5899</v>
      </c>
      <c r="I411" s="1" t="s">
        <v>5900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5862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5901</v>
      </c>
      <c r="C412" s="247" t="s">
        <v>121</v>
      </c>
      <c r="D412" s="1" t="s">
        <v>121</v>
      </c>
      <c r="E412" s="1"/>
      <c r="F412" s="1"/>
      <c r="G412" s="1" t="s">
        <v>5902</v>
      </c>
      <c r="H412" s="1" t="s">
        <v>5903</v>
      </c>
      <c r="I412" s="1" t="s">
        <v>5904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5869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5801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5905</v>
      </c>
      <c r="C413" s="247" t="s">
        <v>5865</v>
      </c>
      <c r="D413" s="1" t="s">
        <v>3493</v>
      </c>
      <c r="E413" s="1"/>
      <c r="F413" s="1"/>
      <c r="G413" s="1" t="s">
        <v>5906</v>
      </c>
      <c r="H413" s="1" t="s">
        <v>5907</v>
      </c>
      <c r="I413" s="1" t="s">
        <v>5908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5874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5909</v>
      </c>
      <c r="C414" s="247" t="s">
        <v>1638</v>
      </c>
      <c r="D414" s="1" t="s">
        <v>1638</v>
      </c>
      <c r="E414" s="1"/>
      <c r="F414" s="1"/>
      <c r="G414" s="1" t="s">
        <v>5910</v>
      </c>
      <c r="H414" s="1" t="s">
        <v>5911</v>
      </c>
      <c r="I414" s="1" t="s">
        <v>5912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5880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5875</v>
      </c>
      <c r="AS414" s="1" t="s">
        <v>5800</v>
      </c>
      <c r="AT414" s="1" t="s">
        <v>329</v>
      </c>
      <c r="AU414" s="1">
        <v>149</v>
      </c>
      <c r="AV414" s="1">
        <v>0</v>
      </c>
      <c r="AW414" s="1" t="s">
        <v>5801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5913</v>
      </c>
      <c r="C415" s="247" t="s">
        <v>168</v>
      </c>
      <c r="D415" s="1" t="s">
        <v>168</v>
      </c>
      <c r="E415" s="1"/>
      <c r="F415" s="1"/>
      <c r="G415" s="1" t="s">
        <v>5914</v>
      </c>
      <c r="H415" s="1" t="s">
        <v>5915</v>
      </c>
      <c r="I415" s="1" t="s">
        <v>5916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5862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5917</v>
      </c>
      <c r="C416" s="247" t="s">
        <v>121</v>
      </c>
      <c r="D416" s="1" t="s">
        <v>121</v>
      </c>
      <c r="E416" s="1"/>
      <c r="F416" s="1"/>
      <c r="G416" s="1" t="s">
        <v>5918</v>
      </c>
      <c r="H416" s="1" t="s">
        <v>5919</v>
      </c>
      <c r="I416" s="1" t="s">
        <v>5920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5869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5801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5921</v>
      </c>
      <c r="C417" s="247" t="s">
        <v>5865</v>
      </c>
      <c r="D417" s="1" t="s">
        <v>3493</v>
      </c>
      <c r="E417" s="1"/>
      <c r="F417" s="1"/>
      <c r="G417" s="1" t="s">
        <v>5922</v>
      </c>
      <c r="H417" s="1" t="s">
        <v>5923</v>
      </c>
      <c r="I417" s="1" t="s">
        <v>5924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5874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5925</v>
      </c>
      <c r="C418" s="247" t="s">
        <v>156</v>
      </c>
      <c r="D418" s="1" t="s">
        <v>156</v>
      </c>
      <c r="E418" s="1"/>
      <c r="F418" s="1"/>
      <c r="G418" s="1" t="s">
        <v>5926</v>
      </c>
      <c r="H418" s="1" t="s">
        <v>5927</v>
      </c>
      <c r="I418" s="1" t="s">
        <v>5928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5880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5801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5929</v>
      </c>
      <c r="C419" s="247" t="s">
        <v>168</v>
      </c>
      <c r="D419" s="1" t="s">
        <v>168</v>
      </c>
      <c r="E419" s="1"/>
      <c r="F419" s="1"/>
      <c r="G419" s="1" t="s">
        <v>5930</v>
      </c>
      <c r="H419" s="1" t="s">
        <v>5931</v>
      </c>
      <c r="I419" s="1" t="s">
        <v>5932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5862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5933</v>
      </c>
      <c r="C420" s="247" t="s">
        <v>121</v>
      </c>
      <c r="D420" s="1" t="s">
        <v>121</v>
      </c>
      <c r="E420" s="1"/>
      <c r="F420" s="1"/>
      <c r="G420" s="1" t="s">
        <v>5934</v>
      </c>
      <c r="H420" s="1" t="s">
        <v>5935</v>
      </c>
      <c r="I420" s="1" t="s">
        <v>5936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5869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5801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5937</v>
      </c>
      <c r="C421" s="247" t="s">
        <v>1638</v>
      </c>
      <c r="D421" s="1" t="s">
        <v>1638</v>
      </c>
      <c r="E421" s="1"/>
      <c r="F421" s="1"/>
      <c r="G421" s="1" t="s">
        <v>5938</v>
      </c>
      <c r="H421" s="1" t="s">
        <v>5939</v>
      </c>
      <c r="I421" s="1" t="s">
        <v>5940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5874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5875</v>
      </c>
      <c r="AS421" s="1" t="s">
        <v>5800</v>
      </c>
      <c r="AT421" s="1" t="s">
        <v>329</v>
      </c>
      <c r="AU421" s="1">
        <v>149</v>
      </c>
      <c r="AV421" s="1">
        <v>0</v>
      </c>
      <c r="AW421" s="1" t="s">
        <v>5801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5941</v>
      </c>
      <c r="C422" s="247" t="s">
        <v>156</v>
      </c>
      <c r="D422" s="1" t="s">
        <v>156</v>
      </c>
      <c r="E422" s="1"/>
      <c r="F422" s="1"/>
      <c r="G422" s="1" t="s">
        <v>5942</v>
      </c>
      <c r="H422" s="1" t="s">
        <v>5943</v>
      </c>
      <c r="I422" s="1" t="s">
        <v>5944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5880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5801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5945</v>
      </c>
      <c r="C423" s="247" t="s">
        <v>234</v>
      </c>
      <c r="D423" s="1" t="s">
        <v>234</v>
      </c>
      <c r="E423" s="1"/>
      <c r="F423" s="1"/>
      <c r="G423" s="1" t="s">
        <v>5946</v>
      </c>
      <c r="H423" s="1" t="s">
        <v>5947</v>
      </c>
      <c r="I423" s="1" t="s">
        <v>5948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5949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5950</v>
      </c>
      <c r="C424" s="247" t="s">
        <v>233</v>
      </c>
      <c r="D424" s="1" t="s">
        <v>233</v>
      </c>
      <c r="E424" s="1"/>
      <c r="F424" s="1"/>
      <c r="G424" s="1" t="s">
        <v>5951</v>
      </c>
      <c r="H424" s="1" t="s">
        <v>5952</v>
      </c>
      <c r="I424" s="1" t="s">
        <v>5953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5954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5955</v>
      </c>
      <c r="C425" s="247" t="s">
        <v>5956</v>
      </c>
      <c r="D425" s="1" t="s">
        <v>5956</v>
      </c>
      <c r="E425" s="1"/>
      <c r="F425" s="1"/>
      <c r="G425" s="1" t="s">
        <v>5957</v>
      </c>
      <c r="H425" s="1" t="s">
        <v>5958</v>
      </c>
      <c r="I425" s="1" t="s">
        <v>5959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5960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5857</v>
      </c>
      <c r="AT425" s="1" t="s">
        <v>329</v>
      </c>
      <c r="AU425" s="1">
        <v>55</v>
      </c>
      <c r="AV425" s="1">
        <v>0</v>
      </c>
      <c r="AW425" s="1" t="s">
        <v>5801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5961</v>
      </c>
      <c r="C426" s="247" t="s">
        <v>5962</v>
      </c>
      <c r="D426" s="1" t="s">
        <v>5962</v>
      </c>
      <c r="E426" s="1"/>
      <c r="F426" s="1"/>
      <c r="G426" s="1" t="s">
        <v>5963</v>
      </c>
      <c r="H426" s="1" t="s">
        <v>5964</v>
      </c>
      <c r="I426" s="1" t="s">
        <v>5965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5966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5967</v>
      </c>
      <c r="AR426" s="1" t="s">
        <v>5967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5801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5968</v>
      </c>
      <c r="C427" s="247" t="s">
        <v>5969</v>
      </c>
      <c r="D427" s="1" t="s">
        <v>5969</v>
      </c>
      <c r="E427" s="1"/>
      <c r="F427" s="1"/>
      <c r="G427" s="1" t="s">
        <v>5970</v>
      </c>
      <c r="H427" s="1" t="s">
        <v>5971</v>
      </c>
      <c r="I427" s="1" t="s">
        <v>5972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5973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5974</v>
      </c>
      <c r="C428" s="247" t="s">
        <v>5975</v>
      </c>
      <c r="D428" s="1" t="s">
        <v>5975</v>
      </c>
      <c r="E428" s="1"/>
      <c r="F428" s="1"/>
      <c r="G428" s="1" t="s">
        <v>5976</v>
      </c>
      <c r="H428" s="1" t="s">
        <v>5977</v>
      </c>
      <c r="I428" s="1" t="s">
        <v>5978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5979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5980</v>
      </c>
      <c r="C429" s="247" t="s">
        <v>22</v>
      </c>
      <c r="D429" s="1" t="s">
        <v>5956</v>
      </c>
      <c r="E429" s="1"/>
      <c r="F429" s="1"/>
      <c r="G429" s="1" t="s">
        <v>5981</v>
      </c>
      <c r="H429" s="1" t="s">
        <v>5982</v>
      </c>
      <c r="I429" s="1" t="s">
        <v>5983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5984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5801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5985</v>
      </c>
      <c r="C430" s="247" t="s">
        <v>22</v>
      </c>
      <c r="D430" s="1" t="s">
        <v>5956</v>
      </c>
      <c r="E430" s="1"/>
      <c r="F430" s="1"/>
      <c r="G430" s="1" t="s">
        <v>5986</v>
      </c>
      <c r="H430" s="1" t="s">
        <v>5987</v>
      </c>
      <c r="I430" s="1" t="s">
        <v>5988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5989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5990</v>
      </c>
      <c r="C431" s="247" t="s">
        <v>22</v>
      </c>
      <c r="D431" s="1" t="s">
        <v>5956</v>
      </c>
      <c r="E431" s="1"/>
      <c r="F431" s="1"/>
      <c r="G431" s="1" t="s">
        <v>5991</v>
      </c>
      <c r="H431" s="1" t="s">
        <v>5992</v>
      </c>
      <c r="I431" s="1" t="s">
        <v>5993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5989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5801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5994</v>
      </c>
      <c r="C432" s="247" t="s">
        <v>22</v>
      </c>
      <c r="D432" s="1" t="s">
        <v>5956</v>
      </c>
      <c r="E432" s="1"/>
      <c r="F432" s="1"/>
      <c r="G432" s="1" t="s">
        <v>5995</v>
      </c>
      <c r="H432" s="1" t="s">
        <v>5996</v>
      </c>
      <c r="I432" s="1" t="s">
        <v>5997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5989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5998</v>
      </c>
      <c r="C433" s="247" t="s">
        <v>98</v>
      </c>
      <c r="D433" s="1" t="s">
        <v>5999</v>
      </c>
      <c r="E433" s="1"/>
      <c r="F433" s="1"/>
      <c r="G433" s="1" t="s">
        <v>6000</v>
      </c>
      <c r="H433" s="1" t="s">
        <v>6001</v>
      </c>
      <c r="I433" s="1" t="s">
        <v>6002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6003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6004</v>
      </c>
      <c r="AS433" s="1" t="s">
        <v>6004</v>
      </c>
      <c r="AT433" s="1" t="s">
        <v>329</v>
      </c>
      <c r="AU433" s="1">
        <v>54</v>
      </c>
      <c r="AV433" s="1">
        <v>0</v>
      </c>
      <c r="AW433" s="1" t="s">
        <v>5801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6005</v>
      </c>
      <c r="C434" s="247" t="s">
        <v>6006</v>
      </c>
      <c r="D434" s="1" t="s">
        <v>6007</v>
      </c>
      <c r="E434" s="1"/>
      <c r="F434" s="1"/>
      <c r="G434" s="1" t="s">
        <v>6008</v>
      </c>
      <c r="H434" s="1" t="s">
        <v>6009</v>
      </c>
      <c r="I434" s="1" t="s">
        <v>6010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6003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6004</v>
      </c>
      <c r="AS434" s="1" t="s">
        <v>6004</v>
      </c>
      <c r="AT434" s="1" t="s">
        <v>329</v>
      </c>
      <c r="AU434" s="1">
        <v>54</v>
      </c>
      <c r="AV434" s="1">
        <v>0</v>
      </c>
      <c r="AW434" s="1" t="s">
        <v>5801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6011</v>
      </c>
      <c r="C435" s="247" t="s">
        <v>6012</v>
      </c>
      <c r="D435" s="1" t="s">
        <v>6013</v>
      </c>
      <c r="E435" s="1"/>
      <c r="F435" s="1"/>
      <c r="G435" s="1" t="s">
        <v>6014</v>
      </c>
      <c r="H435" s="1" t="s">
        <v>6015</v>
      </c>
      <c r="I435" s="1" t="s">
        <v>6016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6003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6004</v>
      </c>
      <c r="AS435" s="1" t="s">
        <v>6004</v>
      </c>
      <c r="AT435" s="1" t="s">
        <v>329</v>
      </c>
      <c r="AU435" s="1">
        <v>54</v>
      </c>
      <c r="AV435" s="1">
        <v>0</v>
      </c>
      <c r="AW435" s="1" t="s">
        <v>5801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6017</v>
      </c>
      <c r="C436" s="247" t="s">
        <v>6018</v>
      </c>
      <c r="D436" s="1" t="s">
        <v>6019</v>
      </c>
      <c r="E436" s="1"/>
      <c r="F436" s="1"/>
      <c r="G436" s="1" t="s">
        <v>6020</v>
      </c>
      <c r="H436" s="1" t="s">
        <v>6021</v>
      </c>
      <c r="I436" s="1" t="s">
        <v>6022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6003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6004</v>
      </c>
      <c r="AS436" s="1" t="s">
        <v>6004</v>
      </c>
      <c r="AT436" s="1" t="s">
        <v>329</v>
      </c>
      <c r="AU436" s="1">
        <v>54</v>
      </c>
      <c r="AV436" s="1">
        <v>0</v>
      </c>
      <c r="AW436" s="1" t="s">
        <v>5801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6023</v>
      </c>
      <c r="C437" s="247" t="s">
        <v>22</v>
      </c>
      <c r="D437" s="1" t="s">
        <v>6024</v>
      </c>
      <c r="E437" s="1"/>
      <c r="F437" s="1"/>
      <c r="G437" s="1" t="s">
        <v>6025</v>
      </c>
      <c r="H437" s="1" t="s">
        <v>6026</v>
      </c>
      <c r="I437" s="1" t="s">
        <v>6027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6028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5857</v>
      </c>
      <c r="AT437" s="1" t="s">
        <v>329</v>
      </c>
      <c r="AU437" s="1">
        <v>55</v>
      </c>
      <c r="AV437" s="1">
        <v>0</v>
      </c>
      <c r="AW437" s="1" t="s">
        <v>5801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6029</v>
      </c>
      <c r="C438" s="247" t="s">
        <v>6030</v>
      </c>
      <c r="D438" s="1" t="s">
        <v>6030</v>
      </c>
      <c r="E438" s="1"/>
      <c r="F438" s="1"/>
      <c r="G438" s="1" t="s">
        <v>6031</v>
      </c>
      <c r="H438" s="1" t="s">
        <v>6032</v>
      </c>
      <c r="I438" s="1" t="s">
        <v>6033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6034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6004</v>
      </c>
      <c r="AS438" s="1" t="s">
        <v>6004</v>
      </c>
      <c r="AT438" s="1" t="s">
        <v>329</v>
      </c>
      <c r="AU438" s="1">
        <v>54</v>
      </c>
      <c r="AV438" s="1">
        <v>0</v>
      </c>
      <c r="AW438" s="1" t="s">
        <v>5801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6035</v>
      </c>
      <c r="C439" s="247" t="s">
        <v>6036</v>
      </c>
      <c r="D439" s="1" t="s">
        <v>6036</v>
      </c>
      <c r="E439" s="1"/>
      <c r="F439" s="1"/>
      <c r="G439" s="1" t="s">
        <v>6037</v>
      </c>
      <c r="H439" s="1" t="s">
        <v>6038</v>
      </c>
      <c r="I439" s="1" t="s">
        <v>6039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6004</v>
      </c>
      <c r="AS439" s="1" t="s">
        <v>6004</v>
      </c>
      <c r="AT439" s="1" t="s">
        <v>329</v>
      </c>
      <c r="AU439" s="1">
        <v>54</v>
      </c>
      <c r="AV439" s="1">
        <v>0</v>
      </c>
      <c r="AW439" s="1" t="s">
        <v>5801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6040</v>
      </c>
      <c r="C440" s="247" t="s">
        <v>6041</v>
      </c>
      <c r="D440" s="1" t="s">
        <v>6041</v>
      </c>
      <c r="E440" s="1"/>
      <c r="F440" s="1"/>
      <c r="G440" s="1" t="s">
        <v>6042</v>
      </c>
      <c r="H440" s="1" t="s">
        <v>6043</v>
      </c>
      <c r="I440" s="1" t="s">
        <v>6044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6004</v>
      </c>
      <c r="AS440" s="1" t="s">
        <v>6004</v>
      </c>
      <c r="AT440" s="1" t="s">
        <v>329</v>
      </c>
      <c r="AU440" s="1">
        <v>54</v>
      </c>
      <c r="AV440" s="1">
        <v>0</v>
      </c>
      <c r="AW440" s="1" t="s">
        <v>5801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6045</v>
      </c>
      <c r="C441" s="247" t="s">
        <v>6046</v>
      </c>
      <c r="D441" s="1" t="s">
        <v>6046</v>
      </c>
      <c r="E441" s="1"/>
      <c r="F441" s="1"/>
      <c r="G441" s="1" t="s">
        <v>6047</v>
      </c>
      <c r="H441" s="1" t="s">
        <v>6048</v>
      </c>
      <c r="I441" s="1" t="s">
        <v>6049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6004</v>
      </c>
      <c r="AS441" s="1" t="s">
        <v>6004</v>
      </c>
      <c r="AT441" s="1" t="s">
        <v>329</v>
      </c>
      <c r="AU441" s="1">
        <v>54</v>
      </c>
      <c r="AV441" s="1">
        <v>0</v>
      </c>
      <c r="AW441" s="1" t="s">
        <v>5801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6050</v>
      </c>
      <c r="C442" s="247" t="s">
        <v>22</v>
      </c>
      <c r="D442" s="1" t="s">
        <v>6024</v>
      </c>
      <c r="E442" s="1"/>
      <c r="F442" s="1"/>
      <c r="G442" s="1" t="s">
        <v>6051</v>
      </c>
      <c r="H442" s="1" t="s">
        <v>6052</v>
      </c>
      <c r="I442" s="1" t="s">
        <v>6053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6054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5857</v>
      </c>
      <c r="AT442" s="1" t="s">
        <v>329</v>
      </c>
      <c r="AU442" s="1">
        <v>55</v>
      </c>
      <c r="AV442" s="1">
        <v>0</v>
      </c>
      <c r="AW442" s="1" t="s">
        <v>5801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6055</v>
      </c>
      <c r="C443" s="247" t="s">
        <v>6056</v>
      </c>
      <c r="D443" s="1" t="s">
        <v>6056</v>
      </c>
      <c r="E443" s="1"/>
      <c r="F443" s="1"/>
      <c r="G443" s="1" t="s">
        <v>6057</v>
      </c>
      <c r="H443" s="1" t="s">
        <v>6058</v>
      </c>
      <c r="I443" s="1" t="s">
        <v>6059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6034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6004</v>
      </c>
      <c r="AS443" s="1" t="s">
        <v>6004</v>
      </c>
      <c r="AT443" s="1" t="s">
        <v>329</v>
      </c>
      <c r="AU443" s="1">
        <v>54</v>
      </c>
      <c r="AV443" s="1">
        <v>0</v>
      </c>
      <c r="AW443" s="1" t="s">
        <v>5801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6060</v>
      </c>
      <c r="C444" s="247" t="s">
        <v>6061</v>
      </c>
      <c r="D444" s="1" t="s">
        <v>6061</v>
      </c>
      <c r="E444" s="1"/>
      <c r="F444" s="1"/>
      <c r="G444" s="1" t="s">
        <v>6062</v>
      </c>
      <c r="H444" s="1" t="s">
        <v>6063</v>
      </c>
      <c r="I444" s="1" t="s">
        <v>6064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5801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6065</v>
      </c>
      <c r="C445" s="247" t="s">
        <v>249</v>
      </c>
      <c r="D445" s="1" t="s">
        <v>249</v>
      </c>
      <c r="E445" s="1"/>
      <c r="F445" s="1"/>
      <c r="G445" s="1" t="s">
        <v>6066</v>
      </c>
      <c r="H445" s="1" t="s">
        <v>6067</v>
      </c>
      <c r="I445" s="1" t="s">
        <v>6068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6069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6070</v>
      </c>
      <c r="AT445" s="1" t="s">
        <v>329</v>
      </c>
      <c r="AU445" s="1">
        <v>1005</v>
      </c>
      <c r="AV445" s="1">
        <v>1</v>
      </c>
      <c r="AW445" s="1" t="s">
        <v>5801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6071</v>
      </c>
      <c r="C446" s="247" t="s">
        <v>249</v>
      </c>
      <c r="D446" s="1" t="s">
        <v>249</v>
      </c>
      <c r="E446" s="1"/>
      <c r="F446" s="1"/>
      <c r="G446" s="1" t="s">
        <v>6072</v>
      </c>
      <c r="H446" s="1" t="s">
        <v>6073</v>
      </c>
      <c r="I446" s="1" t="s">
        <v>6074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6075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6070</v>
      </c>
      <c r="AT446" s="1" t="s">
        <v>329</v>
      </c>
      <c r="AU446" s="1">
        <v>1005</v>
      </c>
      <c r="AV446" s="1">
        <v>1</v>
      </c>
      <c r="AW446" s="1" t="s">
        <v>5801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6076</v>
      </c>
      <c r="C447" s="247" t="s">
        <v>5815</v>
      </c>
      <c r="D447" s="1" t="s">
        <v>5816</v>
      </c>
      <c r="E447" s="1"/>
      <c r="F447" s="1"/>
      <c r="G447" s="1" t="s">
        <v>6077</v>
      </c>
      <c r="H447" s="1" t="s">
        <v>6078</v>
      </c>
      <c r="I447" s="1" t="s">
        <v>6079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5820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5799</v>
      </c>
      <c r="AS447" s="1" t="s">
        <v>5800</v>
      </c>
      <c r="AT447" s="1" t="s">
        <v>329</v>
      </c>
      <c r="AU447" s="1">
        <v>10</v>
      </c>
      <c r="AV447" s="1">
        <v>1</v>
      </c>
      <c r="AW447" s="1" t="s">
        <v>5801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6080</v>
      </c>
      <c r="C448" s="247" t="s">
        <v>5815</v>
      </c>
      <c r="D448" s="1" t="s">
        <v>5816</v>
      </c>
      <c r="E448" s="1"/>
      <c r="F448" s="1"/>
      <c r="G448" s="1" t="s">
        <v>6081</v>
      </c>
      <c r="H448" s="1" t="s">
        <v>6082</v>
      </c>
      <c r="I448" s="1" t="s">
        <v>6083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5820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5799</v>
      </c>
      <c r="AS448" s="1" t="s">
        <v>5800</v>
      </c>
      <c r="AT448" s="1" t="s">
        <v>329</v>
      </c>
      <c r="AU448" s="1">
        <v>10</v>
      </c>
      <c r="AV448" s="1">
        <v>1</v>
      </c>
      <c r="AW448" s="1" t="s">
        <v>5801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6084</v>
      </c>
      <c r="C449" s="247" t="s">
        <v>6085</v>
      </c>
      <c r="D449" s="1" t="s">
        <v>6085</v>
      </c>
      <c r="E449" s="1"/>
      <c r="F449" s="1"/>
      <c r="G449" s="1" t="s">
        <v>6086</v>
      </c>
      <c r="H449" s="1" t="s">
        <v>6087</v>
      </c>
      <c r="I449" s="1" t="s">
        <v>6088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6089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5857</v>
      </c>
      <c r="AT449" s="1" t="s">
        <v>329</v>
      </c>
      <c r="AU449" s="1">
        <v>55</v>
      </c>
      <c r="AV449" s="1">
        <v>0</v>
      </c>
      <c r="AW449" s="1" t="s">
        <v>5801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6090</v>
      </c>
      <c r="C450" s="247" t="s">
        <v>6091</v>
      </c>
      <c r="D450" s="1" t="s">
        <v>6091</v>
      </c>
      <c r="E450" s="1"/>
      <c r="F450" s="1"/>
      <c r="G450" s="1" t="s">
        <v>6092</v>
      </c>
      <c r="H450" s="1" t="s">
        <v>6093</v>
      </c>
      <c r="I450" s="1" t="s">
        <v>6094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5799</v>
      </c>
      <c r="AS450" s="1" t="s">
        <v>5800</v>
      </c>
      <c r="AT450" s="1" t="s">
        <v>329</v>
      </c>
      <c r="AU450" s="1">
        <v>1</v>
      </c>
      <c r="AV450" s="1">
        <v>0</v>
      </c>
      <c r="AW450" s="1" t="s">
        <v>5801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6095</v>
      </c>
      <c r="C451" s="247" t="s">
        <v>6096</v>
      </c>
      <c r="D451" s="1" t="s">
        <v>6096</v>
      </c>
      <c r="E451" s="1"/>
      <c r="F451" s="1"/>
      <c r="G451" s="1" t="s">
        <v>6097</v>
      </c>
      <c r="H451" s="1" t="s">
        <v>6098</v>
      </c>
      <c r="I451" s="1" t="s">
        <v>6099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5799</v>
      </c>
      <c r="AS451" s="1" t="s">
        <v>5800</v>
      </c>
      <c r="AT451" s="1" t="s">
        <v>329</v>
      </c>
      <c r="AU451" s="1">
        <v>1</v>
      </c>
      <c r="AV451" s="1">
        <v>0</v>
      </c>
      <c r="AW451" s="1" t="s">
        <v>5801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6100</v>
      </c>
      <c r="C452" s="247" t="s">
        <v>6101</v>
      </c>
      <c r="D452" s="1" t="s">
        <v>6101</v>
      </c>
      <c r="E452" s="1"/>
      <c r="F452" s="1"/>
      <c r="G452" s="1" t="s">
        <v>6102</v>
      </c>
      <c r="H452" s="1" t="s">
        <v>6103</v>
      </c>
      <c r="I452" s="1" t="s">
        <v>6104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6105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5857</v>
      </c>
      <c r="AT452" s="1" t="s">
        <v>329</v>
      </c>
      <c r="AU452" s="1">
        <v>55</v>
      </c>
      <c r="AV452" s="1">
        <v>0</v>
      </c>
      <c r="AW452" s="1" t="s">
        <v>5801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6106</v>
      </c>
      <c r="C453" s="247" t="s">
        <v>223</v>
      </c>
      <c r="D453" s="1" t="s">
        <v>4208</v>
      </c>
      <c r="E453" s="1"/>
      <c r="F453" s="1"/>
      <c r="G453" s="1" t="s">
        <v>6107</v>
      </c>
      <c r="H453" s="1" t="s">
        <v>6108</v>
      </c>
      <c r="I453" s="1" t="s">
        <v>6109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6110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5857</v>
      </c>
      <c r="AT453" s="1" t="s">
        <v>329</v>
      </c>
      <c r="AU453" s="1">
        <v>65</v>
      </c>
      <c r="AV453" s="1">
        <v>0</v>
      </c>
      <c r="AW453" s="1" t="s">
        <v>5801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6111</v>
      </c>
      <c r="C454" s="247" t="s">
        <v>79</v>
      </c>
      <c r="D454" s="1" t="s">
        <v>4203</v>
      </c>
      <c r="E454" s="1"/>
      <c r="F454" s="1"/>
      <c r="G454" s="1" t="s">
        <v>6112</v>
      </c>
      <c r="H454" s="1" t="s">
        <v>6113</v>
      </c>
      <c r="I454" s="1" t="s">
        <v>6114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6115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5801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6116</v>
      </c>
      <c r="C455" s="247" t="s">
        <v>6117</v>
      </c>
      <c r="D455" s="1" t="s">
        <v>6117</v>
      </c>
      <c r="E455" s="1"/>
      <c r="F455" s="1"/>
      <c r="G455" s="1" t="s">
        <v>6118</v>
      </c>
      <c r="H455" s="1" t="s">
        <v>6119</v>
      </c>
      <c r="I455" s="1" t="s">
        <v>6120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6110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5857</v>
      </c>
      <c r="AT455" s="1" t="s">
        <v>329</v>
      </c>
      <c r="AU455" s="1">
        <v>65</v>
      </c>
      <c r="AV455" s="1">
        <v>0</v>
      </c>
      <c r="AW455" s="1" t="s">
        <v>5801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6121</v>
      </c>
      <c r="C456" s="247" t="s">
        <v>6122</v>
      </c>
      <c r="D456" s="1" t="s">
        <v>6122</v>
      </c>
      <c r="E456" s="1"/>
      <c r="F456" s="1"/>
      <c r="G456" s="1" t="s">
        <v>6123</v>
      </c>
      <c r="H456" s="1" t="s">
        <v>6124</v>
      </c>
      <c r="I456" s="1" t="s">
        <v>6125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6115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5801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6126</v>
      </c>
      <c r="C457" s="247" t="s">
        <v>6122</v>
      </c>
      <c r="D457" s="1" t="s">
        <v>6122</v>
      </c>
      <c r="E457" s="1"/>
      <c r="F457" s="1"/>
      <c r="G457" s="1" t="s">
        <v>6127</v>
      </c>
      <c r="H457" s="1" t="s">
        <v>6128</v>
      </c>
      <c r="I457" s="1" t="s">
        <v>6129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6130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5801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6131</v>
      </c>
      <c r="C458" s="247" t="s">
        <v>6132</v>
      </c>
      <c r="D458" s="1" t="s">
        <v>6132</v>
      </c>
      <c r="E458" s="1"/>
      <c r="F458" s="1"/>
      <c r="G458" s="1" t="s">
        <v>6133</v>
      </c>
      <c r="H458" s="1" t="s">
        <v>6134</v>
      </c>
      <c r="I458" s="1" t="s">
        <v>6135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5801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6136</v>
      </c>
      <c r="C459" s="247" t="s">
        <v>5791</v>
      </c>
      <c r="D459" s="1" t="s">
        <v>4213</v>
      </c>
      <c r="E459" s="1"/>
      <c r="F459" s="1"/>
      <c r="G459" s="1" t="s">
        <v>6137</v>
      </c>
      <c r="H459" s="1" t="s">
        <v>6138</v>
      </c>
      <c r="I459" s="1" t="s">
        <v>6139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6140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5801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6141</v>
      </c>
      <c r="C460" s="247" t="s">
        <v>6142</v>
      </c>
      <c r="D460" s="1" t="s">
        <v>6142</v>
      </c>
      <c r="E460" s="1"/>
      <c r="F460" s="1"/>
      <c r="G460" s="1" t="s">
        <v>6143</v>
      </c>
      <c r="H460" s="1" t="s">
        <v>6144</v>
      </c>
      <c r="I460" s="1" t="s">
        <v>6145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5857</v>
      </c>
      <c r="AT460" s="1" t="s">
        <v>329</v>
      </c>
      <c r="AU460" s="1">
        <v>55</v>
      </c>
      <c r="AV460" s="1">
        <v>0</v>
      </c>
      <c r="AW460" s="1" t="s">
        <v>5801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6146</v>
      </c>
      <c r="C461" s="247" t="s">
        <v>6147</v>
      </c>
      <c r="D461" s="1" t="s">
        <v>6147</v>
      </c>
      <c r="E461" s="1"/>
      <c r="F461" s="1"/>
      <c r="G461" s="1" t="s">
        <v>6148</v>
      </c>
      <c r="H461" s="1" t="s">
        <v>6149</v>
      </c>
      <c r="I461" s="1" t="s">
        <v>6150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5857</v>
      </c>
      <c r="AT461" s="1" t="s">
        <v>329</v>
      </c>
      <c r="AU461" s="1">
        <v>55</v>
      </c>
      <c r="AV461" s="1">
        <v>0</v>
      </c>
      <c r="AW461" s="1" t="s">
        <v>5801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6151</v>
      </c>
      <c r="C462" s="247" t="s">
        <v>6152</v>
      </c>
      <c r="D462" s="1" t="s">
        <v>6152</v>
      </c>
      <c r="E462" s="1"/>
      <c r="F462" s="1"/>
      <c r="G462" s="1" t="s">
        <v>6153</v>
      </c>
      <c r="H462" s="1" t="s">
        <v>6154</v>
      </c>
      <c r="I462" s="1" t="s">
        <v>6155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5799</v>
      </c>
      <c r="AS462" s="1" t="s">
        <v>5800</v>
      </c>
      <c r="AT462" s="1" t="s">
        <v>329</v>
      </c>
      <c r="AU462" s="1">
        <v>10</v>
      </c>
      <c r="AV462" s="1">
        <v>1</v>
      </c>
      <c r="AW462" s="1" t="s">
        <v>5801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6156</v>
      </c>
      <c r="C463" s="247" t="s">
        <v>6157</v>
      </c>
      <c r="D463" s="1" t="s">
        <v>6157</v>
      </c>
      <c r="E463" s="1"/>
      <c r="F463" s="1"/>
      <c r="G463" s="1" t="s">
        <v>6158</v>
      </c>
      <c r="H463" s="1" t="s">
        <v>6159</v>
      </c>
      <c r="I463" s="1" t="s">
        <v>6160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5799</v>
      </c>
      <c r="AS463" s="1" t="s">
        <v>5800</v>
      </c>
      <c r="AT463" s="1" t="s">
        <v>329</v>
      </c>
      <c r="AU463" s="1">
        <v>10</v>
      </c>
      <c r="AV463" s="1">
        <v>1</v>
      </c>
      <c r="AW463" s="1" t="s">
        <v>5801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6161</v>
      </c>
      <c r="C464" s="247" t="s">
        <v>6162</v>
      </c>
      <c r="D464" s="1" t="s">
        <v>6162</v>
      </c>
      <c r="E464" s="1"/>
      <c r="F464" s="1"/>
      <c r="G464" s="1" t="s">
        <v>6163</v>
      </c>
      <c r="H464" s="1" t="s">
        <v>6164</v>
      </c>
      <c r="I464" s="1" t="s">
        <v>6165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5801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6166</v>
      </c>
      <c r="C465" s="247" t="s">
        <v>6167</v>
      </c>
      <c r="D465" s="1" t="s">
        <v>6167</v>
      </c>
      <c r="E465" s="1"/>
      <c r="F465" s="1"/>
      <c r="G465" s="1" t="s">
        <v>6168</v>
      </c>
      <c r="H465" s="1" t="s">
        <v>6169</v>
      </c>
      <c r="I465" s="1" t="s">
        <v>6170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5801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6171</v>
      </c>
      <c r="C466" s="247" t="s">
        <v>6172</v>
      </c>
      <c r="D466" s="1" t="s">
        <v>6172</v>
      </c>
      <c r="E466" s="1"/>
      <c r="F466" s="1"/>
      <c r="G466" s="1" t="s">
        <v>6173</v>
      </c>
      <c r="H466" s="1" t="s">
        <v>6174</v>
      </c>
      <c r="I466" s="1" t="s">
        <v>6175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5801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6176</v>
      </c>
      <c r="C467" s="247" t="s">
        <v>6177</v>
      </c>
      <c r="D467" s="1" t="s">
        <v>6177</v>
      </c>
      <c r="E467" s="1"/>
      <c r="F467" s="1"/>
      <c r="G467" s="1" t="s">
        <v>6178</v>
      </c>
      <c r="H467" s="1" t="s">
        <v>6179</v>
      </c>
      <c r="I467" s="1" t="s">
        <v>6180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6105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5857</v>
      </c>
      <c r="AT467" s="1" t="s">
        <v>329</v>
      </c>
      <c r="AU467" s="1">
        <v>55</v>
      </c>
      <c r="AV467" s="1">
        <v>0</v>
      </c>
      <c r="AW467" s="1" t="s">
        <v>5801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6181</v>
      </c>
      <c r="C468" s="247" t="s">
        <v>6182</v>
      </c>
      <c r="D468" s="1" t="s">
        <v>6182</v>
      </c>
      <c r="E468" s="1"/>
      <c r="F468" s="1"/>
      <c r="G468" s="1" t="s">
        <v>6183</v>
      </c>
      <c r="H468" s="1" t="s">
        <v>6184</v>
      </c>
      <c r="I468" s="1" t="s">
        <v>6185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6186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5801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6187</v>
      </c>
      <c r="C469" s="247" t="s">
        <v>6182</v>
      </c>
      <c r="D469" s="1" t="s">
        <v>6182</v>
      </c>
      <c r="E469" s="1"/>
      <c r="F469" s="1"/>
      <c r="G469" s="1" t="s">
        <v>6188</v>
      </c>
      <c r="H469" s="1" t="s">
        <v>6189</v>
      </c>
      <c r="I469" s="1" t="s">
        <v>6190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5801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6191</v>
      </c>
      <c r="C470" s="247" t="s">
        <v>6192</v>
      </c>
      <c r="D470" s="1" t="s">
        <v>6192</v>
      </c>
      <c r="E470" s="1"/>
      <c r="F470" s="1"/>
      <c r="G470" s="1" t="s">
        <v>6193</v>
      </c>
      <c r="H470" s="1" t="s">
        <v>6194</v>
      </c>
      <c r="I470" s="1" t="s">
        <v>6195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6196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5801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6197</v>
      </c>
      <c r="C471" s="247" t="s">
        <v>6192</v>
      </c>
      <c r="D471" s="1" t="s">
        <v>6192</v>
      </c>
      <c r="E471" s="1"/>
      <c r="F471" s="1"/>
      <c r="G471" s="1" t="s">
        <v>6198</v>
      </c>
      <c r="H471" s="1" t="s">
        <v>6199</v>
      </c>
      <c r="I471" s="1" t="s">
        <v>6200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5989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5801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6201</v>
      </c>
      <c r="C472" s="247" t="s">
        <v>6192</v>
      </c>
      <c r="D472" s="1" t="s">
        <v>6192</v>
      </c>
      <c r="E472" s="1"/>
      <c r="F472" s="1"/>
      <c r="G472" s="1" t="s">
        <v>6202</v>
      </c>
      <c r="H472" s="1" t="s">
        <v>6203</v>
      </c>
      <c r="I472" s="1" t="s">
        <v>6204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5989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5801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6205</v>
      </c>
      <c r="C473" s="247" t="s">
        <v>6192</v>
      </c>
      <c r="D473" s="1" t="s">
        <v>6192</v>
      </c>
      <c r="E473" s="1"/>
      <c r="F473" s="1"/>
      <c r="G473" s="1" t="s">
        <v>6206</v>
      </c>
      <c r="H473" s="1" t="s">
        <v>6207</v>
      </c>
      <c r="I473" s="1" t="s">
        <v>6208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5989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5801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6209</v>
      </c>
      <c r="C474" s="247" t="s">
        <v>6172</v>
      </c>
      <c r="D474" s="1" t="s">
        <v>6172</v>
      </c>
      <c r="E474" s="1"/>
      <c r="F474" s="1"/>
      <c r="G474" s="1" t="s">
        <v>6210</v>
      </c>
      <c r="H474" s="1" t="s">
        <v>6211</v>
      </c>
      <c r="I474" s="1" t="s">
        <v>6212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5801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6213</v>
      </c>
      <c r="C475" s="247" t="s">
        <v>858</v>
      </c>
      <c r="D475" s="1" t="s">
        <v>6214</v>
      </c>
      <c r="E475" s="1"/>
      <c r="F475" s="1"/>
      <c r="G475" s="1" t="s">
        <v>6215</v>
      </c>
      <c r="H475" s="1" t="s">
        <v>6216</v>
      </c>
      <c r="I475" s="1" t="s">
        <v>6217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6003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6004</v>
      </c>
      <c r="AS475" s="1" t="s">
        <v>6004</v>
      </c>
      <c r="AT475" s="1" t="s">
        <v>329</v>
      </c>
      <c r="AU475" s="1">
        <v>54</v>
      </c>
      <c r="AV475" s="1">
        <v>0</v>
      </c>
      <c r="AW475" s="1" t="s">
        <v>5801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6218</v>
      </c>
      <c r="C476" s="247" t="s">
        <v>1748</v>
      </c>
      <c r="D476" s="1" t="s">
        <v>6219</v>
      </c>
      <c r="E476" s="1"/>
      <c r="F476" s="1"/>
      <c r="G476" s="1" t="s">
        <v>6220</v>
      </c>
      <c r="H476" s="1" t="s">
        <v>6221</v>
      </c>
      <c r="I476" s="1" t="s">
        <v>6222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6003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6004</v>
      </c>
      <c r="AS476" s="1" t="s">
        <v>6004</v>
      </c>
      <c r="AT476" s="1" t="s">
        <v>329</v>
      </c>
      <c r="AU476" s="1">
        <v>54</v>
      </c>
      <c r="AV476" s="1">
        <v>0</v>
      </c>
      <c r="AW476" s="1" t="s">
        <v>5801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6223</v>
      </c>
      <c r="C477" s="247" t="s">
        <v>863</v>
      </c>
      <c r="D477" s="1" t="s">
        <v>6224</v>
      </c>
      <c r="E477" s="1"/>
      <c r="F477" s="1"/>
      <c r="G477" s="1" t="s">
        <v>6225</v>
      </c>
      <c r="H477" s="1" t="s">
        <v>6226</v>
      </c>
      <c r="I477" s="1" t="s">
        <v>6227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6003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6004</v>
      </c>
      <c r="AS477" s="1" t="s">
        <v>6004</v>
      </c>
      <c r="AT477" s="1" t="s">
        <v>329</v>
      </c>
      <c r="AU477" s="1">
        <v>54</v>
      </c>
      <c r="AV477" s="1">
        <v>0</v>
      </c>
      <c r="AW477" s="1" t="s">
        <v>5801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6228</v>
      </c>
      <c r="C478" s="247" t="s">
        <v>6061</v>
      </c>
      <c r="D478" s="1" t="s">
        <v>6229</v>
      </c>
      <c r="E478" s="1"/>
      <c r="F478" s="1"/>
      <c r="G478" s="1" t="s">
        <v>6230</v>
      </c>
      <c r="H478" s="1" t="s">
        <v>6231</v>
      </c>
      <c r="I478" s="1" t="s">
        <v>6232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6233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5801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6234</v>
      </c>
      <c r="C479" s="247" t="s">
        <v>4066</v>
      </c>
      <c r="D479" s="1" t="s">
        <v>4066</v>
      </c>
      <c r="E479" s="1"/>
      <c r="F479" s="1"/>
      <c r="G479" s="1" t="s">
        <v>6235</v>
      </c>
      <c r="H479" s="1" t="s">
        <v>6236</v>
      </c>
      <c r="I479" s="1" t="s">
        <v>6237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6238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6239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5801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6240</v>
      </c>
      <c r="C480" s="247" t="s">
        <v>5790</v>
      </c>
      <c r="D480" s="1" t="s">
        <v>3954</v>
      </c>
      <c r="E480" s="1"/>
      <c r="F480" s="1"/>
      <c r="G480" s="1" t="s">
        <v>6241</v>
      </c>
      <c r="H480" s="1" t="s">
        <v>6242</v>
      </c>
      <c r="I480" s="1" t="s">
        <v>6243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6244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5801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6246</v>
      </c>
      <c r="C481" s="247" t="s">
        <v>190</v>
      </c>
      <c r="D481" s="1" t="s">
        <v>190</v>
      </c>
      <c r="E481" s="1"/>
      <c r="F481" s="1"/>
      <c r="G481" s="1" t="s">
        <v>6247</v>
      </c>
      <c r="H481" s="1" t="s">
        <v>6248</v>
      </c>
      <c r="I481" s="1" t="s">
        <v>6249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6250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5801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6252</v>
      </c>
      <c r="C482" s="247" t="s">
        <v>3780</v>
      </c>
      <c r="D482" s="1" t="s">
        <v>6253</v>
      </c>
      <c r="E482" s="1"/>
      <c r="F482" s="1"/>
      <c r="G482" s="1" t="s">
        <v>6254</v>
      </c>
      <c r="H482" s="1" t="s">
        <v>6255</v>
      </c>
      <c r="I482" s="1" t="s">
        <v>6256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6257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5801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6259</v>
      </c>
      <c r="C483" s="247" t="s">
        <v>300</v>
      </c>
      <c r="D483" s="1" t="s">
        <v>300</v>
      </c>
      <c r="E483" s="1"/>
      <c r="F483" s="1"/>
      <c r="G483" s="1" t="s">
        <v>6260</v>
      </c>
      <c r="H483" s="1" t="s">
        <v>6261</v>
      </c>
      <c r="I483" s="1" t="s">
        <v>6262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6263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6264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5801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6265</v>
      </c>
      <c r="C484" s="247" t="s">
        <v>6061</v>
      </c>
      <c r="D484" s="1" t="s">
        <v>6229</v>
      </c>
      <c r="E484" s="1"/>
      <c r="F484" s="1"/>
      <c r="G484" s="1" t="s">
        <v>6266</v>
      </c>
      <c r="H484" s="1" t="s">
        <v>6267</v>
      </c>
      <c r="I484" s="1" t="s">
        <v>6268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6269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5801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6270</v>
      </c>
      <c r="C485" s="247" t="s">
        <v>6061</v>
      </c>
      <c r="D485" s="1" t="s">
        <v>6229</v>
      </c>
      <c r="E485" s="1"/>
      <c r="F485" s="1"/>
      <c r="G485" s="1" t="s">
        <v>6271</v>
      </c>
      <c r="H485" s="1" t="s">
        <v>6272</v>
      </c>
      <c r="I485" s="1" t="s">
        <v>6273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6274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5801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6275</v>
      </c>
      <c r="C486" s="247" t="s">
        <v>6061</v>
      </c>
      <c r="D486" s="1" t="s">
        <v>6229</v>
      </c>
      <c r="E486" s="1"/>
      <c r="F486" s="1"/>
      <c r="G486" s="1" t="s">
        <v>6276</v>
      </c>
      <c r="H486" s="1" t="s">
        <v>6277</v>
      </c>
      <c r="I486" s="1" t="s">
        <v>6278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6279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5801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6280</v>
      </c>
      <c r="C487" s="247" t="s">
        <v>98</v>
      </c>
      <c r="D487" s="1" t="s">
        <v>5999</v>
      </c>
      <c r="E487" s="1"/>
      <c r="F487" s="1"/>
      <c r="G487" s="1" t="s">
        <v>6281</v>
      </c>
      <c r="H487" s="1" t="s">
        <v>6282</v>
      </c>
      <c r="I487" s="1" t="s">
        <v>6283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6284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6004</v>
      </c>
      <c r="AS487" s="1" t="s">
        <v>6004</v>
      </c>
      <c r="AT487" s="1" t="s">
        <v>329</v>
      </c>
      <c r="AU487" s="1">
        <v>54</v>
      </c>
      <c r="AV487" s="1">
        <v>0</v>
      </c>
      <c r="AW487" s="1" t="s">
        <v>5801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6285</v>
      </c>
      <c r="C488" s="247" t="s">
        <v>6286</v>
      </c>
      <c r="D488" s="1" t="s">
        <v>6286</v>
      </c>
      <c r="E488" s="1"/>
      <c r="F488" s="1"/>
      <c r="G488" s="1" t="s">
        <v>6287</v>
      </c>
      <c r="H488" s="1" t="s">
        <v>6288</v>
      </c>
      <c r="I488" s="1" t="s">
        <v>6289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6004</v>
      </c>
      <c r="AS488" s="1" t="s">
        <v>6004</v>
      </c>
      <c r="AT488" s="1" t="s">
        <v>329</v>
      </c>
      <c r="AU488" s="1">
        <v>54</v>
      </c>
      <c r="AV488" s="1">
        <v>0</v>
      </c>
      <c r="AW488" s="1" t="s">
        <v>5801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6290</v>
      </c>
      <c r="C489" s="247" t="s">
        <v>6291</v>
      </c>
      <c r="D489" s="1" t="s">
        <v>6291</v>
      </c>
      <c r="E489" s="1"/>
      <c r="F489" s="1"/>
      <c r="G489" s="1" t="s">
        <v>6292</v>
      </c>
      <c r="H489" s="1" t="s">
        <v>6293</v>
      </c>
      <c r="I489" s="1" t="s">
        <v>6294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5801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6620</v>
      </c>
      <c r="C490" s="248" t="s">
        <v>6621</v>
      </c>
      <c r="D490" t="s">
        <v>6621</v>
      </c>
      <c r="E490" t="s">
        <v>329</v>
      </c>
      <c r="F490" t="s">
        <v>329</v>
      </c>
      <c r="G490" t="s">
        <v>6622</v>
      </c>
      <c r="H490" t="s">
        <v>6623</v>
      </c>
      <c r="I490" t="s">
        <v>6624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6625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5801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6475</v>
      </c>
      <c r="C496" s="247" t="s">
        <v>6476</v>
      </c>
      <c r="D496" s="1" t="s">
        <v>6476</v>
      </c>
      <c r="E496" s="1"/>
      <c r="F496" s="1"/>
      <c r="G496" s="1" t="s">
        <v>6477</v>
      </c>
      <c r="H496" s="1" t="s">
        <v>6478</v>
      </c>
      <c r="I496" s="1" t="s">
        <v>6479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6480</v>
      </c>
      <c r="AL496" s="1">
        <v>13</v>
      </c>
      <c r="AM496" s="1" t="s">
        <v>1814</v>
      </c>
      <c r="AN496" s="1" t="s">
        <v>6481</v>
      </c>
      <c r="AO496" s="1" t="s">
        <v>6482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5729</v>
      </c>
      <c r="C498" s="247" t="s">
        <v>5783</v>
      </c>
      <c r="D498" s="1" t="s">
        <v>5730</v>
      </c>
      <c r="E498" s="1"/>
      <c r="F498" s="1"/>
      <c r="G498" s="1" t="s">
        <v>5731</v>
      </c>
      <c r="H498" s="1" t="s">
        <v>5732</v>
      </c>
      <c r="I498" s="1" t="s">
        <v>5733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5734</v>
      </c>
      <c r="AK498" s="1" t="s">
        <v>5735</v>
      </c>
      <c r="AL498" s="1">
        <v>13</v>
      </c>
      <c r="AM498" s="1" t="s">
        <v>399</v>
      </c>
      <c r="AN498" s="1" t="s">
        <v>5736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6483</v>
      </c>
      <c r="C520" s="247" t="s">
        <v>6484</v>
      </c>
      <c r="D520" s="1" t="s">
        <v>6484</v>
      </c>
      <c r="E520" s="1"/>
      <c r="F520" s="1"/>
      <c r="G520" s="1" t="s">
        <v>6485</v>
      </c>
      <c r="H520" s="1" t="s">
        <v>6486</v>
      </c>
      <c r="I520" s="1" t="s">
        <v>6487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6474</v>
      </c>
      <c r="AK520" s="1" t="s">
        <v>6488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6489</v>
      </c>
      <c r="C531" s="247" t="s">
        <v>6522</v>
      </c>
      <c r="D531" s="1" t="s">
        <v>6490</v>
      </c>
      <c r="E531" s="1"/>
      <c r="F531" s="1"/>
      <c r="G531" s="1" t="s">
        <v>6491</v>
      </c>
      <c r="H531" s="1" t="s">
        <v>6492</v>
      </c>
      <c r="I531" s="1" t="s">
        <v>6493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6494</v>
      </c>
      <c r="AK531" s="1" t="s">
        <v>6495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5737</v>
      </c>
      <c r="C546" s="247" t="s">
        <v>5738</v>
      </c>
      <c r="D546" s="1" t="s">
        <v>5738</v>
      </c>
      <c r="E546" s="1"/>
      <c r="F546" s="1"/>
      <c r="G546" s="1" t="s">
        <v>5739</v>
      </c>
      <c r="H546" s="1" t="s">
        <v>5740</v>
      </c>
      <c r="I546" s="1" t="s">
        <v>5741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5742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5744</v>
      </c>
      <c r="C547" s="247" t="s">
        <v>5745</v>
      </c>
      <c r="D547" s="1" t="s">
        <v>5745</v>
      </c>
      <c r="E547" s="1"/>
      <c r="F547" s="1"/>
      <c r="G547" s="1" t="s">
        <v>5746</v>
      </c>
      <c r="H547" s="1" t="s">
        <v>5747</v>
      </c>
      <c r="I547" s="1" t="s">
        <v>5748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5749</v>
      </c>
      <c r="AK547" s="1" t="s">
        <v>5750</v>
      </c>
      <c r="AL547" s="1">
        <v>14</v>
      </c>
      <c r="AM547" s="1" t="s">
        <v>4727</v>
      </c>
      <c r="AN547" s="1" t="s">
        <v>5751</v>
      </c>
      <c r="AO547" s="1" t="s">
        <v>5752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6496</v>
      </c>
      <c r="C550" s="247" t="s">
        <v>6497</v>
      </c>
      <c r="D550" s="1" t="s">
        <v>6497</v>
      </c>
      <c r="E550" s="1"/>
      <c r="F550" s="1"/>
      <c r="G550" s="1" t="s">
        <v>6498</v>
      </c>
      <c r="H550" s="1" t="s">
        <v>6499</v>
      </c>
      <c r="I550" s="1" t="s">
        <v>6500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6501</v>
      </c>
      <c r="AK550" s="1" t="s">
        <v>6502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5753</v>
      </c>
      <c r="C552" s="247" t="s">
        <v>5754</v>
      </c>
      <c r="D552" s="1" t="s">
        <v>5754</v>
      </c>
      <c r="E552" s="1"/>
      <c r="F552" s="1"/>
      <c r="G552" s="1" t="s">
        <v>5755</v>
      </c>
      <c r="H552" s="1" t="s">
        <v>5756</v>
      </c>
      <c r="I552" s="1" t="s">
        <v>5757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5758</v>
      </c>
      <c r="AK552" s="1" t="s">
        <v>5759</v>
      </c>
      <c r="AL552" s="1">
        <v>13</v>
      </c>
      <c r="AM552" s="1" t="s">
        <v>4727</v>
      </c>
      <c r="AN552" s="1" t="s">
        <v>4872</v>
      </c>
      <c r="AO552" s="1" t="s">
        <v>5760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6295</v>
      </c>
      <c r="C553" s="247" t="s">
        <v>5788</v>
      </c>
      <c r="D553" s="1" t="s">
        <v>6296</v>
      </c>
      <c r="E553" s="1"/>
      <c r="F553" s="1"/>
      <c r="G553" s="1" t="s">
        <v>6297</v>
      </c>
      <c r="H553" s="1" t="s">
        <v>6298</v>
      </c>
      <c r="I553" s="1" t="s">
        <v>6299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5801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6300</v>
      </c>
      <c r="C554" s="247" t="s">
        <v>5789</v>
      </c>
      <c r="D554" s="1" t="s">
        <v>6301</v>
      </c>
      <c r="E554" s="1"/>
      <c r="F554" s="1"/>
      <c r="G554" s="1" t="s">
        <v>6302</v>
      </c>
      <c r="H554" s="1" t="s">
        <v>6303</v>
      </c>
      <c r="I554" s="1" t="s">
        <v>6304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6305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5801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6306</v>
      </c>
      <c r="C555" s="247" t="s">
        <v>237</v>
      </c>
      <c r="D555" s="1" t="s">
        <v>6307</v>
      </c>
      <c r="E555" s="1"/>
      <c r="F555" s="1"/>
      <c r="G555" s="1" t="s">
        <v>6308</v>
      </c>
      <c r="H555" s="1" t="s">
        <v>6309</v>
      </c>
      <c r="I555" s="1" t="s">
        <v>6310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6311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5801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6312</v>
      </c>
      <c r="C556" s="247" t="s">
        <v>5787</v>
      </c>
      <c r="D556" s="1" t="s">
        <v>6313</v>
      </c>
      <c r="E556" s="1"/>
      <c r="F556" s="1"/>
      <c r="G556" s="1" t="s">
        <v>6314</v>
      </c>
      <c r="H556" s="1" t="s">
        <v>6315</v>
      </c>
      <c r="I556" s="1" t="s">
        <v>6316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5801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6654</v>
      </c>
      <c r="C557" s="247" t="s">
        <v>6655</v>
      </c>
      <c r="D557" s="1" t="s">
        <v>6655</v>
      </c>
      <c r="E557" s="1" t="s">
        <v>329</v>
      </c>
      <c r="F557" s="1" t="s">
        <v>329</v>
      </c>
      <c r="G557" s="1" t="s">
        <v>6656</v>
      </c>
      <c r="H557" s="1" t="s">
        <v>6657</v>
      </c>
      <c r="I557" s="1" t="s">
        <v>6658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6659</v>
      </c>
      <c r="AK557" s="1" t="s">
        <v>6660</v>
      </c>
      <c r="AL557" s="1">
        <v>14</v>
      </c>
      <c r="AM557" s="1" t="s">
        <v>1814</v>
      </c>
      <c r="AN557" s="1" t="s">
        <v>6661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6662</v>
      </c>
      <c r="AX557" s="1" t="s">
        <v>6663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6664</v>
      </c>
      <c r="C558" s="247" t="s">
        <v>6665</v>
      </c>
      <c r="D558" s="1" t="s">
        <v>6665</v>
      </c>
      <c r="E558" s="1" t="s">
        <v>329</v>
      </c>
      <c r="F558" s="1" t="s">
        <v>329</v>
      </c>
      <c r="G558" s="1" t="s">
        <v>6666</v>
      </c>
      <c r="H558" s="1" t="s">
        <v>6667</v>
      </c>
      <c r="I558" s="1" t="s">
        <v>6668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6669</v>
      </c>
      <c r="AK558" s="1" t="s">
        <v>6670</v>
      </c>
      <c r="AL558" s="1">
        <v>13</v>
      </c>
      <c r="AM558" s="1" t="s">
        <v>1814</v>
      </c>
      <c r="AN558" s="1" t="s">
        <v>5736</v>
      </c>
      <c r="AO558" s="1" t="s">
        <v>6671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6662</v>
      </c>
      <c r="AX558" s="1" t="s">
        <v>6663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6672</v>
      </c>
      <c r="C559" s="247" t="s">
        <v>6673</v>
      </c>
      <c r="D559" s="1" t="s">
        <v>6673</v>
      </c>
      <c r="E559" s="1" t="s">
        <v>329</v>
      </c>
      <c r="F559" s="1" t="s">
        <v>329</v>
      </c>
      <c r="G559" s="1" t="s">
        <v>6674</v>
      </c>
      <c r="H559" s="1" t="s">
        <v>6675</v>
      </c>
      <c r="I559" s="1" t="s">
        <v>6676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6677</v>
      </c>
      <c r="AK559" s="1" t="s">
        <v>329</v>
      </c>
      <c r="AL559" s="1">
        <v>13</v>
      </c>
      <c r="AM559" s="1" t="s">
        <v>1814</v>
      </c>
      <c r="AN559" s="1" t="s">
        <v>5736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6662</v>
      </c>
      <c r="AX559" s="1" t="s">
        <v>6678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6679</v>
      </c>
      <c r="C560" s="247" t="s">
        <v>6680</v>
      </c>
      <c r="D560" s="1" t="s">
        <v>6680</v>
      </c>
      <c r="E560" s="1" t="s">
        <v>329</v>
      </c>
      <c r="F560" s="1" t="s">
        <v>329</v>
      </c>
      <c r="G560" s="1" t="s">
        <v>6681</v>
      </c>
      <c r="H560" s="1" t="s">
        <v>6682</v>
      </c>
      <c r="I560" s="1" t="s">
        <v>6683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6684</v>
      </c>
      <c r="AK560" s="1" t="s">
        <v>6685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6662</v>
      </c>
      <c r="AX560" s="1" t="s">
        <v>6686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6687</v>
      </c>
      <c r="C561" s="247" t="s">
        <v>6688</v>
      </c>
      <c r="D561" s="1" t="s">
        <v>6688</v>
      </c>
      <c r="E561" s="1" t="s">
        <v>329</v>
      </c>
      <c r="F561" s="1" t="s">
        <v>329</v>
      </c>
      <c r="G561" s="1" t="s">
        <v>6689</v>
      </c>
      <c r="H561" s="1" t="s">
        <v>6690</v>
      </c>
      <c r="I561" s="1" t="s">
        <v>6691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6692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6662</v>
      </c>
      <c r="AX561" s="1" t="s">
        <v>6678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6693</v>
      </c>
      <c r="C562" s="247" t="s">
        <v>6694</v>
      </c>
      <c r="D562" s="1" t="s">
        <v>6694</v>
      </c>
      <c r="E562" s="1" t="s">
        <v>329</v>
      </c>
      <c r="F562" s="1" t="s">
        <v>329</v>
      </c>
      <c r="G562" s="1" t="s">
        <v>6695</v>
      </c>
      <c r="H562" s="1" t="s">
        <v>6696</v>
      </c>
      <c r="I562" s="1" t="s">
        <v>6697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6698</v>
      </c>
      <c r="AK562" s="1" t="s">
        <v>6699</v>
      </c>
      <c r="AL562" s="1">
        <v>19</v>
      </c>
      <c r="AM562" s="1" t="s">
        <v>388</v>
      </c>
      <c r="AN562" s="1" t="s">
        <v>6700</v>
      </c>
      <c r="AO562" s="1" t="s">
        <v>6701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6662</v>
      </c>
      <c r="AX562" s="1" t="s">
        <v>6678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6702</v>
      </c>
      <c r="C563" s="247" t="s">
        <v>6703</v>
      </c>
      <c r="D563" s="1" t="s">
        <v>6703</v>
      </c>
      <c r="E563" s="1" t="s">
        <v>329</v>
      </c>
      <c r="F563" s="1" t="s">
        <v>329</v>
      </c>
      <c r="G563" s="1" t="s">
        <v>6704</v>
      </c>
      <c r="H563" s="1" t="s">
        <v>6705</v>
      </c>
      <c r="I563" s="1" t="s">
        <v>6706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5801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6707</v>
      </c>
      <c r="C564" s="247" t="s">
        <v>6708</v>
      </c>
      <c r="D564" s="1" t="s">
        <v>6708</v>
      </c>
      <c r="E564" s="1" t="s">
        <v>329</v>
      </c>
      <c r="F564" s="1" t="s">
        <v>329</v>
      </c>
      <c r="G564" s="1" t="s">
        <v>6709</v>
      </c>
      <c r="H564" s="1" t="s">
        <v>6710</v>
      </c>
      <c r="I564" s="1" t="s">
        <v>6711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5801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6712</v>
      </c>
      <c r="C565" s="247" t="s">
        <v>6713</v>
      </c>
      <c r="D565" s="1" t="s">
        <v>6713</v>
      </c>
      <c r="E565" s="1" t="s">
        <v>329</v>
      </c>
      <c r="F565" s="1" t="s">
        <v>329</v>
      </c>
      <c r="G565" s="1" t="s">
        <v>6714</v>
      </c>
      <c r="H565" s="1" t="s">
        <v>6715</v>
      </c>
      <c r="I565" s="1" t="s">
        <v>6716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5801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6717</v>
      </c>
      <c r="C566" s="247" t="s">
        <v>6771</v>
      </c>
      <c r="D566" s="1" t="s">
        <v>6718</v>
      </c>
      <c r="E566" s="1" t="s">
        <v>6646</v>
      </c>
      <c r="F566" s="1" t="s">
        <v>6647</v>
      </c>
      <c r="G566" s="1" t="s">
        <v>6719</v>
      </c>
      <c r="H566" s="1" t="s">
        <v>6720</v>
      </c>
      <c r="I566" s="1" t="s">
        <v>6721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6722</v>
      </c>
      <c r="AK566" s="1" t="s">
        <v>6723</v>
      </c>
      <c r="AL566" s="1">
        <v>13</v>
      </c>
      <c r="AM566" s="1" t="s">
        <v>1814</v>
      </c>
      <c r="AN566" s="1" t="s">
        <v>4788</v>
      </c>
      <c r="AO566" s="1" t="s">
        <v>6724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6725</v>
      </c>
      <c r="C567" s="247" t="s">
        <v>6772</v>
      </c>
      <c r="D567" s="1" t="s">
        <v>6726</v>
      </c>
      <c r="E567" s="1" t="s">
        <v>6648</v>
      </c>
      <c r="F567" s="1" t="s">
        <v>6649</v>
      </c>
      <c r="G567" s="1" t="s">
        <v>6727</v>
      </c>
      <c r="H567" s="1" t="s">
        <v>6728</v>
      </c>
      <c r="I567" s="1" t="s">
        <v>6729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6730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6731</v>
      </c>
      <c r="C568" s="247" t="s">
        <v>6773</v>
      </c>
      <c r="D568" s="1" t="s">
        <v>6732</v>
      </c>
      <c r="E568" s="1" t="s">
        <v>6650</v>
      </c>
      <c r="F568" s="1" t="s">
        <v>6651</v>
      </c>
      <c r="G568" s="1" t="s">
        <v>6733</v>
      </c>
      <c r="H568" s="1" t="s">
        <v>6734</v>
      </c>
      <c r="I568" s="1" t="s">
        <v>6735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6736</v>
      </c>
      <c r="AK568" s="1" t="s">
        <v>6737</v>
      </c>
      <c r="AL568" s="1">
        <v>13</v>
      </c>
      <c r="AM568" s="1" t="s">
        <v>4770</v>
      </c>
      <c r="AN568" s="1" t="s">
        <v>5736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6738</v>
      </c>
      <c r="C569" s="247" t="s">
        <v>6775</v>
      </c>
      <c r="D569" s="1" t="s">
        <v>6739</v>
      </c>
      <c r="E569" s="1" t="s">
        <v>6652</v>
      </c>
      <c r="F569" s="1" t="s">
        <v>6653</v>
      </c>
      <c r="G569" s="1" t="s">
        <v>6740</v>
      </c>
      <c r="H569" s="1" t="s">
        <v>6741</v>
      </c>
      <c r="I569" s="1" t="s">
        <v>6742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6743</v>
      </c>
      <c r="AK569" s="1" t="s">
        <v>6744</v>
      </c>
      <c r="AL569" s="1">
        <v>13</v>
      </c>
      <c r="AM569" s="1" t="s">
        <v>4727</v>
      </c>
      <c r="AN569" s="1" t="s">
        <v>4872</v>
      </c>
      <c r="AO569" s="1" t="s">
        <v>6745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6891</v>
      </c>
      <c r="C570" s="247" t="s">
        <v>6892</v>
      </c>
      <c r="D570" s="1" t="s">
        <v>6892</v>
      </c>
      <c r="E570" s="1" t="s">
        <v>329</v>
      </c>
      <c r="F570" s="1" t="s">
        <v>329</v>
      </c>
      <c r="G570" s="1" t="s">
        <v>6893</v>
      </c>
      <c r="H570" s="1" t="s">
        <v>6894</v>
      </c>
      <c r="I570" s="1" t="s">
        <v>6895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6896</v>
      </c>
      <c r="AK570" s="1" t="s">
        <v>6897</v>
      </c>
      <c r="AL570" s="1">
        <v>18</v>
      </c>
      <c r="AM570" s="1" t="s">
        <v>1814</v>
      </c>
      <c r="AN570" s="1" t="s">
        <v>6898</v>
      </c>
      <c r="AO570" s="1" t="s">
        <v>6899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6900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6901</v>
      </c>
      <c r="C571" s="247" t="s">
        <v>6902</v>
      </c>
      <c r="D571" s="1" t="s">
        <v>6902</v>
      </c>
      <c r="E571" s="1" t="s">
        <v>329</v>
      </c>
      <c r="F571" s="1" t="s">
        <v>329</v>
      </c>
      <c r="G571" s="1" t="s">
        <v>6903</v>
      </c>
      <c r="H571" s="1" t="s">
        <v>6904</v>
      </c>
      <c r="I571" s="1" t="s">
        <v>6905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6906</v>
      </c>
      <c r="AK571" s="1" t="s">
        <v>6907</v>
      </c>
      <c r="AL571" s="1">
        <v>14</v>
      </c>
      <c r="AM571" s="1" t="s">
        <v>1814</v>
      </c>
      <c r="AN571" s="1" t="s">
        <v>6908</v>
      </c>
      <c r="AO571" s="1" t="s">
        <v>6909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6900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6910</v>
      </c>
      <c r="C572" s="247" t="s">
        <v>6911</v>
      </c>
      <c r="D572" s="1" t="s">
        <v>6912</v>
      </c>
      <c r="E572" s="1" t="s">
        <v>329</v>
      </c>
      <c r="F572" s="1" t="s">
        <v>329</v>
      </c>
      <c r="G572" s="1" t="s">
        <v>6913</v>
      </c>
      <c r="H572" s="1" t="s">
        <v>6914</v>
      </c>
      <c r="I572" s="1" t="s">
        <v>6915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6916</v>
      </c>
      <c r="AK572" s="1" t="s">
        <v>6917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6900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6918</v>
      </c>
      <c r="C573" s="247" t="s">
        <v>6919</v>
      </c>
      <c r="D573" s="1" t="s">
        <v>6920</v>
      </c>
      <c r="E573" s="1" t="s">
        <v>329</v>
      </c>
      <c r="F573" s="1" t="s">
        <v>329</v>
      </c>
      <c r="G573" s="1" t="s">
        <v>6921</v>
      </c>
      <c r="H573" s="1" t="s">
        <v>6922</v>
      </c>
      <c r="I573" s="1" t="s">
        <v>6923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6924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6900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6987</v>
      </c>
      <c r="C574" s="247" t="s">
        <v>6988</v>
      </c>
      <c r="D574" s="1" t="s">
        <v>6988</v>
      </c>
      <c r="E574" s="1" t="s">
        <v>329</v>
      </c>
      <c r="F574" s="1" t="s">
        <v>329</v>
      </c>
      <c r="G574" s="1" t="s">
        <v>6989</v>
      </c>
      <c r="H574" s="1" t="s">
        <v>6990</v>
      </c>
      <c r="I574" s="1" t="s">
        <v>6991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6992</v>
      </c>
      <c r="AK574" s="1" t="s">
        <v>6993</v>
      </c>
      <c r="AL574" s="1">
        <v>13</v>
      </c>
      <c r="AM574" s="1" t="s">
        <v>1814</v>
      </c>
      <c r="AN574" s="1" t="s">
        <v>6994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6995</v>
      </c>
      <c r="AX574" s="1" t="s">
        <v>6996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6997</v>
      </c>
      <c r="C575" s="247" t="s">
        <v>6998</v>
      </c>
      <c r="D575" s="1" t="s">
        <v>6998</v>
      </c>
      <c r="E575" s="1" t="s">
        <v>329</v>
      </c>
      <c r="F575" s="1" t="s">
        <v>329</v>
      </c>
      <c r="G575" s="1" t="s">
        <v>6999</v>
      </c>
      <c r="H575" s="1" t="s">
        <v>7000</v>
      </c>
      <c r="I575" s="1" t="s">
        <v>7001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7002</v>
      </c>
      <c r="AK575" s="1" t="s">
        <v>329</v>
      </c>
      <c r="AL575" s="1">
        <v>12</v>
      </c>
      <c r="AM575" s="1" t="s">
        <v>1814</v>
      </c>
      <c r="AN575" s="1" t="s">
        <v>7003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6995</v>
      </c>
      <c r="AX575" s="1" t="s">
        <v>6996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7004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7005</v>
      </c>
      <c r="H576" s="1" t="s">
        <v>7006</v>
      </c>
      <c r="I576" s="1" t="s">
        <v>7007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7008</v>
      </c>
      <c r="AK576" s="1" t="s">
        <v>7009</v>
      </c>
      <c r="AL576" s="1">
        <v>18</v>
      </c>
      <c r="AM576" s="1" t="s">
        <v>1814</v>
      </c>
      <c r="AN576" s="1" t="s">
        <v>7010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6995</v>
      </c>
      <c r="AX576" s="1" t="s">
        <v>7011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7012</v>
      </c>
      <c r="C577" s="247" t="s">
        <v>7013</v>
      </c>
      <c r="D577" s="1" t="s">
        <v>7013</v>
      </c>
      <c r="E577" s="1" t="s">
        <v>329</v>
      </c>
      <c r="F577" s="1" t="s">
        <v>329</v>
      </c>
      <c r="G577" s="1" t="s">
        <v>7014</v>
      </c>
      <c r="H577" s="1" t="s">
        <v>7015</v>
      </c>
      <c r="I577" s="1" t="s">
        <v>7016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7017</v>
      </c>
      <c r="AK577" s="1" t="s">
        <v>7018</v>
      </c>
      <c r="AL577" s="1">
        <v>19</v>
      </c>
      <c r="AM577" s="1" t="s">
        <v>1814</v>
      </c>
      <c r="AN577" s="1" t="s">
        <v>7019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6995</v>
      </c>
      <c r="AX577" s="1" t="s">
        <v>7020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7021</v>
      </c>
      <c r="C578" s="247" t="s">
        <v>7022</v>
      </c>
      <c r="D578" s="1" t="s">
        <v>7022</v>
      </c>
      <c r="E578" s="1" t="s">
        <v>329</v>
      </c>
      <c r="F578" s="1" t="s">
        <v>329</v>
      </c>
      <c r="G578" s="1" t="s">
        <v>7023</v>
      </c>
      <c r="H578" s="1" t="s">
        <v>7024</v>
      </c>
      <c r="I578" s="1" t="s">
        <v>7025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7026</v>
      </c>
      <c r="AK578" s="1" t="s">
        <v>329</v>
      </c>
      <c r="AL578" s="1">
        <v>17</v>
      </c>
      <c r="AM578" s="1" t="s">
        <v>1814</v>
      </c>
      <c r="AN578" s="1" t="s">
        <v>7027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6995</v>
      </c>
      <c r="AX578" s="1" t="s">
        <v>7020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7028</v>
      </c>
      <c r="C579" s="247" t="s">
        <v>7029</v>
      </c>
      <c r="D579" s="1" t="s">
        <v>7029</v>
      </c>
      <c r="E579" s="1" t="s">
        <v>329</v>
      </c>
      <c r="F579" s="1" t="s">
        <v>329</v>
      </c>
      <c r="G579" s="1" t="s">
        <v>7030</v>
      </c>
      <c r="H579" s="1" t="s">
        <v>7031</v>
      </c>
      <c r="I579" s="1" t="s">
        <v>7032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7033</v>
      </c>
      <c r="AK579" s="1" t="s">
        <v>7034</v>
      </c>
      <c r="AL579" s="1">
        <v>14</v>
      </c>
      <c r="AM579" s="1" t="s">
        <v>1814</v>
      </c>
      <c r="AN579" s="1" t="s">
        <v>7035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6985</v>
      </c>
      <c r="AT579" s="1" t="s">
        <v>329</v>
      </c>
      <c r="AU579" s="1">
        <v>1040</v>
      </c>
      <c r="AV579" s="1">
        <v>1</v>
      </c>
      <c r="AW579" s="1" t="s">
        <v>6995</v>
      </c>
      <c r="AX579" s="1" t="s">
        <v>6996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7036</v>
      </c>
      <c r="C580" s="247" t="s">
        <v>7037</v>
      </c>
      <c r="D580" s="1" t="s">
        <v>7037</v>
      </c>
      <c r="E580" s="1" t="s">
        <v>329</v>
      </c>
      <c r="F580" s="1" t="s">
        <v>329</v>
      </c>
      <c r="G580" s="1" t="s">
        <v>7038</v>
      </c>
      <c r="H580" s="1" t="s">
        <v>7039</v>
      </c>
      <c r="I580" s="1" t="s">
        <v>7040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7041</v>
      </c>
      <c r="AK580" s="1" t="s">
        <v>329</v>
      </c>
      <c r="AL580" s="1">
        <v>8</v>
      </c>
      <c r="AM580" s="1" t="s">
        <v>1814</v>
      </c>
      <c r="AN580" s="1" t="s">
        <v>7042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6986</v>
      </c>
      <c r="AT580" s="1" t="s">
        <v>329</v>
      </c>
      <c r="AU580" s="1">
        <v>1041</v>
      </c>
      <c r="AV580" s="1">
        <v>1</v>
      </c>
      <c r="AW580" s="1" t="s">
        <v>6995</v>
      </c>
      <c r="AX580" s="1" t="s">
        <v>7011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7043</v>
      </c>
      <c r="C581" s="247" t="s">
        <v>7102</v>
      </c>
      <c r="D581" s="1" t="s">
        <v>7037</v>
      </c>
      <c r="E581" s="1" t="s">
        <v>329</v>
      </c>
      <c r="F581" s="1" t="s">
        <v>329</v>
      </c>
      <c r="G581" s="1" t="s">
        <v>7044</v>
      </c>
      <c r="H581" s="1" t="s">
        <v>7045</v>
      </c>
      <c r="I581" s="1" t="s">
        <v>7046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7047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5801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7048</v>
      </c>
      <c r="C582" s="247" t="s">
        <v>7049</v>
      </c>
      <c r="D582" s="1" t="s">
        <v>7049</v>
      </c>
      <c r="E582" s="1" t="s">
        <v>329</v>
      </c>
      <c r="F582" s="1" t="s">
        <v>329</v>
      </c>
      <c r="G582" s="1" t="s">
        <v>7050</v>
      </c>
      <c r="H582" s="1" t="s">
        <v>7051</v>
      </c>
      <c r="I582" s="1" t="s">
        <v>7052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5801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7053</v>
      </c>
      <c r="C583" s="247" t="s">
        <v>7103</v>
      </c>
      <c r="D583" s="1" t="s">
        <v>6988</v>
      </c>
      <c r="E583" s="1" t="s">
        <v>329</v>
      </c>
      <c r="F583" s="1" t="s">
        <v>329</v>
      </c>
      <c r="G583" s="1" t="s">
        <v>7054</v>
      </c>
      <c r="H583" s="1" t="s">
        <v>7055</v>
      </c>
      <c r="I583" s="1" t="s">
        <v>7056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7057</v>
      </c>
      <c r="AK583" s="1" t="s">
        <v>329</v>
      </c>
      <c r="AL583" s="1">
        <v>17</v>
      </c>
      <c r="AM583" s="1" t="s">
        <v>1814</v>
      </c>
      <c r="AN583" s="1" t="s">
        <v>7058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5801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7059</v>
      </c>
      <c r="C584" s="247" t="s">
        <v>7104</v>
      </c>
      <c r="D584" s="1" t="s">
        <v>236</v>
      </c>
      <c r="E584" s="1" t="s">
        <v>329</v>
      </c>
      <c r="F584" s="1" t="s">
        <v>329</v>
      </c>
      <c r="G584" s="1" t="s">
        <v>7060</v>
      </c>
      <c r="H584" s="1" t="s">
        <v>7061</v>
      </c>
      <c r="I584" s="1" t="s">
        <v>7062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7063</v>
      </c>
      <c r="AK584" s="1" t="s">
        <v>329</v>
      </c>
      <c r="AL584" s="1">
        <v>19</v>
      </c>
      <c r="AM584" s="1" t="s">
        <v>1814</v>
      </c>
      <c r="AN584" s="1" t="s">
        <v>7064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5801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7065</v>
      </c>
      <c r="C585" s="247" t="s">
        <v>7066</v>
      </c>
      <c r="D585" s="1" t="s">
        <v>7066</v>
      </c>
      <c r="E585" s="1" t="s">
        <v>329</v>
      </c>
      <c r="F585" s="1" t="s">
        <v>329</v>
      </c>
      <c r="G585" s="1" t="s">
        <v>7067</v>
      </c>
      <c r="H585" s="1" t="s">
        <v>7068</v>
      </c>
      <c r="I585" s="1" t="s">
        <v>7069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5801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7124</v>
      </c>
      <c r="C586" s="247" t="s">
        <v>7125</v>
      </c>
      <c r="D586" s="1" t="s">
        <v>7125</v>
      </c>
      <c r="E586" s="1" t="s">
        <v>329</v>
      </c>
      <c r="F586" s="1" t="s">
        <v>329</v>
      </c>
      <c r="G586" s="1" t="s">
        <v>7126</v>
      </c>
      <c r="H586" s="1" t="s">
        <v>7127</v>
      </c>
      <c r="I586" s="1" t="s">
        <v>7128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7129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7130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7131</v>
      </c>
      <c r="C587" s="247" t="s">
        <v>7132</v>
      </c>
      <c r="D587" s="1" t="s">
        <v>7132</v>
      </c>
      <c r="E587" s="1" t="s">
        <v>329</v>
      </c>
      <c r="F587" s="1" t="s">
        <v>329</v>
      </c>
      <c r="G587" s="1" t="s">
        <v>7133</v>
      </c>
      <c r="H587" s="1" t="s">
        <v>7134</v>
      </c>
      <c r="I587" s="1" t="s">
        <v>7135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7136</v>
      </c>
      <c r="AK587" s="1" t="s">
        <v>7137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7130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7138</v>
      </c>
      <c r="C588" s="247" t="s">
        <v>7139</v>
      </c>
      <c r="D588" s="1" t="s">
        <v>7139</v>
      </c>
      <c r="E588" s="1" t="s">
        <v>329</v>
      </c>
      <c r="F588" s="1" t="s">
        <v>329</v>
      </c>
      <c r="G588" s="1" t="s">
        <v>7140</v>
      </c>
      <c r="H588" s="1" t="s">
        <v>7141</v>
      </c>
      <c r="I588" s="1" t="s">
        <v>7142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7143</v>
      </c>
      <c r="AK588" s="1" t="s">
        <v>329</v>
      </c>
      <c r="AL588" s="1">
        <v>17</v>
      </c>
      <c r="AM588" s="1" t="s">
        <v>4770</v>
      </c>
      <c r="AN588" s="1" t="s">
        <v>7144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7130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7145</v>
      </c>
      <c r="C589" s="247" t="s">
        <v>7146</v>
      </c>
      <c r="D589" s="1" t="s">
        <v>7146</v>
      </c>
      <c r="E589" s="1" t="s">
        <v>329</v>
      </c>
      <c r="F589" s="1" t="s">
        <v>329</v>
      </c>
      <c r="G589" s="1" t="s">
        <v>7147</v>
      </c>
      <c r="H589" s="1" t="s">
        <v>7148</v>
      </c>
      <c r="I589" s="1" t="s">
        <v>7149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7150</v>
      </c>
      <c r="AK589" s="1" t="s">
        <v>7151</v>
      </c>
      <c r="AL589" s="1">
        <v>12</v>
      </c>
      <c r="AM589" s="1" t="s">
        <v>399</v>
      </c>
      <c r="AN589" s="1" t="s">
        <v>7152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7130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7160</v>
      </c>
      <c r="C590" s="248" t="s">
        <v>7161</v>
      </c>
      <c r="D590" t="s">
        <v>7161</v>
      </c>
      <c r="E590" t="s">
        <v>7153</v>
      </c>
      <c r="F590" t="s">
        <v>7154</v>
      </c>
      <c r="G590" t="s">
        <v>7162</v>
      </c>
      <c r="H590" t="s">
        <v>7163</v>
      </c>
      <c r="I590" t="s">
        <v>7164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7165</v>
      </c>
      <c r="AK590" t="s">
        <v>329</v>
      </c>
      <c r="AL590">
        <v>19</v>
      </c>
      <c r="AM590" t="s">
        <v>4866</v>
      </c>
      <c r="AN590" t="s">
        <v>5212</v>
      </c>
      <c r="AO590" t="s">
        <v>7166</v>
      </c>
      <c r="AP590">
        <v>0</v>
      </c>
      <c r="AQ590" t="s">
        <v>1174</v>
      </c>
      <c r="AR590" t="s">
        <v>4919</v>
      </c>
      <c r="AS590" t="s">
        <v>7155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7167</v>
      </c>
      <c r="C591" s="248" t="s">
        <v>7168</v>
      </c>
      <c r="D591" t="s">
        <v>7168</v>
      </c>
      <c r="E591" t="s">
        <v>7156</v>
      </c>
      <c r="F591" t="s">
        <v>7157</v>
      </c>
      <c r="G591" t="s">
        <v>7169</v>
      </c>
      <c r="H591" t="s">
        <v>7170</v>
      </c>
      <c r="I591" t="s">
        <v>7171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7172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7173</v>
      </c>
      <c r="C592" s="248" t="s">
        <v>7212</v>
      </c>
      <c r="D592" t="s">
        <v>7174</v>
      </c>
      <c r="E592" t="s">
        <v>7158</v>
      </c>
      <c r="F592" t="s">
        <v>7159</v>
      </c>
      <c r="G592" t="s">
        <v>7175</v>
      </c>
      <c r="H592" t="s">
        <v>7176</v>
      </c>
      <c r="I592" t="s">
        <v>7177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7178</v>
      </c>
      <c r="AK592" t="s">
        <v>7179</v>
      </c>
      <c r="AL592">
        <v>14</v>
      </c>
      <c r="AM592" t="s">
        <v>4798</v>
      </c>
      <c r="AN592" t="s">
        <v>7180</v>
      </c>
      <c r="AO592" t="s">
        <v>7181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7182</v>
      </c>
      <c r="C593" s="248" t="s">
        <v>7183</v>
      </c>
      <c r="D593" t="s">
        <v>7183</v>
      </c>
      <c r="E593" t="s">
        <v>329</v>
      </c>
      <c r="F593" t="s">
        <v>329</v>
      </c>
      <c r="G593" t="s">
        <v>7184</v>
      </c>
      <c r="H593" t="s">
        <v>7185</v>
      </c>
      <c r="I593" t="s">
        <v>7186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7187</v>
      </c>
      <c r="AL593">
        <v>8</v>
      </c>
      <c r="AM593" t="s">
        <v>336</v>
      </c>
      <c r="AN593" t="s">
        <v>4736</v>
      </c>
      <c r="AO593" t="s">
        <v>7188</v>
      </c>
      <c r="AP593">
        <v>0</v>
      </c>
      <c r="AQ593" t="s">
        <v>5075</v>
      </c>
      <c r="AR593" t="s">
        <v>1208</v>
      </c>
      <c r="AS593" t="s">
        <v>6986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7213</v>
      </c>
      <c r="C594" s="248" t="s">
        <v>7214</v>
      </c>
      <c r="D594" t="s">
        <v>7214</v>
      </c>
      <c r="E594" t="s">
        <v>329</v>
      </c>
      <c r="F594" t="s">
        <v>329</v>
      </c>
      <c r="G594" t="s">
        <v>7215</v>
      </c>
      <c r="H594" t="s">
        <v>7216</v>
      </c>
      <c r="I594" t="s">
        <v>7217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7218</v>
      </c>
      <c r="AK594" t="s">
        <v>329</v>
      </c>
      <c r="AL594">
        <v>13</v>
      </c>
      <c r="AM594" t="s">
        <v>1814</v>
      </c>
      <c r="AN594" t="s">
        <v>5406</v>
      </c>
      <c r="AO594" t="s">
        <v>7219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7220</v>
      </c>
      <c r="AX594" t="s">
        <v>7221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7222</v>
      </c>
      <c r="C595" s="248" t="s">
        <v>7223</v>
      </c>
      <c r="D595" t="s">
        <v>7223</v>
      </c>
      <c r="E595" t="s">
        <v>329</v>
      </c>
      <c r="F595" t="s">
        <v>329</v>
      </c>
      <c r="G595" t="s">
        <v>7224</v>
      </c>
      <c r="H595" t="s">
        <v>7225</v>
      </c>
      <c r="I595" t="s">
        <v>7226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7227</v>
      </c>
      <c r="AK595" t="s">
        <v>7228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7220</v>
      </c>
      <c r="AX595" t="s">
        <v>7229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7230</v>
      </c>
      <c r="C596" s="248" t="s">
        <v>7231</v>
      </c>
      <c r="D596" t="s">
        <v>7231</v>
      </c>
      <c r="E596" t="s">
        <v>329</v>
      </c>
      <c r="F596" t="s">
        <v>329</v>
      </c>
      <c r="G596" t="s">
        <v>7232</v>
      </c>
      <c r="H596" t="s">
        <v>7233</v>
      </c>
      <c r="I596" t="s">
        <v>7234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7235</v>
      </c>
      <c r="AK596" t="s">
        <v>7236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7220</v>
      </c>
      <c r="AX596" t="s">
        <v>7237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7238</v>
      </c>
      <c r="C597" s="248" t="s">
        <v>7239</v>
      </c>
      <c r="D597" t="s">
        <v>7239</v>
      </c>
      <c r="E597" t="s">
        <v>329</v>
      </c>
      <c r="F597" t="s">
        <v>329</v>
      </c>
      <c r="G597" t="s">
        <v>7240</v>
      </c>
      <c r="H597" t="s">
        <v>7241</v>
      </c>
      <c r="I597" t="s">
        <v>7242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7243</v>
      </c>
      <c r="AK597" t="s">
        <v>329</v>
      </c>
      <c r="AL597">
        <v>17</v>
      </c>
      <c r="AM597" t="s">
        <v>4866</v>
      </c>
      <c r="AN597" t="s">
        <v>7244</v>
      </c>
      <c r="AO597" t="s">
        <v>5163</v>
      </c>
      <c r="AP597">
        <v>0</v>
      </c>
      <c r="AQ597" t="s">
        <v>7245</v>
      </c>
      <c r="AR597" t="s">
        <v>5967</v>
      </c>
      <c r="AS597" t="s">
        <v>7246</v>
      </c>
      <c r="AT597" t="s">
        <v>329</v>
      </c>
      <c r="AU597">
        <v>238</v>
      </c>
      <c r="AV597">
        <v>0</v>
      </c>
      <c r="AW597" t="s">
        <v>7220</v>
      </c>
      <c r="AX597" t="s">
        <v>7237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7247</v>
      </c>
      <c r="C598" s="248" t="s">
        <v>7248</v>
      </c>
      <c r="D598" t="s">
        <v>7248</v>
      </c>
      <c r="E598" t="s">
        <v>329</v>
      </c>
      <c r="F598" t="s">
        <v>329</v>
      </c>
      <c r="G598" t="s">
        <v>7249</v>
      </c>
      <c r="H598" t="s">
        <v>7250</v>
      </c>
      <c r="I598" t="s">
        <v>7251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7252</v>
      </c>
      <c r="AK598" t="s">
        <v>7253</v>
      </c>
      <c r="AL598">
        <v>7</v>
      </c>
      <c r="AM598" t="s">
        <v>388</v>
      </c>
      <c r="AN598" t="s">
        <v>7254</v>
      </c>
      <c r="AO598" t="s">
        <v>4918</v>
      </c>
      <c r="AP598">
        <v>0</v>
      </c>
      <c r="AQ598" t="s">
        <v>1207</v>
      </c>
      <c r="AR598" t="s">
        <v>1208</v>
      </c>
      <c r="AS598" t="s">
        <v>6986</v>
      </c>
      <c r="AT598" t="s">
        <v>329</v>
      </c>
      <c r="AU598">
        <v>229</v>
      </c>
      <c r="AV598">
        <v>0</v>
      </c>
      <c r="AW598" t="s">
        <v>7220</v>
      </c>
      <c r="AX598" t="s">
        <v>7221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7255</v>
      </c>
      <c r="C599" s="248" t="s">
        <v>6132</v>
      </c>
      <c r="D599" t="s">
        <v>6132</v>
      </c>
      <c r="E599" t="s">
        <v>329</v>
      </c>
      <c r="F599" t="s">
        <v>329</v>
      </c>
      <c r="G599" t="s">
        <v>7256</v>
      </c>
      <c r="H599" t="s">
        <v>7257</v>
      </c>
      <c r="I599" t="s">
        <v>7258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5801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7259</v>
      </c>
      <c r="C600" s="248" t="s">
        <v>7260</v>
      </c>
      <c r="D600" t="s">
        <v>7261</v>
      </c>
      <c r="E600" t="s">
        <v>329</v>
      </c>
      <c r="F600" t="s">
        <v>329</v>
      </c>
      <c r="G600" t="s">
        <v>7262</v>
      </c>
      <c r="H600" t="s">
        <v>7263</v>
      </c>
      <c r="I600" t="s">
        <v>7264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5801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7265</v>
      </c>
      <c r="C601" s="248" t="s">
        <v>7266</v>
      </c>
      <c r="D601" t="s">
        <v>7267</v>
      </c>
      <c r="E601" t="s">
        <v>329</v>
      </c>
      <c r="F601" t="s">
        <v>329</v>
      </c>
      <c r="G601" t="s">
        <v>7268</v>
      </c>
      <c r="H601" t="s">
        <v>7269</v>
      </c>
      <c r="I601" t="s">
        <v>7270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5801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7271</v>
      </c>
      <c r="C602" s="248" t="s">
        <v>7272</v>
      </c>
      <c r="D602" t="s">
        <v>7273</v>
      </c>
      <c r="E602" t="s">
        <v>329</v>
      </c>
      <c r="F602" t="s">
        <v>329</v>
      </c>
      <c r="G602" t="s">
        <v>7274</v>
      </c>
      <c r="H602" t="s">
        <v>7275</v>
      </c>
      <c r="I602" t="s">
        <v>7276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5801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7277</v>
      </c>
      <c r="C603" s="248" t="s">
        <v>7278</v>
      </c>
      <c r="D603" t="s">
        <v>7279</v>
      </c>
      <c r="E603" t="s">
        <v>329</v>
      </c>
      <c r="F603" t="s">
        <v>329</v>
      </c>
      <c r="G603" t="s">
        <v>7280</v>
      </c>
      <c r="H603" t="s">
        <v>7281</v>
      </c>
      <c r="I603" t="s">
        <v>7282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5801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7283</v>
      </c>
      <c r="C604" s="248" t="s">
        <v>7284</v>
      </c>
      <c r="D604" t="s">
        <v>7285</v>
      </c>
      <c r="E604" t="s">
        <v>329</v>
      </c>
      <c r="F604" t="s">
        <v>329</v>
      </c>
      <c r="G604" t="s">
        <v>7286</v>
      </c>
      <c r="H604" t="s">
        <v>7287</v>
      </c>
      <c r="I604" t="s">
        <v>7288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5801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7289</v>
      </c>
      <c r="C605" s="248" t="s">
        <v>7290</v>
      </c>
      <c r="D605" t="s">
        <v>7291</v>
      </c>
      <c r="E605" t="s">
        <v>329</v>
      </c>
      <c r="F605" t="s">
        <v>329</v>
      </c>
      <c r="G605" t="s">
        <v>7292</v>
      </c>
      <c r="H605" t="s">
        <v>7293</v>
      </c>
      <c r="I605" t="s">
        <v>7294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5801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7295</v>
      </c>
      <c r="C606" s="248" t="s">
        <v>7296</v>
      </c>
      <c r="D606" t="s">
        <v>7296</v>
      </c>
      <c r="E606" t="s">
        <v>329</v>
      </c>
      <c r="F606" t="s">
        <v>329</v>
      </c>
      <c r="G606" t="s">
        <v>7297</v>
      </c>
      <c r="H606" t="s">
        <v>7298</v>
      </c>
      <c r="I606" t="s">
        <v>7299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5801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  <row r="607" spans="1:57" x14ac:dyDescent="0.25">
      <c r="A607">
        <v>388</v>
      </c>
      <c r="B607" t="s">
        <v>8021</v>
      </c>
      <c r="C607" s="248" t="s">
        <v>8022</v>
      </c>
      <c r="D607" t="s">
        <v>8022</v>
      </c>
      <c r="E607" t="s">
        <v>329</v>
      </c>
      <c r="F607" t="s">
        <v>329</v>
      </c>
      <c r="G607" t="s">
        <v>8023</v>
      </c>
      <c r="H607" t="s">
        <v>8024</v>
      </c>
      <c r="I607" t="s">
        <v>8025</v>
      </c>
      <c r="J607">
        <v>3</v>
      </c>
      <c r="K607">
        <v>5</v>
      </c>
      <c r="L607">
        <v>17760</v>
      </c>
      <c r="M607">
        <v>15</v>
      </c>
      <c r="N607">
        <v>30</v>
      </c>
      <c r="O607">
        <v>10</v>
      </c>
      <c r="P607">
        <v>15</v>
      </c>
      <c r="Q607">
        <v>5</v>
      </c>
      <c r="R607">
        <v>2</v>
      </c>
      <c r="S607">
        <v>5</v>
      </c>
      <c r="T607">
        <v>0</v>
      </c>
      <c r="U607">
        <v>110</v>
      </c>
      <c r="V607">
        <v>115</v>
      </c>
      <c r="W607">
        <v>110</v>
      </c>
      <c r="X607">
        <v>100</v>
      </c>
      <c r="Y607">
        <v>120</v>
      </c>
      <c r="Z607">
        <v>110</v>
      </c>
      <c r="AA607">
        <v>0</v>
      </c>
      <c r="AB607">
        <v>15</v>
      </c>
      <c r="AC607">
        <v>40</v>
      </c>
      <c r="AD607">
        <v>0</v>
      </c>
      <c r="AE607">
        <v>115</v>
      </c>
      <c r="AF607">
        <v>100</v>
      </c>
      <c r="AG607">
        <v>750801</v>
      </c>
      <c r="AH607">
        <v>0</v>
      </c>
      <c r="AI607">
        <v>300104</v>
      </c>
      <c r="AJ607" t="s">
        <v>8026</v>
      </c>
      <c r="AK607" t="s">
        <v>8027</v>
      </c>
      <c r="AL607">
        <v>13</v>
      </c>
      <c r="AM607" t="s">
        <v>1814</v>
      </c>
      <c r="AN607" t="s">
        <v>8028</v>
      </c>
      <c r="AO607" t="s">
        <v>8029</v>
      </c>
      <c r="AP607">
        <v>0</v>
      </c>
      <c r="AQ607" t="s">
        <v>1199</v>
      </c>
      <c r="AR607" t="s">
        <v>1148</v>
      </c>
      <c r="AS607" t="s">
        <v>1149</v>
      </c>
      <c r="AT607" t="s">
        <v>329</v>
      </c>
      <c r="AU607">
        <v>241</v>
      </c>
      <c r="AV607">
        <v>0</v>
      </c>
      <c r="AW607" t="s">
        <v>8030</v>
      </c>
      <c r="AX607" t="s">
        <v>332</v>
      </c>
      <c r="AY607">
        <v>5</v>
      </c>
      <c r="AZ607">
        <v>0</v>
      </c>
      <c r="BA607" t="s">
        <v>329</v>
      </c>
      <c r="BB607" t="s">
        <v>329</v>
      </c>
      <c r="BC607" t="s">
        <v>4791</v>
      </c>
      <c r="BD607">
        <v>10201</v>
      </c>
      <c r="BE607">
        <v>0</v>
      </c>
    </row>
    <row r="608" spans="1:57" x14ac:dyDescent="0.25">
      <c r="A608">
        <v>389</v>
      </c>
      <c r="B608" t="s">
        <v>8031</v>
      </c>
      <c r="C608" s="248" t="s">
        <v>8032</v>
      </c>
      <c r="D608" t="s">
        <v>8033</v>
      </c>
      <c r="E608" t="s">
        <v>329</v>
      </c>
      <c r="F608" t="s">
        <v>329</v>
      </c>
      <c r="G608" t="s">
        <v>8034</v>
      </c>
      <c r="H608" t="s">
        <v>8035</v>
      </c>
      <c r="I608" t="s">
        <v>8036</v>
      </c>
      <c r="J608">
        <v>3</v>
      </c>
      <c r="K608">
        <v>5</v>
      </c>
      <c r="L608">
        <v>17880</v>
      </c>
      <c r="M608">
        <v>15</v>
      </c>
      <c r="N608">
        <v>30</v>
      </c>
      <c r="O608">
        <v>10</v>
      </c>
      <c r="P608">
        <v>15</v>
      </c>
      <c r="Q608">
        <v>5</v>
      </c>
      <c r="R608">
        <v>2</v>
      </c>
      <c r="S608">
        <v>5</v>
      </c>
      <c r="T608">
        <v>0</v>
      </c>
      <c r="U608">
        <v>90</v>
      </c>
      <c r="V608">
        <v>140</v>
      </c>
      <c r="W608">
        <v>85</v>
      </c>
      <c r="X608">
        <v>100</v>
      </c>
      <c r="Y608">
        <v>125</v>
      </c>
      <c r="Z608">
        <v>80</v>
      </c>
      <c r="AA608">
        <v>0</v>
      </c>
      <c r="AB608">
        <v>15</v>
      </c>
      <c r="AC608">
        <v>40</v>
      </c>
      <c r="AD608">
        <v>0</v>
      </c>
      <c r="AE608">
        <v>132</v>
      </c>
      <c r="AF608">
        <v>100</v>
      </c>
      <c r="AG608">
        <v>750799</v>
      </c>
      <c r="AH608">
        <v>0</v>
      </c>
      <c r="AI608">
        <v>750802</v>
      </c>
      <c r="AJ608" t="s">
        <v>8037</v>
      </c>
      <c r="AK608" t="s">
        <v>8038</v>
      </c>
      <c r="AL608">
        <v>14</v>
      </c>
      <c r="AM608" t="s">
        <v>4770</v>
      </c>
      <c r="AN608" t="s">
        <v>8039</v>
      </c>
      <c r="AO608" t="s">
        <v>4853</v>
      </c>
      <c r="AP608">
        <v>0</v>
      </c>
      <c r="AQ608" t="s">
        <v>1147</v>
      </c>
      <c r="AR608" t="s">
        <v>1148</v>
      </c>
      <c r="AS608" t="s">
        <v>1149</v>
      </c>
      <c r="AT608" t="s">
        <v>329</v>
      </c>
      <c r="AU608">
        <v>241</v>
      </c>
      <c r="AV608">
        <v>0</v>
      </c>
      <c r="AW608" t="s">
        <v>8030</v>
      </c>
      <c r="AX608" t="s">
        <v>332</v>
      </c>
      <c r="AY608">
        <v>5</v>
      </c>
      <c r="AZ608">
        <v>0</v>
      </c>
      <c r="BA608" t="s">
        <v>329</v>
      </c>
      <c r="BB608" t="s">
        <v>329</v>
      </c>
      <c r="BC608" t="s">
        <v>329</v>
      </c>
      <c r="BD608">
        <v>10202</v>
      </c>
      <c r="BE608">
        <v>0</v>
      </c>
    </row>
    <row r="609" spans="1:57" x14ac:dyDescent="0.25">
      <c r="A609">
        <v>390</v>
      </c>
      <c r="B609" t="s">
        <v>8040</v>
      </c>
      <c r="C609" s="248" t="s">
        <v>8041</v>
      </c>
      <c r="D609" t="s">
        <v>8041</v>
      </c>
      <c r="E609" t="s">
        <v>329</v>
      </c>
      <c r="F609" t="s">
        <v>329</v>
      </c>
      <c r="G609" t="s">
        <v>8042</v>
      </c>
      <c r="H609" t="s">
        <v>8043</v>
      </c>
      <c r="I609" t="s">
        <v>8044</v>
      </c>
      <c r="J609">
        <v>4</v>
      </c>
      <c r="K609">
        <v>5</v>
      </c>
      <c r="L609">
        <v>16380</v>
      </c>
      <c r="M609">
        <v>20</v>
      </c>
      <c r="N609">
        <v>20</v>
      </c>
      <c r="O609">
        <v>10</v>
      </c>
      <c r="P609">
        <v>10</v>
      </c>
      <c r="Q609">
        <v>2</v>
      </c>
      <c r="R609">
        <v>5</v>
      </c>
      <c r="S609">
        <v>5</v>
      </c>
      <c r="T609">
        <v>0</v>
      </c>
      <c r="U609">
        <v>112</v>
      </c>
      <c r="V609">
        <v>112</v>
      </c>
      <c r="W609">
        <v>118</v>
      </c>
      <c r="X609">
        <v>100</v>
      </c>
      <c r="Y609">
        <v>110</v>
      </c>
      <c r="Z609">
        <v>110</v>
      </c>
      <c r="AA609">
        <v>0</v>
      </c>
      <c r="AB609">
        <v>15</v>
      </c>
      <c r="AC609">
        <v>20</v>
      </c>
      <c r="AD609">
        <v>0</v>
      </c>
      <c r="AE609">
        <v>118</v>
      </c>
      <c r="AF609">
        <v>100</v>
      </c>
      <c r="AG609">
        <v>750800</v>
      </c>
      <c r="AH609">
        <v>0</v>
      </c>
      <c r="AI609">
        <v>750830</v>
      </c>
      <c r="AJ609" t="s">
        <v>8045</v>
      </c>
      <c r="AK609" t="s">
        <v>8046</v>
      </c>
      <c r="AL609">
        <v>13</v>
      </c>
      <c r="AM609" t="s">
        <v>4727</v>
      </c>
      <c r="AN609" t="s">
        <v>4872</v>
      </c>
      <c r="AO609" t="s">
        <v>5721</v>
      </c>
      <c r="AP609">
        <v>0</v>
      </c>
      <c r="AQ609" t="s">
        <v>1137</v>
      </c>
      <c r="AR609" t="s">
        <v>1161</v>
      </c>
      <c r="AS609" t="s">
        <v>1136</v>
      </c>
      <c r="AT609" t="s">
        <v>329</v>
      </c>
      <c r="AU609">
        <v>48</v>
      </c>
      <c r="AV609">
        <v>0</v>
      </c>
      <c r="AW609" t="s">
        <v>8030</v>
      </c>
      <c r="AX609" t="s">
        <v>332</v>
      </c>
      <c r="AY609">
        <v>5</v>
      </c>
      <c r="AZ609">
        <v>0</v>
      </c>
      <c r="BA609" t="s">
        <v>329</v>
      </c>
      <c r="BB609" t="s">
        <v>329</v>
      </c>
      <c r="BC609" t="s">
        <v>4777</v>
      </c>
      <c r="BD609">
        <v>10301</v>
      </c>
      <c r="BE609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2"/>
  <sheetViews>
    <sheetView workbookViewId="0">
      <pane ySplit="1" topLeftCell="A16" activePane="bottomLeft" state="frozen"/>
      <selection activeCell="AG316" sqref="AG316"/>
      <selection pane="bottomLeft" activeCell="F47" sqref="A1:BI5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6463</v>
      </c>
      <c r="C6" t="s">
        <v>6464</v>
      </c>
      <c r="D6" t="s">
        <v>6465</v>
      </c>
      <c r="E6" t="s">
        <v>6466</v>
      </c>
      <c r="G6" t="s">
        <v>4493</v>
      </c>
      <c r="H6" t="s">
        <v>6467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6468</v>
      </c>
      <c r="X6" t="s">
        <v>6469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6470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5661</v>
      </c>
      <c r="C8" t="s">
        <v>5662</v>
      </c>
      <c r="D8" t="s">
        <v>5662</v>
      </c>
      <c r="E8" t="s">
        <v>5663</v>
      </c>
      <c r="G8" t="s">
        <v>4493</v>
      </c>
      <c r="H8" t="s">
        <v>5664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5665</v>
      </c>
      <c r="X8" t="s">
        <v>5666</v>
      </c>
      <c r="Y8" t="s">
        <v>5667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5668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6799</v>
      </c>
      <c r="C11" t="s">
        <v>6800</v>
      </c>
      <c r="D11" t="s">
        <v>6800</v>
      </c>
      <c r="E11" t="s">
        <v>6801</v>
      </c>
      <c r="F11" t="s">
        <v>6798</v>
      </c>
      <c r="G11" t="s">
        <v>4493</v>
      </c>
      <c r="H11" t="s">
        <v>6802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6803</v>
      </c>
      <c r="X11" t="s">
        <v>6804</v>
      </c>
      <c r="Y11" t="s">
        <v>6805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6806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6358</v>
      </c>
      <c r="C14" t="s">
        <v>6359</v>
      </c>
      <c r="D14" t="s">
        <v>6359</v>
      </c>
      <c r="E14" t="s">
        <v>6360</v>
      </c>
      <c r="G14" t="s">
        <v>4493</v>
      </c>
      <c r="H14" t="s">
        <v>6361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6362</v>
      </c>
      <c r="X14" t="s">
        <v>6363</v>
      </c>
      <c r="Y14" t="s">
        <v>6364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6365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6935</v>
      </c>
      <c r="C19" t="s">
        <v>6936</v>
      </c>
      <c r="D19" t="s">
        <v>6936</v>
      </c>
      <c r="E19" t="s">
        <v>6937</v>
      </c>
      <c r="F19" t="s">
        <v>6798</v>
      </c>
      <c r="G19" t="s">
        <v>4493</v>
      </c>
      <c r="H19" t="s">
        <v>6938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6939</v>
      </c>
      <c r="X19" t="s">
        <v>6940</v>
      </c>
      <c r="Y19" t="s">
        <v>6941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6942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6535</v>
      </c>
      <c r="C21" t="s">
        <v>6536</v>
      </c>
      <c r="D21" t="s">
        <v>6536</v>
      </c>
      <c r="E21" t="s">
        <v>6537</v>
      </c>
      <c r="G21" t="s">
        <v>4493</v>
      </c>
      <c r="H21" t="s">
        <v>6538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6539</v>
      </c>
      <c r="X21" t="s">
        <v>6540</v>
      </c>
      <c r="Y21" t="s">
        <v>6541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6542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1024</v>
      </c>
      <c r="B22" t="s">
        <v>8010</v>
      </c>
      <c r="C22" t="s">
        <v>8011</v>
      </c>
      <c r="D22" t="s">
        <v>8012</v>
      </c>
      <c r="E22" t="s">
        <v>8013</v>
      </c>
      <c r="F22" t="s">
        <v>6798</v>
      </c>
      <c r="G22" t="s">
        <v>4493</v>
      </c>
      <c r="H22" t="s">
        <v>8014</v>
      </c>
      <c r="I22">
        <v>3</v>
      </c>
      <c r="J22">
        <v>1</v>
      </c>
      <c r="K22" t="s">
        <v>990</v>
      </c>
      <c r="L22">
        <v>1</v>
      </c>
      <c r="M22">
        <v>124</v>
      </c>
      <c r="N22" t="s">
        <v>979</v>
      </c>
      <c r="O22">
        <v>10</v>
      </c>
      <c r="P22">
        <v>0</v>
      </c>
      <c r="Q22">
        <v>5</v>
      </c>
      <c r="R22">
        <v>750783</v>
      </c>
      <c r="S22">
        <v>1</v>
      </c>
      <c r="T22">
        <v>750785</v>
      </c>
      <c r="U22">
        <v>750786</v>
      </c>
      <c r="V22">
        <v>750787</v>
      </c>
      <c r="W22" t="s">
        <v>8015</v>
      </c>
      <c r="X22" t="s">
        <v>8016</v>
      </c>
      <c r="Y22" t="s">
        <v>8017</v>
      </c>
      <c r="Z22">
        <v>750788</v>
      </c>
      <c r="AA22">
        <v>10</v>
      </c>
      <c r="AB22">
        <v>10</v>
      </c>
      <c r="AC22">
        <v>5</v>
      </c>
      <c r="AD22">
        <v>5</v>
      </c>
      <c r="AE22">
        <v>170</v>
      </c>
      <c r="AF22">
        <v>138</v>
      </c>
      <c r="AG22">
        <v>50</v>
      </c>
      <c r="AH22">
        <v>200</v>
      </c>
      <c r="AI22">
        <v>60</v>
      </c>
      <c r="AJ22">
        <v>75</v>
      </c>
      <c r="AK22">
        <v>180</v>
      </c>
      <c r="AL22">
        <v>20</v>
      </c>
      <c r="AM22">
        <v>150</v>
      </c>
      <c r="AN22">
        <v>100</v>
      </c>
      <c r="AO22">
        <v>10</v>
      </c>
      <c r="AP22">
        <v>0</v>
      </c>
      <c r="AQ22">
        <v>2</v>
      </c>
      <c r="AR22">
        <v>15</v>
      </c>
      <c r="AS22">
        <v>500</v>
      </c>
      <c r="AT22">
        <v>8</v>
      </c>
      <c r="AU22" t="s">
        <v>8018</v>
      </c>
      <c r="AV22" t="s">
        <v>4499</v>
      </c>
      <c r="AW22" t="s">
        <v>4499</v>
      </c>
      <c r="AX22" t="s">
        <v>4499</v>
      </c>
      <c r="AY22">
        <v>214</v>
      </c>
      <c r="AZ22">
        <v>11002</v>
      </c>
      <c r="BA22">
        <v>1</v>
      </c>
      <c r="BB22" t="s">
        <v>4500</v>
      </c>
      <c r="BC22" t="s">
        <v>1814</v>
      </c>
      <c r="BD22">
        <v>930025</v>
      </c>
      <c r="BE22" t="s">
        <v>4501</v>
      </c>
      <c r="BF22" t="s">
        <v>4502</v>
      </c>
      <c r="BG22">
        <v>100</v>
      </c>
      <c r="BH22">
        <v>10604</v>
      </c>
      <c r="BI22">
        <v>0</v>
      </c>
    </row>
    <row r="23" spans="1:61" x14ac:dyDescent="0.25">
      <c r="A23">
        <v>1001</v>
      </c>
      <c r="B23" t="s">
        <v>4595</v>
      </c>
      <c r="C23" t="s">
        <v>977</v>
      </c>
      <c r="D23" t="s">
        <v>977</v>
      </c>
      <c r="E23" t="s">
        <v>4596</v>
      </c>
      <c r="G23" t="s">
        <v>4493</v>
      </c>
      <c r="H23" t="s">
        <v>4597</v>
      </c>
      <c r="I23">
        <v>1</v>
      </c>
      <c r="J23">
        <v>1</v>
      </c>
      <c r="K23" t="s">
        <v>978</v>
      </c>
      <c r="L23">
        <v>1</v>
      </c>
      <c r="M23">
        <v>101</v>
      </c>
      <c r="N23" t="s">
        <v>979</v>
      </c>
      <c r="O23">
        <v>10</v>
      </c>
      <c r="P23">
        <v>0</v>
      </c>
      <c r="Q23">
        <v>5</v>
      </c>
      <c r="R23">
        <v>900515</v>
      </c>
      <c r="S23">
        <v>2</v>
      </c>
      <c r="T23">
        <v>30006</v>
      </c>
      <c r="U23">
        <v>900511</v>
      </c>
      <c r="V23">
        <v>900512</v>
      </c>
      <c r="W23" t="s">
        <v>4598</v>
      </c>
      <c r="X23" t="s">
        <v>329</v>
      </c>
      <c r="Y23" t="s">
        <v>4599</v>
      </c>
      <c r="Z23">
        <v>900510</v>
      </c>
      <c r="AA23">
        <v>10</v>
      </c>
      <c r="AB23">
        <v>10</v>
      </c>
      <c r="AC23">
        <v>5</v>
      </c>
      <c r="AD23">
        <v>5</v>
      </c>
      <c r="AE23">
        <v>95</v>
      </c>
      <c r="AF23">
        <v>95</v>
      </c>
      <c r="AG23">
        <v>116</v>
      </c>
      <c r="AH23">
        <v>90</v>
      </c>
      <c r="AI23">
        <v>120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12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4600</v>
      </c>
      <c r="AV23" t="s">
        <v>4499</v>
      </c>
      <c r="AW23" t="s">
        <v>4499</v>
      </c>
      <c r="AX23" t="s">
        <v>4499</v>
      </c>
      <c r="AY23">
        <v>5</v>
      </c>
      <c r="AZ23">
        <v>11001</v>
      </c>
      <c r="BA23">
        <v>1</v>
      </c>
      <c r="BB23" t="s">
        <v>4500</v>
      </c>
      <c r="BC23" t="s">
        <v>1814</v>
      </c>
      <c r="BD23">
        <v>930001</v>
      </c>
      <c r="BE23" t="s">
        <v>4501</v>
      </c>
      <c r="BF23" t="s">
        <v>4502</v>
      </c>
      <c r="BG23">
        <v>100</v>
      </c>
      <c r="BH23">
        <v>10604</v>
      </c>
    </row>
    <row r="24" spans="1:61" x14ac:dyDescent="0.25">
      <c r="A24">
        <v>1023</v>
      </c>
      <c r="B24" t="s">
        <v>6976</v>
      </c>
      <c r="C24" t="s">
        <v>6977</v>
      </c>
      <c r="D24" t="s">
        <v>6977</v>
      </c>
      <c r="E24" t="s">
        <v>6978</v>
      </c>
      <c r="F24" t="s">
        <v>6798</v>
      </c>
      <c r="G24" t="s">
        <v>4493</v>
      </c>
      <c r="H24" t="s">
        <v>6979</v>
      </c>
      <c r="I24">
        <v>1</v>
      </c>
      <c r="J24">
        <v>1</v>
      </c>
      <c r="K24" t="s">
        <v>978</v>
      </c>
      <c r="L24">
        <v>1</v>
      </c>
      <c r="M24">
        <v>123</v>
      </c>
      <c r="N24" t="s">
        <v>979</v>
      </c>
      <c r="O24">
        <v>10</v>
      </c>
      <c r="P24">
        <v>0</v>
      </c>
      <c r="Q24">
        <v>5</v>
      </c>
      <c r="R24">
        <v>750700</v>
      </c>
      <c r="S24">
        <v>1</v>
      </c>
      <c r="T24">
        <v>750702</v>
      </c>
      <c r="U24">
        <v>750703</v>
      </c>
      <c r="V24">
        <v>750704</v>
      </c>
      <c r="W24" t="s">
        <v>6980</v>
      </c>
      <c r="X24" t="s">
        <v>6981</v>
      </c>
      <c r="Y24" t="s">
        <v>329</v>
      </c>
      <c r="Z24">
        <v>750706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112</v>
      </c>
      <c r="AG24">
        <v>100</v>
      </c>
      <c r="AH24">
        <v>126</v>
      </c>
      <c r="AI24">
        <v>90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18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6982</v>
      </c>
      <c r="AV24" t="s">
        <v>4499</v>
      </c>
      <c r="AW24" t="s">
        <v>4499</v>
      </c>
      <c r="AX24" t="s">
        <v>4499</v>
      </c>
      <c r="AY24">
        <v>181</v>
      </c>
      <c r="AZ24">
        <v>11002</v>
      </c>
      <c r="BA24">
        <v>1</v>
      </c>
      <c r="BB24" t="s">
        <v>6983</v>
      </c>
      <c r="BC24" t="s">
        <v>1814</v>
      </c>
      <c r="BD24">
        <v>930024</v>
      </c>
      <c r="BE24" t="s">
        <v>4501</v>
      </c>
      <c r="BF24" t="s">
        <v>4502</v>
      </c>
      <c r="BG24">
        <v>100</v>
      </c>
      <c r="BH24">
        <v>10604</v>
      </c>
      <c r="BI24">
        <v>0</v>
      </c>
    </row>
    <row r="25" spans="1:61" x14ac:dyDescent="0.25">
      <c r="A25">
        <v>1007</v>
      </c>
      <c r="B25" t="s">
        <v>4601</v>
      </c>
      <c r="C25" t="s">
        <v>985</v>
      </c>
      <c r="D25" t="s">
        <v>985</v>
      </c>
      <c r="E25" t="s">
        <v>4602</v>
      </c>
      <c r="G25" t="s">
        <v>4493</v>
      </c>
      <c r="H25" t="s">
        <v>4603</v>
      </c>
      <c r="I25">
        <v>1</v>
      </c>
      <c r="J25">
        <v>1</v>
      </c>
      <c r="K25" t="s">
        <v>978</v>
      </c>
      <c r="L25">
        <v>1</v>
      </c>
      <c r="M25">
        <v>107</v>
      </c>
      <c r="N25" t="s">
        <v>979</v>
      </c>
      <c r="O25">
        <v>10</v>
      </c>
      <c r="P25">
        <v>0</v>
      </c>
      <c r="Q25">
        <v>5</v>
      </c>
      <c r="R25">
        <v>900833</v>
      </c>
      <c r="S25">
        <v>2</v>
      </c>
      <c r="T25">
        <v>30008</v>
      </c>
      <c r="U25">
        <v>900831</v>
      </c>
      <c r="V25">
        <v>900832</v>
      </c>
      <c r="W25" t="s">
        <v>4604</v>
      </c>
      <c r="X25" t="s">
        <v>329</v>
      </c>
      <c r="Y25" t="s">
        <v>4605</v>
      </c>
      <c r="Z25">
        <v>900830</v>
      </c>
      <c r="AA25">
        <v>10</v>
      </c>
      <c r="AB25">
        <v>10</v>
      </c>
      <c r="AC25">
        <v>5</v>
      </c>
      <c r="AD25">
        <v>5</v>
      </c>
      <c r="AE25">
        <v>105</v>
      </c>
      <c r="AF25">
        <v>105</v>
      </c>
      <c r="AG25">
        <v>105</v>
      </c>
      <c r="AH25">
        <v>105</v>
      </c>
      <c r="AI25">
        <v>105</v>
      </c>
      <c r="AJ25">
        <v>0</v>
      </c>
      <c r="AK25">
        <v>15</v>
      </c>
      <c r="AL25">
        <v>40</v>
      </c>
      <c r="AM25">
        <v>150</v>
      </c>
      <c r="AN25">
        <v>100</v>
      </c>
      <c r="AO25">
        <v>15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4606</v>
      </c>
      <c r="AV25" t="s">
        <v>4499</v>
      </c>
      <c r="AW25" t="s">
        <v>4499</v>
      </c>
      <c r="AX25" t="s">
        <v>4499</v>
      </c>
      <c r="AY25">
        <v>21</v>
      </c>
      <c r="AZ25">
        <v>11002</v>
      </c>
      <c r="BA25">
        <v>1</v>
      </c>
      <c r="BB25" t="s">
        <v>4500</v>
      </c>
      <c r="BC25" t="s">
        <v>1814</v>
      </c>
      <c r="BD25">
        <v>930007</v>
      </c>
      <c r="BE25" t="s">
        <v>4501</v>
      </c>
      <c r="BF25" t="s">
        <v>4502</v>
      </c>
      <c r="BG25">
        <v>88</v>
      </c>
      <c r="BH25">
        <v>10603</v>
      </c>
    </row>
    <row r="26" spans="1:61" x14ac:dyDescent="0.25">
      <c r="A26">
        <v>2003</v>
      </c>
      <c r="B26" t="s">
        <v>4607</v>
      </c>
      <c r="C26" t="s">
        <v>996</v>
      </c>
      <c r="D26" t="s">
        <v>996</v>
      </c>
      <c r="E26" t="s">
        <v>4608</v>
      </c>
      <c r="G26" t="s">
        <v>4493</v>
      </c>
      <c r="H26" t="s">
        <v>4609</v>
      </c>
      <c r="I26">
        <v>1</v>
      </c>
      <c r="J26">
        <v>2</v>
      </c>
      <c r="K26" t="s">
        <v>997</v>
      </c>
      <c r="L26">
        <v>5</v>
      </c>
      <c r="M26">
        <v>203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600701</v>
      </c>
      <c r="V26">
        <v>600703</v>
      </c>
      <c r="W26" t="s">
        <v>1814</v>
      </c>
      <c r="X26" t="s">
        <v>4507</v>
      </c>
      <c r="Y26" t="s">
        <v>4610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90</v>
      </c>
      <c r="AG26">
        <v>75</v>
      </c>
      <c r="AH26">
        <v>110</v>
      </c>
      <c r="AI26">
        <v>40</v>
      </c>
      <c r="AJ26">
        <v>100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15</v>
      </c>
      <c r="AZ26">
        <v>3045</v>
      </c>
      <c r="BA26">
        <v>9</v>
      </c>
      <c r="BB26" t="s">
        <v>4500</v>
      </c>
      <c r="BC26" t="s">
        <v>1814</v>
      </c>
      <c r="BD26">
        <v>910015</v>
      </c>
      <c r="BE26" t="s">
        <v>4501</v>
      </c>
      <c r="BF26" t="s">
        <v>4502</v>
      </c>
      <c r="BG26">
        <v>100</v>
      </c>
      <c r="BH26">
        <v>0</v>
      </c>
    </row>
    <row r="27" spans="1:61" x14ac:dyDescent="0.25">
      <c r="A27">
        <v>2014</v>
      </c>
      <c r="B27" t="s">
        <v>4611</v>
      </c>
      <c r="C27" t="s">
        <v>1010</v>
      </c>
      <c r="D27" t="s">
        <v>1010</v>
      </c>
      <c r="E27" t="s">
        <v>4612</v>
      </c>
      <c r="G27" t="s">
        <v>4493</v>
      </c>
      <c r="H27" t="s">
        <v>4613</v>
      </c>
      <c r="I27">
        <v>1</v>
      </c>
      <c r="J27">
        <v>2</v>
      </c>
      <c r="K27" t="s">
        <v>997</v>
      </c>
      <c r="L27">
        <v>5</v>
      </c>
      <c r="M27">
        <v>214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902200</v>
      </c>
      <c r="V27">
        <v>902201</v>
      </c>
      <c r="W27" t="s">
        <v>1814</v>
      </c>
      <c r="X27" t="s">
        <v>4507</v>
      </c>
      <c r="Y27" t="s">
        <v>329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180</v>
      </c>
      <c r="AF27">
        <v>75</v>
      </c>
      <c r="AG27">
        <v>50</v>
      </c>
      <c r="AH27">
        <v>110</v>
      </c>
      <c r="AI27">
        <v>50</v>
      </c>
      <c r="AJ27">
        <v>105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60</v>
      </c>
      <c r="AZ27">
        <v>3045</v>
      </c>
      <c r="BA27">
        <v>9</v>
      </c>
      <c r="BB27" t="s">
        <v>4500</v>
      </c>
      <c r="BC27" t="s">
        <v>1814</v>
      </c>
      <c r="BD27">
        <v>911011</v>
      </c>
      <c r="BE27" t="s">
        <v>4501</v>
      </c>
      <c r="BF27" t="s">
        <v>4502</v>
      </c>
      <c r="BG27">
        <v>95</v>
      </c>
      <c r="BH27">
        <v>0</v>
      </c>
    </row>
    <row r="28" spans="1:61" x14ac:dyDescent="0.25">
      <c r="A28">
        <v>2001</v>
      </c>
      <c r="B28" t="s">
        <v>4614</v>
      </c>
      <c r="C28" t="s">
        <v>994</v>
      </c>
      <c r="D28" t="s">
        <v>994</v>
      </c>
      <c r="E28" t="s">
        <v>4615</v>
      </c>
      <c r="G28" t="s">
        <v>4493</v>
      </c>
      <c r="H28" t="s">
        <v>4616</v>
      </c>
      <c r="I28">
        <v>1</v>
      </c>
      <c r="J28">
        <v>2</v>
      </c>
      <c r="K28" t="s">
        <v>981</v>
      </c>
      <c r="L28">
        <v>5</v>
      </c>
      <c r="M28">
        <v>201</v>
      </c>
      <c r="N28" t="s">
        <v>979</v>
      </c>
      <c r="O28">
        <v>4</v>
      </c>
      <c r="P28">
        <v>0</v>
      </c>
      <c r="Q28">
        <v>4</v>
      </c>
      <c r="R28">
        <v>0</v>
      </c>
      <c r="S28">
        <v>1</v>
      </c>
      <c r="T28">
        <v>0</v>
      </c>
      <c r="U28">
        <v>900578</v>
      </c>
      <c r="V28">
        <v>900579</v>
      </c>
      <c r="W28" t="s">
        <v>1814</v>
      </c>
      <c r="X28" t="s">
        <v>4507</v>
      </c>
      <c r="Y28" t="s">
        <v>4617</v>
      </c>
      <c r="Z28">
        <v>900577</v>
      </c>
      <c r="AA28">
        <v>10</v>
      </c>
      <c r="AB28">
        <v>10</v>
      </c>
      <c r="AC28">
        <v>5</v>
      </c>
      <c r="AD28">
        <v>5</v>
      </c>
      <c r="AE28">
        <v>75</v>
      </c>
      <c r="AF28">
        <v>62</v>
      </c>
      <c r="AG28">
        <v>80</v>
      </c>
      <c r="AH28">
        <v>100</v>
      </c>
      <c r="AI28">
        <v>90</v>
      </c>
      <c r="AJ28">
        <v>0</v>
      </c>
      <c r="AK28">
        <v>180</v>
      </c>
      <c r="AL28">
        <v>10</v>
      </c>
      <c r="AM28">
        <v>150</v>
      </c>
      <c r="AN28">
        <v>95</v>
      </c>
      <c r="AO28">
        <v>20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28</v>
      </c>
      <c r="AZ28">
        <v>3045</v>
      </c>
      <c r="BA28">
        <v>7</v>
      </c>
      <c r="BB28" t="s">
        <v>4500</v>
      </c>
      <c r="BC28" t="s">
        <v>1814</v>
      </c>
      <c r="BD28">
        <v>910017</v>
      </c>
      <c r="BE28" t="s">
        <v>4501</v>
      </c>
      <c r="BF28" t="s">
        <v>4502</v>
      </c>
      <c r="BG28">
        <v>75</v>
      </c>
      <c r="BH28">
        <v>0</v>
      </c>
    </row>
    <row r="29" spans="1:61" x14ac:dyDescent="0.25">
      <c r="A29">
        <v>2002</v>
      </c>
      <c r="B29" t="s">
        <v>4618</v>
      </c>
      <c r="C29" t="s">
        <v>995</v>
      </c>
      <c r="D29" t="s">
        <v>995</v>
      </c>
      <c r="E29" t="s">
        <v>4619</v>
      </c>
      <c r="G29" t="s">
        <v>4493</v>
      </c>
      <c r="H29" t="s">
        <v>4620</v>
      </c>
      <c r="I29">
        <v>1</v>
      </c>
      <c r="J29">
        <v>2</v>
      </c>
      <c r="K29" t="s">
        <v>981</v>
      </c>
      <c r="L29">
        <v>5</v>
      </c>
      <c r="M29">
        <v>202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900520</v>
      </c>
      <c r="V29">
        <v>900527</v>
      </c>
      <c r="W29" t="s">
        <v>1814</v>
      </c>
      <c r="X29" t="s">
        <v>4621</v>
      </c>
      <c r="Y29" t="s">
        <v>329</v>
      </c>
      <c r="Z29">
        <v>900519</v>
      </c>
      <c r="AA29">
        <v>10</v>
      </c>
      <c r="AB29">
        <v>10</v>
      </c>
      <c r="AC29">
        <v>5</v>
      </c>
      <c r="AD29">
        <v>5</v>
      </c>
      <c r="AE29">
        <v>132</v>
      </c>
      <c r="AF29">
        <v>105</v>
      </c>
      <c r="AG29">
        <v>65</v>
      </c>
      <c r="AH29">
        <v>105</v>
      </c>
      <c r="AI29">
        <v>75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12</v>
      </c>
      <c r="AZ29">
        <v>3045</v>
      </c>
      <c r="BA29">
        <v>8</v>
      </c>
      <c r="BB29" t="s">
        <v>4500</v>
      </c>
      <c r="BC29" t="s">
        <v>1814</v>
      </c>
      <c r="BD29">
        <v>910008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2012</v>
      </c>
      <c r="B30" t="s">
        <v>4622</v>
      </c>
      <c r="C30" t="s">
        <v>1008</v>
      </c>
      <c r="D30" t="s">
        <v>1008</v>
      </c>
      <c r="E30" t="s">
        <v>4623</v>
      </c>
      <c r="G30" t="s">
        <v>4493</v>
      </c>
      <c r="H30" t="s">
        <v>4624</v>
      </c>
      <c r="I30">
        <v>1</v>
      </c>
      <c r="J30">
        <v>2</v>
      </c>
      <c r="K30" t="s">
        <v>981</v>
      </c>
      <c r="L30">
        <v>5</v>
      </c>
      <c r="M30">
        <v>212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900982</v>
      </c>
      <c r="V30">
        <v>900981</v>
      </c>
      <c r="W30" t="s">
        <v>1814</v>
      </c>
      <c r="X30" t="s">
        <v>4507</v>
      </c>
      <c r="Y30" t="s">
        <v>4625</v>
      </c>
      <c r="Z30">
        <v>900980</v>
      </c>
      <c r="AA30">
        <v>10</v>
      </c>
      <c r="AB30">
        <v>10</v>
      </c>
      <c r="AC30">
        <v>5</v>
      </c>
      <c r="AD30">
        <v>5</v>
      </c>
      <c r="AE30">
        <v>135</v>
      </c>
      <c r="AF30">
        <v>122</v>
      </c>
      <c r="AG30">
        <v>65</v>
      </c>
      <c r="AH30">
        <v>115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58</v>
      </c>
      <c r="AZ30">
        <v>3045</v>
      </c>
      <c r="BA30">
        <v>8</v>
      </c>
      <c r="BB30" t="s">
        <v>4500</v>
      </c>
      <c r="BC30" t="s">
        <v>1814</v>
      </c>
      <c r="BD30">
        <v>911008</v>
      </c>
      <c r="BE30" t="s">
        <v>4501</v>
      </c>
      <c r="BF30" t="s">
        <v>4502</v>
      </c>
      <c r="BG30">
        <v>90</v>
      </c>
      <c r="BH30">
        <v>0</v>
      </c>
    </row>
    <row r="31" spans="1:61" x14ac:dyDescent="0.25">
      <c r="A31">
        <v>2016</v>
      </c>
      <c r="B31" t="s">
        <v>5669</v>
      </c>
      <c r="C31" t="s">
        <v>5673</v>
      </c>
      <c r="D31" t="s">
        <v>5670</v>
      </c>
      <c r="E31" t="s">
        <v>5671</v>
      </c>
      <c r="G31" t="s">
        <v>4493</v>
      </c>
      <c r="H31" t="s">
        <v>5672</v>
      </c>
      <c r="I31">
        <v>1</v>
      </c>
      <c r="J31">
        <v>2</v>
      </c>
      <c r="K31" t="s">
        <v>981</v>
      </c>
      <c r="L31">
        <v>5</v>
      </c>
      <c r="M31">
        <v>216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750298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200</v>
      </c>
      <c r="AF31">
        <v>115</v>
      </c>
      <c r="AG31">
        <v>75</v>
      </c>
      <c r="AH31">
        <v>165</v>
      </c>
      <c r="AI31">
        <v>40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108</v>
      </c>
      <c r="AZ31">
        <v>3045</v>
      </c>
      <c r="BA31">
        <v>8</v>
      </c>
      <c r="BB31" t="s">
        <v>4500</v>
      </c>
      <c r="BC31" t="s">
        <v>1814</v>
      </c>
      <c r="BD31">
        <v>913124</v>
      </c>
      <c r="BE31" t="s">
        <v>4501</v>
      </c>
      <c r="BF31" t="s">
        <v>4502</v>
      </c>
      <c r="BG31">
        <v>95</v>
      </c>
      <c r="BH31">
        <v>0</v>
      </c>
    </row>
    <row r="32" spans="1:61" x14ac:dyDescent="0.25">
      <c r="A32">
        <v>2008</v>
      </c>
      <c r="B32" t="s">
        <v>4626</v>
      </c>
      <c r="C32" t="s">
        <v>1003</v>
      </c>
      <c r="D32" t="s">
        <v>1003</v>
      </c>
      <c r="E32" t="s">
        <v>4627</v>
      </c>
      <c r="G32" t="s">
        <v>4493</v>
      </c>
      <c r="H32" t="s">
        <v>4628</v>
      </c>
      <c r="I32">
        <v>1</v>
      </c>
      <c r="J32">
        <v>2</v>
      </c>
      <c r="K32" t="s">
        <v>981</v>
      </c>
      <c r="L32">
        <v>5</v>
      </c>
      <c r="M32">
        <v>208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900744</v>
      </c>
      <c r="W32" t="s">
        <v>1814</v>
      </c>
      <c r="X32" t="s">
        <v>4507</v>
      </c>
      <c r="Y32" t="s">
        <v>4629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140</v>
      </c>
      <c r="AF32">
        <v>100</v>
      </c>
      <c r="AG32">
        <v>75</v>
      </c>
      <c r="AH32">
        <v>130</v>
      </c>
      <c r="AI32">
        <v>80</v>
      </c>
      <c r="AJ32">
        <v>0</v>
      </c>
      <c r="AK32">
        <v>50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57</v>
      </c>
      <c r="AZ32">
        <v>3045</v>
      </c>
      <c r="BA32">
        <v>8</v>
      </c>
      <c r="BB32" t="s">
        <v>4500</v>
      </c>
      <c r="BC32" t="s">
        <v>1814</v>
      </c>
      <c r="BD32">
        <v>911007</v>
      </c>
      <c r="BE32" t="s">
        <v>4501</v>
      </c>
      <c r="BF32" t="s">
        <v>4502</v>
      </c>
      <c r="BG32">
        <v>90</v>
      </c>
      <c r="BH32">
        <v>0</v>
      </c>
    </row>
    <row r="33" spans="1:61" x14ac:dyDescent="0.25">
      <c r="A33">
        <v>2015</v>
      </c>
      <c r="B33" t="s">
        <v>4503</v>
      </c>
      <c r="C33" t="s">
        <v>4504</v>
      </c>
      <c r="D33" t="s">
        <v>4504</v>
      </c>
      <c r="E33" t="s">
        <v>4505</v>
      </c>
      <c r="G33" t="s">
        <v>4493</v>
      </c>
      <c r="H33" t="s">
        <v>4506</v>
      </c>
      <c r="I33">
        <v>1</v>
      </c>
      <c r="J33">
        <v>2</v>
      </c>
      <c r="K33" t="s">
        <v>978</v>
      </c>
      <c r="L33">
        <v>5</v>
      </c>
      <c r="M33">
        <v>215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750056</v>
      </c>
      <c r="V33">
        <v>750058</v>
      </c>
      <c r="W33" t="s">
        <v>1814</v>
      </c>
      <c r="X33" t="s">
        <v>4507</v>
      </c>
      <c r="Y33" t="s">
        <v>329</v>
      </c>
      <c r="Z33">
        <v>750057</v>
      </c>
      <c r="AA33">
        <v>10</v>
      </c>
      <c r="AB33">
        <v>10</v>
      </c>
      <c r="AC33">
        <v>5</v>
      </c>
      <c r="AD33">
        <v>5</v>
      </c>
      <c r="AE33">
        <v>80</v>
      </c>
      <c r="AF33">
        <v>140</v>
      </c>
      <c r="AG33">
        <v>70</v>
      </c>
      <c r="AH33">
        <v>130</v>
      </c>
      <c r="AI33">
        <v>55</v>
      </c>
      <c r="AJ33">
        <v>0</v>
      </c>
      <c r="AK33">
        <v>180</v>
      </c>
      <c r="AL33">
        <v>50</v>
      </c>
      <c r="AM33">
        <v>200</v>
      </c>
      <c r="AN33">
        <v>95</v>
      </c>
      <c r="AO33">
        <v>6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56</v>
      </c>
      <c r="AZ33">
        <v>3045</v>
      </c>
      <c r="BA33">
        <v>17</v>
      </c>
      <c r="BB33" t="s">
        <v>4500</v>
      </c>
      <c r="BC33" t="s">
        <v>1814</v>
      </c>
      <c r="BD33">
        <v>911006</v>
      </c>
      <c r="BE33" t="s">
        <v>4501</v>
      </c>
      <c r="BF33" t="s">
        <v>4502</v>
      </c>
      <c r="BG33">
        <v>95</v>
      </c>
      <c r="BH33">
        <v>0</v>
      </c>
    </row>
    <row r="34" spans="1:61" x14ac:dyDescent="0.25">
      <c r="A34">
        <v>2006</v>
      </c>
      <c r="B34" t="s">
        <v>4630</v>
      </c>
      <c r="C34" t="s">
        <v>1002</v>
      </c>
      <c r="D34" t="s">
        <v>1002</v>
      </c>
      <c r="E34" t="s">
        <v>4631</v>
      </c>
      <c r="G34" t="s">
        <v>4493</v>
      </c>
      <c r="H34" t="s">
        <v>4632</v>
      </c>
      <c r="I34">
        <v>1</v>
      </c>
      <c r="J34">
        <v>2</v>
      </c>
      <c r="K34" t="s">
        <v>999</v>
      </c>
      <c r="L34">
        <v>1</v>
      </c>
      <c r="M34">
        <v>206</v>
      </c>
      <c r="N34" t="s">
        <v>979</v>
      </c>
      <c r="O34">
        <v>10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900617</v>
      </c>
      <c r="V34">
        <v>900618</v>
      </c>
      <c r="W34" t="s">
        <v>1814</v>
      </c>
      <c r="X34" t="s">
        <v>4633</v>
      </c>
      <c r="Y34" t="s">
        <v>4634</v>
      </c>
      <c r="Z34">
        <v>900615</v>
      </c>
      <c r="AA34">
        <v>10</v>
      </c>
      <c r="AB34">
        <v>10</v>
      </c>
      <c r="AC34">
        <v>5</v>
      </c>
      <c r="AD34">
        <v>5</v>
      </c>
      <c r="AE34">
        <v>165</v>
      </c>
      <c r="AF34">
        <v>130</v>
      </c>
      <c r="AG34">
        <v>85</v>
      </c>
      <c r="AH34">
        <v>110</v>
      </c>
      <c r="AI34">
        <v>50</v>
      </c>
      <c r="AJ34">
        <v>120</v>
      </c>
      <c r="AK34">
        <v>180</v>
      </c>
      <c r="AL34">
        <v>20</v>
      </c>
      <c r="AM34">
        <v>150</v>
      </c>
      <c r="AN34">
        <v>75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5</v>
      </c>
      <c r="AU34" t="s">
        <v>329</v>
      </c>
      <c r="AV34" t="s">
        <v>329</v>
      </c>
      <c r="AW34" t="s">
        <v>329</v>
      </c>
      <c r="AX34" t="s">
        <v>329</v>
      </c>
      <c r="AY34">
        <v>16</v>
      </c>
      <c r="AZ34">
        <v>3045</v>
      </c>
      <c r="BA34">
        <v>9</v>
      </c>
      <c r="BB34" t="s">
        <v>4500</v>
      </c>
      <c r="BC34" t="s">
        <v>1814</v>
      </c>
      <c r="BD34">
        <v>910010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2004</v>
      </c>
      <c r="B35" t="s">
        <v>4635</v>
      </c>
      <c r="C35" t="s">
        <v>998</v>
      </c>
      <c r="D35" t="s">
        <v>998</v>
      </c>
      <c r="E35" t="s">
        <v>4636</v>
      </c>
      <c r="G35" t="s">
        <v>4493</v>
      </c>
      <c r="H35" t="s">
        <v>4637</v>
      </c>
      <c r="I35">
        <v>1</v>
      </c>
      <c r="J35">
        <v>2</v>
      </c>
      <c r="K35" t="s">
        <v>999</v>
      </c>
      <c r="L35">
        <v>5</v>
      </c>
      <c r="M35">
        <v>204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900612</v>
      </c>
      <c r="V35">
        <v>900613</v>
      </c>
      <c r="W35" t="s">
        <v>1814</v>
      </c>
      <c r="X35" t="s">
        <v>4507</v>
      </c>
      <c r="Y35" t="s">
        <v>329</v>
      </c>
      <c r="Z35">
        <v>900611</v>
      </c>
      <c r="AA35">
        <v>10</v>
      </c>
      <c r="AB35">
        <v>10</v>
      </c>
      <c r="AC35">
        <v>5</v>
      </c>
      <c r="AD35">
        <v>5</v>
      </c>
      <c r="AE35">
        <v>98</v>
      </c>
      <c r="AF35">
        <v>165</v>
      </c>
      <c r="AG35">
        <v>60</v>
      </c>
      <c r="AH35">
        <v>110</v>
      </c>
      <c r="AI35">
        <v>30</v>
      </c>
      <c r="AJ35">
        <v>50</v>
      </c>
      <c r="AK35">
        <v>100</v>
      </c>
      <c r="AL35">
        <v>20</v>
      </c>
      <c r="AM35">
        <v>150</v>
      </c>
      <c r="AN35">
        <v>95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3</v>
      </c>
      <c r="AU35" t="s">
        <v>329</v>
      </c>
      <c r="AV35" t="s">
        <v>329</v>
      </c>
      <c r="AW35" t="s">
        <v>329</v>
      </c>
      <c r="AX35" t="s">
        <v>329</v>
      </c>
      <c r="AY35">
        <v>14</v>
      </c>
      <c r="AZ35">
        <v>3045</v>
      </c>
      <c r="BA35">
        <v>9</v>
      </c>
      <c r="BB35" t="s">
        <v>4500</v>
      </c>
      <c r="BC35" t="s">
        <v>1814</v>
      </c>
      <c r="BD35">
        <v>910016</v>
      </c>
      <c r="BE35" t="s">
        <v>4501</v>
      </c>
      <c r="BF35" t="s">
        <v>4502</v>
      </c>
      <c r="BG35">
        <v>100</v>
      </c>
      <c r="BH35">
        <v>0</v>
      </c>
    </row>
    <row r="36" spans="1:61" x14ac:dyDescent="0.25">
      <c r="A36">
        <v>2011</v>
      </c>
      <c r="B36" t="s">
        <v>4638</v>
      </c>
      <c r="C36" t="s">
        <v>1006</v>
      </c>
      <c r="D36" t="s">
        <v>1006</v>
      </c>
      <c r="E36" t="s">
        <v>4639</v>
      </c>
      <c r="G36" t="s">
        <v>4493</v>
      </c>
      <c r="H36" t="s">
        <v>4640</v>
      </c>
      <c r="I36">
        <v>1</v>
      </c>
      <c r="J36">
        <v>2</v>
      </c>
      <c r="K36" t="s">
        <v>1007</v>
      </c>
      <c r="L36">
        <v>5</v>
      </c>
      <c r="M36">
        <v>211</v>
      </c>
      <c r="N36" t="s">
        <v>979</v>
      </c>
      <c r="O36">
        <v>4</v>
      </c>
      <c r="P36">
        <v>0</v>
      </c>
      <c r="Q36">
        <v>4</v>
      </c>
      <c r="R36">
        <v>0</v>
      </c>
      <c r="S36">
        <v>1</v>
      </c>
      <c r="T36">
        <v>0</v>
      </c>
      <c r="U36">
        <v>900934</v>
      </c>
      <c r="V36">
        <v>900937</v>
      </c>
      <c r="W36" t="s">
        <v>1814</v>
      </c>
      <c r="X36" t="s">
        <v>4507</v>
      </c>
      <c r="Y36" t="s">
        <v>4641</v>
      </c>
      <c r="Z36">
        <v>900574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75</v>
      </c>
      <c r="AG36">
        <v>120</v>
      </c>
      <c r="AH36">
        <v>110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4</v>
      </c>
      <c r="AU36" t="s">
        <v>329</v>
      </c>
      <c r="AV36" t="s">
        <v>329</v>
      </c>
      <c r="AW36" t="s">
        <v>329</v>
      </c>
      <c r="AX36" t="s">
        <v>329</v>
      </c>
      <c r="AY36">
        <v>55</v>
      </c>
      <c r="AZ36">
        <v>3045</v>
      </c>
      <c r="BA36">
        <v>21</v>
      </c>
      <c r="BB36" t="s">
        <v>4500</v>
      </c>
      <c r="BC36" t="s">
        <v>1814</v>
      </c>
      <c r="BD36">
        <v>911001</v>
      </c>
      <c r="BE36" t="s">
        <v>4501</v>
      </c>
      <c r="BF36" t="s">
        <v>4502</v>
      </c>
      <c r="BG36">
        <v>80</v>
      </c>
      <c r="BH36">
        <v>0</v>
      </c>
    </row>
    <row r="37" spans="1:61" x14ac:dyDescent="0.25">
      <c r="A37">
        <v>2018</v>
      </c>
      <c r="B37" t="s">
        <v>6543</v>
      </c>
      <c r="C37" t="s">
        <v>6551</v>
      </c>
      <c r="D37" t="s">
        <v>6544</v>
      </c>
      <c r="E37" t="s">
        <v>6545</v>
      </c>
      <c r="G37" t="s">
        <v>4493</v>
      </c>
      <c r="H37" t="s">
        <v>6546</v>
      </c>
      <c r="I37">
        <v>1</v>
      </c>
      <c r="J37">
        <v>2</v>
      </c>
      <c r="K37" t="s">
        <v>999</v>
      </c>
      <c r="L37">
        <v>1</v>
      </c>
      <c r="M37">
        <v>218</v>
      </c>
      <c r="N37" t="s">
        <v>6547</v>
      </c>
      <c r="O37">
        <v>8</v>
      </c>
      <c r="P37">
        <v>0</v>
      </c>
      <c r="Q37">
        <v>4</v>
      </c>
      <c r="R37">
        <v>0</v>
      </c>
      <c r="S37">
        <v>1</v>
      </c>
      <c r="T37">
        <v>0</v>
      </c>
      <c r="U37">
        <v>750433</v>
      </c>
      <c r="V37">
        <v>750444</v>
      </c>
      <c r="W37" t="s">
        <v>1814</v>
      </c>
      <c r="X37" t="s">
        <v>6548</v>
      </c>
      <c r="Y37" t="s">
        <v>6549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330</v>
      </c>
      <c r="AG37">
        <v>95</v>
      </c>
      <c r="AH37">
        <v>300</v>
      </c>
      <c r="AI37">
        <v>0</v>
      </c>
      <c r="AJ37">
        <v>85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123</v>
      </c>
      <c r="AZ37">
        <v>3045</v>
      </c>
      <c r="BA37">
        <v>21</v>
      </c>
      <c r="BB37" t="s">
        <v>4500</v>
      </c>
      <c r="BC37" t="s">
        <v>1814</v>
      </c>
      <c r="BD37">
        <v>913217</v>
      </c>
      <c r="BE37" t="s">
        <v>4501</v>
      </c>
      <c r="BF37" t="s">
        <v>4502</v>
      </c>
      <c r="BG37">
        <v>100</v>
      </c>
      <c r="BH37">
        <v>0</v>
      </c>
      <c r="BI37">
        <v>0</v>
      </c>
    </row>
    <row r="38" spans="1:61" x14ac:dyDescent="0.25">
      <c r="A38">
        <v>2009</v>
      </c>
      <c r="B38" t="s">
        <v>4642</v>
      </c>
      <c r="C38" t="s">
        <v>1004</v>
      </c>
      <c r="D38" t="s">
        <v>1004</v>
      </c>
      <c r="E38" t="s">
        <v>4643</v>
      </c>
      <c r="G38" t="s">
        <v>4493</v>
      </c>
      <c r="H38" t="s">
        <v>4644</v>
      </c>
      <c r="I38">
        <v>1</v>
      </c>
      <c r="J38">
        <v>2</v>
      </c>
      <c r="K38" t="s">
        <v>978</v>
      </c>
      <c r="L38">
        <v>5</v>
      </c>
      <c r="M38">
        <v>209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900770</v>
      </c>
      <c r="V38">
        <v>910774</v>
      </c>
      <c r="W38" t="s">
        <v>1814</v>
      </c>
      <c r="X38" t="s">
        <v>4645</v>
      </c>
      <c r="Y38" t="s">
        <v>4646</v>
      </c>
      <c r="Z38">
        <v>900772</v>
      </c>
      <c r="AA38">
        <v>10</v>
      </c>
      <c r="AB38">
        <v>10</v>
      </c>
      <c r="AC38">
        <v>5</v>
      </c>
      <c r="AD38">
        <v>5</v>
      </c>
      <c r="AE38">
        <v>115</v>
      </c>
      <c r="AF38">
        <v>72</v>
      </c>
      <c r="AG38">
        <v>100</v>
      </c>
      <c r="AH38">
        <v>85</v>
      </c>
      <c r="AI38">
        <v>140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86</v>
      </c>
      <c r="AZ38">
        <v>3045</v>
      </c>
      <c r="BA38">
        <v>8</v>
      </c>
      <c r="BB38" t="s">
        <v>4500</v>
      </c>
      <c r="BC38" t="s">
        <v>1814</v>
      </c>
      <c r="BD38">
        <v>911104</v>
      </c>
      <c r="BE38" t="s">
        <v>4501</v>
      </c>
      <c r="BF38" t="s">
        <v>4502</v>
      </c>
      <c r="BG38">
        <v>90</v>
      </c>
      <c r="BH38">
        <v>0</v>
      </c>
    </row>
    <row r="39" spans="1:61" x14ac:dyDescent="0.25">
      <c r="A39">
        <v>2013</v>
      </c>
      <c r="B39" t="s">
        <v>4647</v>
      </c>
      <c r="C39" t="s">
        <v>1009</v>
      </c>
      <c r="D39" t="s">
        <v>1009</v>
      </c>
      <c r="E39" t="s">
        <v>4648</v>
      </c>
      <c r="G39" t="s">
        <v>4493</v>
      </c>
      <c r="H39" t="s">
        <v>4649</v>
      </c>
      <c r="I39">
        <v>1</v>
      </c>
      <c r="J39">
        <v>2</v>
      </c>
      <c r="K39" t="s">
        <v>978</v>
      </c>
      <c r="L39">
        <v>5</v>
      </c>
      <c r="M39">
        <v>213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901251</v>
      </c>
      <c r="V39">
        <v>901253</v>
      </c>
      <c r="W39" t="s">
        <v>1814</v>
      </c>
      <c r="X39" t="s">
        <v>4650</v>
      </c>
      <c r="Y39" t="s">
        <v>4651</v>
      </c>
      <c r="Z39">
        <v>901250</v>
      </c>
      <c r="AA39">
        <v>10</v>
      </c>
      <c r="AB39">
        <v>10</v>
      </c>
      <c r="AC39">
        <v>5</v>
      </c>
      <c r="AD39">
        <v>5</v>
      </c>
      <c r="AE39">
        <v>100</v>
      </c>
      <c r="AF39">
        <v>100</v>
      </c>
      <c r="AG39">
        <v>115</v>
      </c>
      <c r="AH39">
        <v>80</v>
      </c>
      <c r="AI39">
        <v>45</v>
      </c>
      <c r="AJ39">
        <v>0</v>
      </c>
      <c r="AK39">
        <v>180</v>
      </c>
      <c r="AL39">
        <v>5</v>
      </c>
      <c r="AM39">
        <v>150</v>
      </c>
      <c r="AN39">
        <v>95</v>
      </c>
      <c r="AO39">
        <v>5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59</v>
      </c>
      <c r="AZ39">
        <v>3045</v>
      </c>
      <c r="BA39">
        <v>18</v>
      </c>
      <c r="BB39" t="s">
        <v>4500</v>
      </c>
      <c r="BC39" t="s">
        <v>1814</v>
      </c>
      <c r="BD39">
        <v>911012</v>
      </c>
      <c r="BE39" t="s">
        <v>4501</v>
      </c>
      <c r="BF39" t="s">
        <v>4502</v>
      </c>
      <c r="BG39">
        <v>95</v>
      </c>
      <c r="BH39">
        <v>0</v>
      </c>
    </row>
    <row r="40" spans="1:61" x14ac:dyDescent="0.25">
      <c r="A40">
        <v>2005</v>
      </c>
      <c r="B40" t="s">
        <v>4652</v>
      </c>
      <c r="C40" t="s">
        <v>1000</v>
      </c>
      <c r="D40" t="s">
        <v>1000</v>
      </c>
      <c r="E40" t="s">
        <v>4653</v>
      </c>
      <c r="G40" t="s">
        <v>4493</v>
      </c>
      <c r="H40" t="s">
        <v>4654</v>
      </c>
      <c r="I40">
        <v>1</v>
      </c>
      <c r="J40">
        <v>2</v>
      </c>
      <c r="K40" t="s">
        <v>1001</v>
      </c>
      <c r="L40">
        <v>5</v>
      </c>
      <c r="M40">
        <v>205</v>
      </c>
      <c r="N40" t="s">
        <v>979</v>
      </c>
      <c r="O40">
        <v>3</v>
      </c>
      <c r="P40">
        <v>0</v>
      </c>
      <c r="Q40">
        <v>4</v>
      </c>
      <c r="R40">
        <v>0</v>
      </c>
      <c r="S40">
        <v>1</v>
      </c>
      <c r="T40">
        <v>0</v>
      </c>
      <c r="U40">
        <v>900653</v>
      </c>
      <c r="V40">
        <v>900661</v>
      </c>
      <c r="W40" t="s">
        <v>1814</v>
      </c>
      <c r="X40" t="s">
        <v>4655</v>
      </c>
      <c r="Y40" t="s">
        <v>4656</v>
      </c>
      <c r="Z40">
        <v>900655</v>
      </c>
      <c r="AA40">
        <v>10</v>
      </c>
      <c r="AB40">
        <v>10</v>
      </c>
      <c r="AC40">
        <v>5</v>
      </c>
      <c r="AD40">
        <v>5</v>
      </c>
      <c r="AE40">
        <v>36</v>
      </c>
      <c r="AF40">
        <v>100</v>
      </c>
      <c r="AG40">
        <v>105</v>
      </c>
      <c r="AH40">
        <v>105</v>
      </c>
      <c r="AI40">
        <v>50</v>
      </c>
      <c r="AJ40">
        <v>60</v>
      </c>
      <c r="AK40">
        <v>15</v>
      </c>
      <c r="AL40">
        <v>20</v>
      </c>
      <c r="AM40">
        <v>150</v>
      </c>
      <c r="AN40">
        <v>95</v>
      </c>
      <c r="AO40">
        <v>10</v>
      </c>
      <c r="AP40">
        <v>0</v>
      </c>
      <c r="AQ40">
        <v>1</v>
      </c>
      <c r="AR40">
        <v>15</v>
      </c>
      <c r="AS40">
        <v>500</v>
      </c>
      <c r="AT40">
        <v>3</v>
      </c>
      <c r="AU40" t="s">
        <v>329</v>
      </c>
      <c r="AV40" t="s">
        <v>329</v>
      </c>
      <c r="AW40" t="s">
        <v>329</v>
      </c>
      <c r="AX40" t="s">
        <v>329</v>
      </c>
      <c r="AY40">
        <v>30</v>
      </c>
      <c r="AZ40">
        <v>3045</v>
      </c>
      <c r="BA40">
        <v>9</v>
      </c>
      <c r="BB40" t="s">
        <v>4500</v>
      </c>
      <c r="BC40" t="s">
        <v>1814</v>
      </c>
      <c r="BD40">
        <v>910018</v>
      </c>
      <c r="BE40" t="s">
        <v>4501</v>
      </c>
      <c r="BF40" t="s">
        <v>4502</v>
      </c>
      <c r="BG40">
        <v>100</v>
      </c>
      <c r="BH40">
        <v>0</v>
      </c>
    </row>
    <row r="41" spans="1:61" x14ac:dyDescent="0.25">
      <c r="A41">
        <v>2017</v>
      </c>
      <c r="B41" t="s">
        <v>6366</v>
      </c>
      <c r="C41" t="s">
        <v>6373</v>
      </c>
      <c r="D41" t="s">
        <v>6367</v>
      </c>
      <c r="E41" t="s">
        <v>6368</v>
      </c>
      <c r="G41" t="s">
        <v>4493</v>
      </c>
      <c r="H41" t="s">
        <v>6369</v>
      </c>
      <c r="I41">
        <v>1</v>
      </c>
      <c r="J41">
        <v>2</v>
      </c>
      <c r="K41" t="s">
        <v>978</v>
      </c>
      <c r="L41">
        <v>5</v>
      </c>
      <c r="M41">
        <v>217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750377</v>
      </c>
      <c r="W41" t="s">
        <v>1814</v>
      </c>
      <c r="X41" t="s">
        <v>4507</v>
      </c>
      <c r="Y41" t="s">
        <v>329</v>
      </c>
      <c r="Z41">
        <v>750378</v>
      </c>
      <c r="AA41">
        <v>10</v>
      </c>
      <c r="AB41">
        <v>10</v>
      </c>
      <c r="AC41">
        <v>5</v>
      </c>
      <c r="AD41">
        <v>5</v>
      </c>
      <c r="AE41">
        <v>110</v>
      </c>
      <c r="AF41">
        <v>80</v>
      </c>
      <c r="AG41">
        <v>110</v>
      </c>
      <c r="AH41">
        <v>125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121</v>
      </c>
      <c r="AZ41">
        <v>3045</v>
      </c>
      <c r="BA41">
        <v>8</v>
      </c>
      <c r="BB41" t="s">
        <v>4500</v>
      </c>
      <c r="BC41" t="s">
        <v>1814</v>
      </c>
      <c r="BD41">
        <v>913101</v>
      </c>
      <c r="BE41" t="s">
        <v>4501</v>
      </c>
      <c r="BF41" t="s">
        <v>4502</v>
      </c>
      <c r="BG41">
        <v>90</v>
      </c>
      <c r="BH41">
        <v>0</v>
      </c>
      <c r="BI41">
        <v>0</v>
      </c>
    </row>
    <row r="42" spans="1:61" x14ac:dyDescent="0.25">
      <c r="A42">
        <v>2010</v>
      </c>
      <c r="B42" t="s">
        <v>4657</v>
      </c>
      <c r="C42" t="s">
        <v>1005</v>
      </c>
      <c r="D42" t="s">
        <v>1005</v>
      </c>
      <c r="E42" t="s">
        <v>4658</v>
      </c>
      <c r="G42" t="s">
        <v>4493</v>
      </c>
      <c r="H42" t="s">
        <v>4659</v>
      </c>
      <c r="I42">
        <v>1</v>
      </c>
      <c r="J42">
        <v>2</v>
      </c>
      <c r="K42" t="s">
        <v>978</v>
      </c>
      <c r="L42">
        <v>5</v>
      </c>
      <c r="M42">
        <v>210</v>
      </c>
      <c r="N42" t="s">
        <v>979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900842</v>
      </c>
      <c r="W42" t="s">
        <v>1814</v>
      </c>
      <c r="X42" t="s">
        <v>4507</v>
      </c>
      <c r="Y42" t="s">
        <v>4660</v>
      </c>
      <c r="Z42">
        <v>900840</v>
      </c>
      <c r="AA42">
        <v>10</v>
      </c>
      <c r="AB42">
        <v>10</v>
      </c>
      <c r="AC42">
        <v>5</v>
      </c>
      <c r="AD42">
        <v>5</v>
      </c>
      <c r="AE42">
        <v>95</v>
      </c>
      <c r="AF42">
        <v>95</v>
      </c>
      <c r="AG42">
        <v>105</v>
      </c>
      <c r="AH42">
        <v>115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94</v>
      </c>
      <c r="AZ42">
        <v>3045</v>
      </c>
      <c r="BA42">
        <v>8</v>
      </c>
      <c r="BB42" t="s">
        <v>4500</v>
      </c>
      <c r="BC42" t="s">
        <v>1814</v>
      </c>
      <c r="BD42">
        <v>911105</v>
      </c>
      <c r="BE42" t="s">
        <v>4501</v>
      </c>
      <c r="BF42" t="s">
        <v>4502</v>
      </c>
      <c r="BG42">
        <v>90</v>
      </c>
      <c r="BH42">
        <v>0</v>
      </c>
    </row>
    <row r="43" spans="1:61" x14ac:dyDescent="0.25">
      <c r="A43">
        <v>3006</v>
      </c>
      <c r="B43" t="s">
        <v>4661</v>
      </c>
      <c r="C43" t="s">
        <v>1016</v>
      </c>
      <c r="D43" t="s">
        <v>1016</v>
      </c>
      <c r="E43" t="s">
        <v>4662</v>
      </c>
      <c r="G43" t="s">
        <v>4493</v>
      </c>
      <c r="H43" t="s">
        <v>4663</v>
      </c>
      <c r="I43">
        <v>1</v>
      </c>
      <c r="J43">
        <v>3</v>
      </c>
      <c r="K43" t="s">
        <v>1007</v>
      </c>
      <c r="L43">
        <v>5</v>
      </c>
      <c r="M43">
        <v>306</v>
      </c>
      <c r="N43" t="s">
        <v>979</v>
      </c>
      <c r="O43">
        <v>2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900676</v>
      </c>
      <c r="W43" t="s">
        <v>1814</v>
      </c>
      <c r="X43" t="s">
        <v>4655</v>
      </c>
      <c r="Y43" t="s">
        <v>4664</v>
      </c>
      <c r="Z43">
        <v>900654</v>
      </c>
      <c r="AA43">
        <v>10</v>
      </c>
      <c r="AB43">
        <v>10</v>
      </c>
      <c r="AC43">
        <v>5</v>
      </c>
      <c r="AD43">
        <v>5</v>
      </c>
      <c r="AE43">
        <v>36</v>
      </c>
      <c r="AF43">
        <v>90</v>
      </c>
      <c r="AG43">
        <v>100</v>
      </c>
      <c r="AH43">
        <v>100</v>
      </c>
      <c r="AI43">
        <v>100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6</v>
      </c>
      <c r="AZ43">
        <v>3045</v>
      </c>
      <c r="BA43">
        <v>18</v>
      </c>
      <c r="BB43" t="s">
        <v>4500</v>
      </c>
      <c r="BC43" t="s">
        <v>1814</v>
      </c>
      <c r="BD43">
        <v>910003</v>
      </c>
      <c r="BE43" t="s">
        <v>4501</v>
      </c>
      <c r="BF43" t="s">
        <v>4502</v>
      </c>
      <c r="BG43">
        <v>95</v>
      </c>
      <c r="BH43">
        <v>0</v>
      </c>
    </row>
    <row r="44" spans="1:61" x14ac:dyDescent="0.25">
      <c r="A44">
        <v>3010</v>
      </c>
      <c r="B44" t="s">
        <v>4665</v>
      </c>
      <c r="C44" t="s">
        <v>1021</v>
      </c>
      <c r="D44" t="s">
        <v>1021</v>
      </c>
      <c r="E44" t="s">
        <v>4666</v>
      </c>
      <c r="G44" t="s">
        <v>4493</v>
      </c>
      <c r="H44" t="s">
        <v>4667</v>
      </c>
      <c r="I44">
        <v>1</v>
      </c>
      <c r="J44">
        <v>3</v>
      </c>
      <c r="K44" t="s">
        <v>999</v>
      </c>
      <c r="L44">
        <v>1</v>
      </c>
      <c r="M44">
        <v>310</v>
      </c>
      <c r="N44" t="s">
        <v>979</v>
      </c>
      <c r="O44">
        <v>8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901041</v>
      </c>
      <c r="W44" t="s">
        <v>1814</v>
      </c>
      <c r="X44" t="s">
        <v>4668</v>
      </c>
      <c r="Y44" t="s">
        <v>329</v>
      </c>
      <c r="Z44">
        <v>900107</v>
      </c>
      <c r="AA44">
        <v>10</v>
      </c>
      <c r="AB44">
        <v>10</v>
      </c>
      <c r="AC44">
        <v>5</v>
      </c>
      <c r="AD44">
        <v>5</v>
      </c>
      <c r="AE44">
        <v>160</v>
      </c>
      <c r="AF44">
        <v>320</v>
      </c>
      <c r="AG44">
        <v>90</v>
      </c>
      <c r="AH44">
        <v>350</v>
      </c>
      <c r="AI44">
        <v>0</v>
      </c>
      <c r="AJ44">
        <v>90</v>
      </c>
      <c r="AK44">
        <v>100</v>
      </c>
      <c r="AL44">
        <v>5</v>
      </c>
      <c r="AM44">
        <v>150</v>
      </c>
      <c r="AN44">
        <v>75</v>
      </c>
      <c r="AO44">
        <v>3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99</v>
      </c>
      <c r="AZ44">
        <v>3045</v>
      </c>
      <c r="BA44">
        <v>21</v>
      </c>
      <c r="BB44" t="s">
        <v>4500</v>
      </c>
      <c r="BC44" t="s">
        <v>1814</v>
      </c>
      <c r="BD44">
        <v>910021</v>
      </c>
      <c r="BE44" t="s">
        <v>4501</v>
      </c>
      <c r="BF44" t="s">
        <v>4502</v>
      </c>
      <c r="BG44">
        <v>100</v>
      </c>
      <c r="BH44">
        <v>0</v>
      </c>
    </row>
    <row r="45" spans="1:61" x14ac:dyDescent="0.25">
      <c r="A45">
        <v>3003</v>
      </c>
      <c r="B45" t="s">
        <v>4669</v>
      </c>
      <c r="C45" t="s">
        <v>1013</v>
      </c>
      <c r="D45" t="s">
        <v>1013</v>
      </c>
      <c r="E45" t="s">
        <v>4670</v>
      </c>
      <c r="G45" t="s">
        <v>4493</v>
      </c>
      <c r="H45" t="s">
        <v>4671</v>
      </c>
      <c r="I45">
        <v>1</v>
      </c>
      <c r="J45">
        <v>3</v>
      </c>
      <c r="K45" t="s">
        <v>981</v>
      </c>
      <c r="L45">
        <v>5</v>
      </c>
      <c r="M45">
        <v>303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900525</v>
      </c>
      <c r="W45" t="s">
        <v>1814</v>
      </c>
      <c r="X45" t="s">
        <v>4507</v>
      </c>
      <c r="Y45" t="s">
        <v>4672</v>
      </c>
      <c r="Z45">
        <v>900524</v>
      </c>
      <c r="AA45">
        <v>10</v>
      </c>
      <c r="AB45">
        <v>10</v>
      </c>
      <c r="AC45">
        <v>5</v>
      </c>
      <c r="AD45">
        <v>5</v>
      </c>
      <c r="AE45">
        <v>135</v>
      </c>
      <c r="AF45">
        <v>80</v>
      </c>
      <c r="AG45">
        <v>75</v>
      </c>
      <c r="AH45">
        <v>120</v>
      </c>
      <c r="AI45">
        <v>80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1</v>
      </c>
      <c r="AR45">
        <v>15</v>
      </c>
      <c r="AS45">
        <v>500</v>
      </c>
      <c r="AT45">
        <v>3</v>
      </c>
      <c r="AU45" t="s">
        <v>329</v>
      </c>
      <c r="AV45" t="s">
        <v>329</v>
      </c>
      <c r="AW45" t="s">
        <v>329</v>
      </c>
      <c r="AX45" t="s">
        <v>329</v>
      </c>
      <c r="AY45">
        <v>10</v>
      </c>
      <c r="AZ45">
        <v>3045</v>
      </c>
      <c r="BA45">
        <v>16</v>
      </c>
      <c r="BB45" t="s">
        <v>4500</v>
      </c>
      <c r="BC45" t="s">
        <v>1814</v>
      </c>
      <c r="BD45">
        <v>910007</v>
      </c>
      <c r="BE45" t="s">
        <v>4501</v>
      </c>
      <c r="BF45" t="s">
        <v>4502</v>
      </c>
      <c r="BG45">
        <v>92</v>
      </c>
      <c r="BH45">
        <v>0</v>
      </c>
    </row>
    <row r="46" spans="1:61" x14ac:dyDescent="0.25">
      <c r="A46">
        <v>3004</v>
      </c>
      <c r="B46" t="s">
        <v>4673</v>
      </c>
      <c r="C46" t="s">
        <v>1014</v>
      </c>
      <c r="D46" t="s">
        <v>1014</v>
      </c>
      <c r="E46" t="s">
        <v>4674</v>
      </c>
      <c r="G46" t="s">
        <v>4493</v>
      </c>
      <c r="H46" t="s">
        <v>4675</v>
      </c>
      <c r="I46">
        <v>1</v>
      </c>
      <c r="J46">
        <v>3</v>
      </c>
      <c r="K46" t="s">
        <v>978</v>
      </c>
      <c r="L46">
        <v>5</v>
      </c>
      <c r="M46">
        <v>304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900523</v>
      </c>
      <c r="W46" t="s">
        <v>1814</v>
      </c>
      <c r="X46" t="s">
        <v>4507</v>
      </c>
      <c r="Y46" t="s">
        <v>329</v>
      </c>
      <c r="Z46">
        <v>900522</v>
      </c>
      <c r="AA46">
        <v>10</v>
      </c>
      <c r="AB46">
        <v>10</v>
      </c>
      <c r="AC46">
        <v>5</v>
      </c>
      <c r="AD46">
        <v>5</v>
      </c>
      <c r="AE46">
        <v>65</v>
      </c>
      <c r="AF46">
        <v>105</v>
      </c>
      <c r="AG46">
        <v>65</v>
      </c>
      <c r="AH46">
        <v>125</v>
      </c>
      <c r="AI46">
        <v>55</v>
      </c>
      <c r="AJ46">
        <v>0</v>
      </c>
      <c r="AK46">
        <v>180</v>
      </c>
      <c r="AL46">
        <v>50</v>
      </c>
      <c r="AM46">
        <v>200</v>
      </c>
      <c r="AN46">
        <v>95</v>
      </c>
      <c r="AO46">
        <v>6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9</v>
      </c>
      <c r="AZ46">
        <v>3045</v>
      </c>
      <c r="BA46">
        <v>17</v>
      </c>
      <c r="BB46" t="s">
        <v>4500</v>
      </c>
      <c r="BC46" t="s">
        <v>1814</v>
      </c>
      <c r="BD46">
        <v>910006</v>
      </c>
      <c r="BE46" t="s">
        <v>4501</v>
      </c>
      <c r="BF46" t="s">
        <v>4502</v>
      </c>
      <c r="BG46">
        <v>100</v>
      </c>
      <c r="BH46">
        <v>0</v>
      </c>
    </row>
    <row r="47" spans="1:61" x14ac:dyDescent="0.25">
      <c r="A47">
        <v>3009</v>
      </c>
      <c r="B47" t="s">
        <v>4676</v>
      </c>
      <c r="C47" t="s">
        <v>1019</v>
      </c>
      <c r="D47" t="s">
        <v>1019</v>
      </c>
      <c r="E47" t="s">
        <v>4677</v>
      </c>
      <c r="G47" t="s">
        <v>4493</v>
      </c>
      <c r="H47" t="s">
        <v>4678</v>
      </c>
      <c r="I47">
        <v>1</v>
      </c>
      <c r="J47">
        <v>3</v>
      </c>
      <c r="K47" t="s">
        <v>1020</v>
      </c>
      <c r="L47">
        <v>5</v>
      </c>
      <c r="M47">
        <v>309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900741</v>
      </c>
      <c r="W47" t="s">
        <v>1814</v>
      </c>
      <c r="X47" t="s">
        <v>4507</v>
      </c>
      <c r="Y47" t="s">
        <v>329</v>
      </c>
      <c r="Z47">
        <v>900740</v>
      </c>
      <c r="AA47">
        <v>10</v>
      </c>
      <c r="AB47">
        <v>10</v>
      </c>
      <c r="AC47">
        <v>5</v>
      </c>
      <c r="AD47">
        <v>5</v>
      </c>
      <c r="AE47">
        <v>55</v>
      </c>
      <c r="AF47">
        <v>72</v>
      </c>
      <c r="AG47">
        <v>50</v>
      </c>
      <c r="AH47">
        <v>130</v>
      </c>
      <c r="AI47">
        <v>90</v>
      </c>
      <c r="AJ47">
        <v>0</v>
      </c>
      <c r="AK47">
        <v>100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13</v>
      </c>
      <c r="AZ47">
        <v>3045</v>
      </c>
      <c r="BA47">
        <v>21</v>
      </c>
      <c r="BB47" t="s">
        <v>4500</v>
      </c>
      <c r="BC47" t="s">
        <v>1814</v>
      </c>
      <c r="BD47">
        <v>910009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3008</v>
      </c>
      <c r="B48" t="s">
        <v>4679</v>
      </c>
      <c r="C48" t="s">
        <v>1018</v>
      </c>
      <c r="D48" t="s">
        <v>1018</v>
      </c>
      <c r="E48" t="s">
        <v>4680</v>
      </c>
      <c r="G48" t="s">
        <v>4493</v>
      </c>
      <c r="H48" t="s">
        <v>4681</v>
      </c>
      <c r="I48">
        <v>1</v>
      </c>
      <c r="J48">
        <v>3</v>
      </c>
      <c r="K48" t="s">
        <v>1007</v>
      </c>
      <c r="L48">
        <v>5</v>
      </c>
      <c r="M48">
        <v>308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900575</v>
      </c>
      <c r="W48" t="s">
        <v>1814</v>
      </c>
      <c r="X48" t="s">
        <v>4507</v>
      </c>
      <c r="Y48" t="s">
        <v>4682</v>
      </c>
      <c r="Z48">
        <v>900574</v>
      </c>
      <c r="AA48">
        <v>10</v>
      </c>
      <c r="AB48">
        <v>10</v>
      </c>
      <c r="AC48">
        <v>5</v>
      </c>
      <c r="AD48">
        <v>5</v>
      </c>
      <c r="AE48">
        <v>90</v>
      </c>
      <c r="AF48">
        <v>68</v>
      </c>
      <c r="AG48">
        <v>120</v>
      </c>
      <c r="AH48">
        <v>110</v>
      </c>
      <c r="AI48">
        <v>95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1</v>
      </c>
      <c r="AR48">
        <v>15</v>
      </c>
      <c r="AS48">
        <v>500</v>
      </c>
      <c r="AT48">
        <v>4</v>
      </c>
      <c r="AU48" t="s">
        <v>329</v>
      </c>
      <c r="AV48" t="s">
        <v>329</v>
      </c>
      <c r="AW48" t="s">
        <v>329</v>
      </c>
      <c r="AX48" t="s">
        <v>329</v>
      </c>
      <c r="AY48">
        <v>2</v>
      </c>
      <c r="AZ48">
        <v>3045</v>
      </c>
      <c r="BA48">
        <v>21</v>
      </c>
      <c r="BB48" t="s">
        <v>4500</v>
      </c>
      <c r="BC48" t="s">
        <v>1814</v>
      </c>
      <c r="BD48">
        <v>910001</v>
      </c>
      <c r="BE48" t="s">
        <v>4501</v>
      </c>
      <c r="BF48" t="s">
        <v>4502</v>
      </c>
      <c r="BG48">
        <v>80</v>
      </c>
      <c r="BH48">
        <v>0</v>
      </c>
    </row>
    <row r="49" spans="1:60" x14ac:dyDescent="0.25">
      <c r="A49">
        <v>3001</v>
      </c>
      <c r="B49" t="s">
        <v>4683</v>
      </c>
      <c r="C49" t="s">
        <v>1011</v>
      </c>
      <c r="D49" t="s">
        <v>1011</v>
      </c>
      <c r="E49" t="s">
        <v>4684</v>
      </c>
      <c r="G49" t="s">
        <v>4493</v>
      </c>
      <c r="H49" t="s">
        <v>4685</v>
      </c>
      <c r="I49">
        <v>1</v>
      </c>
      <c r="J49">
        <v>3</v>
      </c>
      <c r="K49" t="s">
        <v>978</v>
      </c>
      <c r="L49">
        <v>5</v>
      </c>
      <c r="M49">
        <v>301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600501</v>
      </c>
      <c r="W49" t="s">
        <v>1814</v>
      </c>
      <c r="X49" t="s">
        <v>4507</v>
      </c>
      <c r="Y49" t="s">
        <v>4686</v>
      </c>
      <c r="Z49">
        <v>600503</v>
      </c>
      <c r="AA49">
        <v>10</v>
      </c>
      <c r="AB49">
        <v>10</v>
      </c>
      <c r="AC49">
        <v>5</v>
      </c>
      <c r="AD49">
        <v>5</v>
      </c>
      <c r="AE49">
        <v>100</v>
      </c>
      <c r="AF49">
        <v>62</v>
      </c>
      <c r="AG49">
        <v>100</v>
      </c>
      <c r="AH49">
        <v>65</v>
      </c>
      <c r="AI49">
        <v>130</v>
      </c>
      <c r="AJ49">
        <v>0</v>
      </c>
      <c r="AK49">
        <v>15</v>
      </c>
      <c r="AL49">
        <v>10</v>
      </c>
      <c r="AM49">
        <v>150</v>
      </c>
      <c r="AN49">
        <v>95</v>
      </c>
      <c r="AO49">
        <v>15</v>
      </c>
      <c r="AP49">
        <v>0</v>
      </c>
      <c r="AQ49">
        <v>2</v>
      </c>
      <c r="AR49">
        <v>15</v>
      </c>
      <c r="AS49">
        <v>500</v>
      </c>
      <c r="AT49">
        <v>7</v>
      </c>
      <c r="AU49" t="s">
        <v>329</v>
      </c>
      <c r="AV49" t="s">
        <v>329</v>
      </c>
      <c r="AW49" t="s">
        <v>329</v>
      </c>
      <c r="AX49" t="s">
        <v>329</v>
      </c>
      <c r="AY49">
        <v>4</v>
      </c>
      <c r="AZ49">
        <v>3045</v>
      </c>
      <c r="BA49">
        <v>14</v>
      </c>
      <c r="BB49" t="s">
        <v>4500</v>
      </c>
      <c r="BC49" t="s">
        <v>1814</v>
      </c>
      <c r="BD49">
        <v>910004</v>
      </c>
      <c r="BE49" t="s">
        <v>4501</v>
      </c>
      <c r="BF49" t="s">
        <v>4502</v>
      </c>
      <c r="BG49">
        <v>95</v>
      </c>
      <c r="BH49">
        <v>0</v>
      </c>
    </row>
    <row r="50" spans="1:60" x14ac:dyDescent="0.25">
      <c r="A50">
        <v>3007</v>
      </c>
      <c r="B50" t="s">
        <v>4687</v>
      </c>
      <c r="C50" t="s">
        <v>1017</v>
      </c>
      <c r="D50" t="s">
        <v>1017</v>
      </c>
      <c r="E50" t="s">
        <v>4688</v>
      </c>
      <c r="G50" t="s">
        <v>4493</v>
      </c>
      <c r="H50" t="s">
        <v>4689</v>
      </c>
      <c r="I50">
        <v>1</v>
      </c>
      <c r="J50">
        <v>3</v>
      </c>
      <c r="K50" t="s">
        <v>1007</v>
      </c>
      <c r="L50">
        <v>5</v>
      </c>
      <c r="M50">
        <v>307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900573</v>
      </c>
      <c r="W50" t="s">
        <v>1814</v>
      </c>
      <c r="X50" t="s">
        <v>4507</v>
      </c>
      <c r="Y50" t="s">
        <v>329</v>
      </c>
      <c r="Z50">
        <v>900572</v>
      </c>
      <c r="AA50">
        <v>10</v>
      </c>
      <c r="AB50">
        <v>10</v>
      </c>
      <c r="AC50">
        <v>5</v>
      </c>
      <c r="AD50">
        <v>5</v>
      </c>
      <c r="AE50">
        <v>75</v>
      </c>
      <c r="AF50">
        <v>72</v>
      </c>
      <c r="AG50">
        <v>100</v>
      </c>
      <c r="AH50">
        <v>100</v>
      </c>
      <c r="AI50">
        <v>140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5</v>
      </c>
      <c r="AU50" t="s">
        <v>329</v>
      </c>
      <c r="AV50" t="s">
        <v>329</v>
      </c>
      <c r="AW50" t="s">
        <v>329</v>
      </c>
      <c r="AX50" t="s">
        <v>329</v>
      </c>
      <c r="AY50">
        <v>3</v>
      </c>
      <c r="AZ50">
        <v>3045</v>
      </c>
      <c r="BA50">
        <v>20</v>
      </c>
      <c r="BB50" t="s">
        <v>4500</v>
      </c>
      <c r="BC50" t="s">
        <v>1814</v>
      </c>
      <c r="BD50">
        <v>910002</v>
      </c>
      <c r="BE50" t="s">
        <v>4501</v>
      </c>
      <c r="BF50" t="s">
        <v>4502</v>
      </c>
      <c r="BG50">
        <v>80</v>
      </c>
      <c r="BH50">
        <v>0</v>
      </c>
    </row>
    <row r="51" spans="1:60" x14ac:dyDescent="0.25">
      <c r="A51">
        <v>3005</v>
      </c>
      <c r="B51" t="s">
        <v>4690</v>
      </c>
      <c r="C51" t="s">
        <v>1015</v>
      </c>
      <c r="D51" t="s">
        <v>1015</v>
      </c>
      <c r="E51" t="s">
        <v>4691</v>
      </c>
      <c r="G51" t="s">
        <v>4493</v>
      </c>
      <c r="H51" t="s">
        <v>4692</v>
      </c>
      <c r="I51">
        <v>1</v>
      </c>
      <c r="J51">
        <v>3</v>
      </c>
      <c r="K51" t="s">
        <v>978</v>
      </c>
      <c r="L51">
        <v>5</v>
      </c>
      <c r="M51">
        <v>305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900571</v>
      </c>
      <c r="W51" t="s">
        <v>1814</v>
      </c>
      <c r="X51" t="s">
        <v>4507</v>
      </c>
      <c r="Y51" t="s">
        <v>4693</v>
      </c>
      <c r="Z51">
        <v>900570</v>
      </c>
      <c r="AA51">
        <v>10</v>
      </c>
      <c r="AB51">
        <v>10</v>
      </c>
      <c r="AC51">
        <v>5</v>
      </c>
      <c r="AD51">
        <v>5</v>
      </c>
      <c r="AE51">
        <v>80</v>
      </c>
      <c r="AF51">
        <v>80</v>
      </c>
      <c r="AG51">
        <v>115</v>
      </c>
      <c r="AH51">
        <v>50</v>
      </c>
      <c r="AI51">
        <v>45</v>
      </c>
      <c r="AJ51">
        <v>0</v>
      </c>
      <c r="AK51">
        <v>180</v>
      </c>
      <c r="AL51">
        <v>5</v>
      </c>
      <c r="AM51">
        <v>150</v>
      </c>
      <c r="AN51">
        <v>95</v>
      </c>
      <c r="AO51">
        <v>5</v>
      </c>
      <c r="AP51">
        <v>0</v>
      </c>
      <c r="AQ51">
        <v>2</v>
      </c>
      <c r="AR51">
        <v>15</v>
      </c>
      <c r="AS51">
        <v>500</v>
      </c>
      <c r="AT51">
        <v>9</v>
      </c>
      <c r="AU51" t="s">
        <v>329</v>
      </c>
      <c r="AV51" t="s">
        <v>329</v>
      </c>
      <c r="AW51" t="s">
        <v>329</v>
      </c>
      <c r="AX51" t="s">
        <v>329</v>
      </c>
      <c r="AY51">
        <v>29</v>
      </c>
      <c r="AZ51">
        <v>3045</v>
      </c>
      <c r="BA51">
        <v>18</v>
      </c>
      <c r="BB51" t="s">
        <v>4500</v>
      </c>
      <c r="BC51" t="s">
        <v>1814</v>
      </c>
      <c r="BD51">
        <v>910012</v>
      </c>
      <c r="BE51" t="s">
        <v>4501</v>
      </c>
      <c r="BF51" t="s">
        <v>4502</v>
      </c>
      <c r="BG51">
        <v>95</v>
      </c>
      <c r="BH51">
        <v>0</v>
      </c>
    </row>
    <row r="52" spans="1:60" x14ac:dyDescent="0.25">
      <c r="A52">
        <v>3002</v>
      </c>
      <c r="B52" t="s">
        <v>4694</v>
      </c>
      <c r="C52" t="s">
        <v>1012</v>
      </c>
      <c r="D52" t="s">
        <v>1012</v>
      </c>
      <c r="E52" t="s">
        <v>4695</v>
      </c>
      <c r="G52" t="s">
        <v>4493</v>
      </c>
      <c r="H52" t="s">
        <v>4696</v>
      </c>
      <c r="I52">
        <v>1</v>
      </c>
      <c r="J52">
        <v>3</v>
      </c>
      <c r="K52" t="s">
        <v>978</v>
      </c>
      <c r="L52">
        <v>5</v>
      </c>
      <c r="M52">
        <v>302</v>
      </c>
      <c r="N52" t="s">
        <v>979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600601</v>
      </c>
      <c r="W52" t="s">
        <v>1814</v>
      </c>
      <c r="X52" t="s">
        <v>4507</v>
      </c>
      <c r="Y52" t="s">
        <v>329</v>
      </c>
      <c r="Z52">
        <v>600602</v>
      </c>
      <c r="AA52">
        <v>10</v>
      </c>
      <c r="AB52">
        <v>10</v>
      </c>
      <c r="AC52">
        <v>5</v>
      </c>
      <c r="AD52">
        <v>5</v>
      </c>
      <c r="AE52">
        <v>92</v>
      </c>
      <c r="AF52">
        <v>85</v>
      </c>
      <c r="AG52">
        <v>100</v>
      </c>
      <c r="AH52">
        <v>110</v>
      </c>
      <c r="AI52">
        <v>90</v>
      </c>
      <c r="AJ52">
        <v>0</v>
      </c>
      <c r="AK52">
        <v>15</v>
      </c>
      <c r="AL52">
        <v>20</v>
      </c>
      <c r="AM52">
        <v>150</v>
      </c>
      <c r="AN52">
        <v>95</v>
      </c>
      <c r="AO52">
        <v>12</v>
      </c>
      <c r="AP52">
        <v>0</v>
      </c>
      <c r="AQ52">
        <v>2</v>
      </c>
      <c r="AR52">
        <v>15</v>
      </c>
      <c r="AS52">
        <v>500</v>
      </c>
      <c r="AT52">
        <v>7</v>
      </c>
      <c r="AU52" t="s">
        <v>329</v>
      </c>
      <c r="AV52" t="s">
        <v>329</v>
      </c>
      <c r="AW52" t="s">
        <v>329</v>
      </c>
      <c r="AX52" t="s">
        <v>329</v>
      </c>
      <c r="AY52">
        <v>7</v>
      </c>
      <c r="AZ52">
        <v>3045</v>
      </c>
      <c r="BA52">
        <v>15</v>
      </c>
      <c r="BB52" t="s">
        <v>4500</v>
      </c>
      <c r="BC52" t="s">
        <v>1814</v>
      </c>
      <c r="BD52">
        <v>910005</v>
      </c>
      <c r="BE52" t="s">
        <v>4501</v>
      </c>
      <c r="BF52" t="s">
        <v>4502</v>
      </c>
      <c r="BG52">
        <v>100</v>
      </c>
      <c r="BH52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2">
    <sortCondition ref="J2:J52"/>
    <sortCondition ref="C2:C52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6865</v>
      </c>
      <c r="C4" t="s">
        <v>1088</v>
      </c>
    </row>
    <row r="5" spans="1:3" x14ac:dyDescent="0.25">
      <c r="A5" s="1">
        <v>1004</v>
      </c>
      <c r="B5" t="s">
        <v>6866</v>
      </c>
      <c r="C5" t="s">
        <v>1089</v>
      </c>
    </row>
    <row r="6" spans="1:3" x14ac:dyDescent="0.25">
      <c r="A6" s="1">
        <v>1005</v>
      </c>
      <c r="B6" t="s">
        <v>6867</v>
      </c>
      <c r="C6" t="s">
        <v>1090</v>
      </c>
    </row>
    <row r="7" spans="1:3" x14ac:dyDescent="0.25">
      <c r="A7" s="1">
        <v>2003</v>
      </c>
      <c r="B7" t="s">
        <v>6868</v>
      </c>
      <c r="C7" t="s">
        <v>1091</v>
      </c>
    </row>
    <row r="8" spans="1:3" x14ac:dyDescent="0.25">
      <c r="A8" s="1">
        <v>2004</v>
      </c>
      <c r="B8" t="s">
        <v>6869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6870</v>
      </c>
      <c r="C10" t="s">
        <v>1094</v>
      </c>
    </row>
    <row r="11" spans="1:3" x14ac:dyDescent="0.25">
      <c r="A11" s="1">
        <v>3003</v>
      </c>
      <c r="B11" t="s">
        <v>6871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6872</v>
      </c>
      <c r="C13" t="s">
        <v>1097</v>
      </c>
    </row>
    <row r="14" spans="1:3" x14ac:dyDescent="0.25">
      <c r="A14" s="1">
        <v>3006</v>
      </c>
      <c r="B14" t="s">
        <v>6873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1"/>
  <sheetViews>
    <sheetView workbookViewId="0">
      <pane ySplit="1" topLeftCell="A288" activePane="bottomLeft" state="frozen"/>
      <selection activeCell="AG316" sqref="AG316"/>
      <selection pane="bottomLeft" activeCell="A297" sqref="A297:Y30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6370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6470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6470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6470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6470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6550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6807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6806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6806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6806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6806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6943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6942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6942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6942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6942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6984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6982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6982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6982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6982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8019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8018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8018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8018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8018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24" sqref="C24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6610</v>
      </c>
      <c r="L8" s="131" t="s">
        <v>6599</v>
      </c>
      <c r="M8" s="132" t="s">
        <v>943</v>
      </c>
    </row>
    <row r="9" spans="1:13" x14ac:dyDescent="0.25">
      <c r="A9"/>
      <c r="B9" t="s">
        <v>952</v>
      </c>
      <c r="C9" t="s">
        <v>6345</v>
      </c>
      <c r="G9" s="133" t="str">
        <f>IFERROR(INDEX('Strat Buff Data'!B:B,MATCH(Main!$B78,'Strat Buff Data'!$A:$A,0)),"N/A")</f>
        <v>N/A</v>
      </c>
      <c r="H9" s="134" t="str">
        <f>IFERROR(INDEX('Strat Buff Data'!C:C,MATCH(Main!$B78,'Strat Buff Data'!$A:$A,0)),"N/A")</f>
        <v>N/A</v>
      </c>
      <c r="J9" t="s">
        <v>6611</v>
      </c>
      <c r="K9" s="1"/>
      <c r="L9" s="133" t="str">
        <f>IFERROR(INDEX('Strat Buff Data'!F:F,MATCH(Main!$B84,'Strat Buff Data'!$E:$E,0)),"N/A")</f>
        <v>N/A</v>
      </c>
      <c r="M9" s="134" t="str">
        <f>IFERROR(INDEX('Strat Buff Data'!G:G,MATCH(Main!$B84,'Strat Buff Data'!$E:$E,0)),"N/A")</f>
        <v>N/A</v>
      </c>
    </row>
    <row r="10" spans="1:13" x14ac:dyDescent="0.25">
      <c r="A10"/>
      <c r="B10" t="s">
        <v>953</v>
      </c>
      <c r="C10" t="s">
        <v>6346</v>
      </c>
      <c r="G10" s="133" t="str">
        <f>IFERROR(INDEX('Strat Buff Data'!B:B,MATCH(Main!$B79,'Strat Buff Data'!$A:$A,0)),"N/A")</f>
        <v>N/A</v>
      </c>
      <c r="H10" s="134" t="str">
        <f>IFERROR(INDEX('Strat Buff Data'!C:C,MATCH(Main!$B79,'Strat Buff Data'!$A:$A,0)),"N/A")</f>
        <v>N/A</v>
      </c>
      <c r="J10" t="s">
        <v>6612</v>
      </c>
      <c r="K10" s="1"/>
      <c r="L10" s="133" t="str">
        <f>IFERROR(INDEX('Strat Buff Data'!F:F,MATCH(Main!$B85,'Strat Buff Data'!$E:$E,0)),"N/A")</f>
        <v>N/A</v>
      </c>
      <c r="M10" s="134" t="str">
        <f>IFERROR(INDEX('Strat Buff Data'!G:G,MATCH(Main!$B85,'Strat Buff Data'!$E:$E,0)),"N/A")</f>
        <v>N/A</v>
      </c>
    </row>
    <row r="11" spans="1:13" x14ac:dyDescent="0.25">
      <c r="A11"/>
      <c r="B11" t="s">
        <v>954</v>
      </c>
      <c r="C11" t="s">
        <v>6347</v>
      </c>
      <c r="G11" s="135" t="str">
        <f>IFERROR(INDEX('Strat Buff Data'!B:B,MATCH(Main!$B80,'Strat Buff Data'!$A:$A,0)),"N/A")</f>
        <v>N/A</v>
      </c>
      <c r="H11" s="136" t="str">
        <f>IFERROR(INDEX('Strat Buff Data'!C:C,MATCH(Main!$B80,'Strat Buff Data'!$A:$A,0)),"N/A")</f>
        <v>N/A</v>
      </c>
      <c r="J11" t="s">
        <v>6613</v>
      </c>
      <c r="L11" s="135" t="str">
        <f>IFERROR(INDEX('Strat Buff Data'!F:F,MATCH(Main!$B86,'Strat Buff Data'!$E:$E,0)),"N/A")</f>
        <v>N/A</v>
      </c>
      <c r="M11" s="136" t="str">
        <f>IFERROR(INDEX('Strat Buff Data'!G:G,MATCH(Main!$B86,'Strat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6607</v>
      </c>
    </row>
    <row r="14" spans="1:13" x14ac:dyDescent="0.25">
      <c r="A14"/>
      <c r="B14" t="s">
        <v>955</v>
      </c>
      <c r="C14" t="str">
        <f>INDEX($C$8:$C$11,COUNTA(Main!$B$78:$B$80)+1)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SUBSTITUTE(SUBSTITUTE(SUBSTITUTE(C16,"skill1",IF(ISBLANK(StratSL1),"",TEXT(StratSL1,"00"))),"skill2",IF(ISBLANK(StratSL2),"",TEXT(StratSL2,"00"))),"skill3",IF(ISBLANK(StratSL3),"",TEXT(StratSL3,"00")))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6608</v>
      </c>
    </row>
    <row r="21" spans="1:11" x14ac:dyDescent="0.25">
      <c r="A21"/>
      <c r="B21" t="s">
        <v>955</v>
      </c>
      <c r="C21" t="str">
        <f>INDEX($J$8:$J$11,COUNTA(Main!$B$84:$B$86)+1)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SUBSTITUTE(SUBSTITUTE(SUBSTITUTE(C23,"skill1",IF(ISBLANK(DebuffSL1),"",TEXT(DebuffSL1,"00"))),"skill2",IF(ISBLANK(DebuffSL2),"",TEXT(DebufftSL2,"00"))),"skill3",IF(ISBLANK(DebuffSL3),"",TEXT(DebuffSL3,"00")))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7107</v>
      </c>
      <c r="C27" s="9"/>
    </row>
    <row r="28" spans="1:11" x14ac:dyDescent="0.25">
      <c r="A28"/>
      <c r="B28" s="9" t="s">
        <v>955</v>
      </c>
      <c r="C28" t="str">
        <f>INDEX($F$28:$F$31,COUNTA(Main!$B$90:$B$92)+1)</f>
        <v>"building_info": "{}",</v>
      </c>
      <c r="F28" t="s">
        <v>7110</v>
      </c>
    </row>
    <row r="29" spans="1:11" x14ac:dyDescent="0.25">
      <c r="A29"/>
      <c r="B29" s="256" t="s">
        <v>7111</v>
      </c>
      <c r="C29" t="str">
        <f>SUBSTITUTE(SUBSTITUTE(C28,"building1",Main!B90),"spot1",Main!C90)</f>
        <v>"building_info": "{}",</v>
      </c>
      <c r="F29" s="9" t="s">
        <v>7114</v>
      </c>
    </row>
    <row r="30" spans="1:11" x14ac:dyDescent="0.25">
      <c r="A30"/>
      <c r="B30" s="256" t="s">
        <v>7112</v>
      </c>
      <c r="C30" t="str">
        <f>SUBSTITUTE(SUBSTITUTE(C29,"building2",Main!B91),"spot2",Main!C91)</f>
        <v>"building_info": "{}",</v>
      </c>
      <c r="F30" s="9" t="s">
        <v>7115</v>
      </c>
    </row>
    <row r="31" spans="1:11" x14ac:dyDescent="0.25">
      <c r="A31"/>
      <c r="B31" s="256" t="s">
        <v>7113</v>
      </c>
      <c r="C31" t="str">
        <f>SUBSTITUTE(SUBSTITUTE(C30,"building3",Main!B92),"spot3",Main!C92)</f>
        <v>"building_info": "{}",</v>
      </c>
      <c r="F31" s="9" t="s">
        <v>7116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6573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6573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5786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6350</v>
      </c>
      <c r="C52" s="219" t="s">
        <v>6371</v>
      </c>
    </row>
    <row r="53" spans="2:3" x14ac:dyDescent="0.25">
      <c r="B53" t="s">
        <v>6351</v>
      </c>
      <c r="C53" s="219" t="s">
        <v>6352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AO1" workbookViewId="0">
      <pane ySplit="1" topLeftCell="A2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6450</v>
      </c>
      <c r="AZ1" s="43" t="s">
        <v>6433</v>
      </c>
      <c r="BA1" s="43" t="s">
        <v>6434</v>
      </c>
      <c r="BB1" s="43" t="s">
        <v>6451</v>
      </c>
      <c r="BC1" s="43" t="s">
        <v>6452</v>
      </c>
      <c r="BD1" s="43" t="s">
        <v>6453</v>
      </c>
      <c r="BE1" s="43" t="s">
        <v>6435</v>
      </c>
      <c r="BF1" s="43" t="s">
        <v>6438</v>
      </c>
      <c r="BG1" s="43" t="s">
        <v>6441</v>
      </c>
      <c r="BH1" s="43" t="s">
        <v>6444</v>
      </c>
      <c r="BI1" s="43" t="s">
        <v>6447</v>
      </c>
      <c r="BJ1" s="43" t="s">
        <v>6436</v>
      </c>
      <c r="BK1" s="43" t="s">
        <v>6439</v>
      </c>
      <c r="BL1" s="43" t="s">
        <v>6442</v>
      </c>
      <c r="BM1" s="43" t="s">
        <v>6445</v>
      </c>
      <c r="BN1" s="43" t="s">
        <v>6448</v>
      </c>
      <c r="BO1" s="43" t="s">
        <v>6437</v>
      </c>
      <c r="BP1" s="43" t="s">
        <v>6440</v>
      </c>
      <c r="BQ1" s="43" t="s">
        <v>6443</v>
      </c>
      <c r="BR1" s="43" t="s">
        <v>6446</v>
      </c>
      <c r="BS1" s="43" t="s">
        <v>6449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7132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7183</v>
      </c>
      <c r="AH2" t="s">
        <v>520</v>
      </c>
      <c r="AI2" t="s">
        <v>524</v>
      </c>
      <c r="AJ2" t="s">
        <v>6378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7212</v>
      </c>
      <c r="M3" s="9" t="s">
        <v>94</v>
      </c>
      <c r="N3" s="9" t="s">
        <v>202</v>
      </c>
      <c r="O3" s="9" t="s">
        <v>227</v>
      </c>
      <c r="P3" t="s">
        <v>8032</v>
      </c>
      <c r="Q3" t="s">
        <v>6773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7212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6892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822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6380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6522</v>
      </c>
      <c r="M5" s="9" t="s">
        <v>1619</v>
      </c>
      <c r="N5" s="9" t="s">
        <v>809</v>
      </c>
      <c r="O5" s="9" t="s">
        <v>191</v>
      </c>
      <c r="P5" s="9" t="s">
        <v>170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171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5723</v>
      </c>
      <c r="Z6" t="s">
        <v>7239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895</v>
      </c>
      <c r="R7" s="9" t="s">
        <v>136</v>
      </c>
      <c r="S7" s="9" t="s">
        <v>1627</v>
      </c>
      <c r="T7" s="9" t="s">
        <v>101</v>
      </c>
      <c r="U7" s="9" t="s">
        <v>7013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6856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6902</v>
      </c>
      <c r="N8" s="9" t="s">
        <v>789</v>
      </c>
      <c r="O8" s="9" t="s">
        <v>788</v>
      </c>
      <c r="P8" s="9" t="s">
        <v>1644</v>
      </c>
      <c r="S8" s="9" t="s">
        <v>1172</v>
      </c>
      <c r="T8" t="s">
        <v>6688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6857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235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t="s">
        <v>6694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6858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805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7161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6497</v>
      </c>
      <c r="P11" s="9" t="s">
        <v>1738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7223</v>
      </c>
      <c r="N12" s="9" t="s">
        <v>1656</v>
      </c>
      <c r="O12" s="9" t="s">
        <v>1630</v>
      </c>
      <c r="P12" s="9" t="s">
        <v>143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6484</v>
      </c>
      <c r="AD12" s="9" t="s">
        <v>931</v>
      </c>
      <c r="AE12" t="s">
        <v>4730</v>
      </c>
      <c r="AL12" s="40"/>
      <c r="AU12" t="s">
        <v>6948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166</v>
      </c>
      <c r="S13" s="9" t="s">
        <v>727</v>
      </c>
      <c r="T13" s="9" t="s">
        <v>1718</v>
      </c>
      <c r="U13" t="s">
        <v>6680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6859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7125</v>
      </c>
      <c r="F14" t="s">
        <v>7168</v>
      </c>
      <c r="G14" s="9"/>
      <c r="I14" s="9" t="s">
        <v>1617</v>
      </c>
      <c r="J14" s="9" t="s">
        <v>730</v>
      </c>
      <c r="K14" s="9" t="s">
        <v>6998</v>
      </c>
      <c r="N14" s="9" t="s">
        <v>1649</v>
      </c>
      <c r="O14" s="9" t="s">
        <v>159</v>
      </c>
      <c r="P14" s="9" t="s">
        <v>93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6860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6665</v>
      </c>
      <c r="F15" s="9" t="s">
        <v>820</v>
      </c>
      <c r="G15" s="9"/>
      <c r="I15" s="9" t="s">
        <v>81</v>
      </c>
      <c r="J15" s="9" t="s">
        <v>6400</v>
      </c>
      <c r="K15" s="9" t="s">
        <v>804</v>
      </c>
      <c r="N15" s="9" t="s">
        <v>142</v>
      </c>
      <c r="O15" t="s">
        <v>6673</v>
      </c>
      <c r="P15" s="9" t="s">
        <v>266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96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6585</v>
      </c>
      <c r="AL16" s="40"/>
      <c r="AM16" s="40"/>
      <c r="AP16" s="40"/>
      <c r="AU16" t="s">
        <v>926</v>
      </c>
      <c r="AV16" t="s">
        <v>7013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6655</v>
      </c>
      <c r="G17" s="9"/>
      <c r="I17" s="9" t="s">
        <v>1680</v>
      </c>
      <c r="J17" s="9" t="s">
        <v>1634</v>
      </c>
      <c r="K17" s="9" t="s">
        <v>82</v>
      </c>
      <c r="N17" s="9" t="s">
        <v>1620</v>
      </c>
      <c r="O17" s="9" t="s">
        <v>87</v>
      </c>
      <c r="P17" s="9" t="s">
        <v>7139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786</v>
      </c>
      <c r="AD17" t="s">
        <v>6594</v>
      </c>
      <c r="AE17" s="9" t="s">
        <v>1641</v>
      </c>
      <c r="AU17" t="s">
        <v>927</v>
      </c>
      <c r="AV17" t="s">
        <v>5754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6476</v>
      </c>
      <c r="F18" s="9" t="s">
        <v>121</v>
      </c>
      <c r="G18" s="9"/>
      <c r="I18" s="9" t="s">
        <v>181</v>
      </c>
      <c r="J18" s="9" t="s">
        <v>226</v>
      </c>
      <c r="K18" s="9" t="s">
        <v>190</v>
      </c>
      <c r="N18" s="9" t="s">
        <v>1663</v>
      </c>
      <c r="O18" s="9" t="s">
        <v>244</v>
      </c>
      <c r="P18" s="9" t="s">
        <v>201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1669</v>
      </c>
      <c r="AD18" s="9" t="s">
        <v>1679</v>
      </c>
      <c r="AE18" s="255" t="s">
        <v>7037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5692</v>
      </c>
      <c r="F19" s="9" t="s">
        <v>193</v>
      </c>
      <c r="G19" s="9"/>
      <c r="I19" s="9" t="s">
        <v>156</v>
      </c>
      <c r="J19" s="9" t="s">
        <v>1618</v>
      </c>
      <c r="K19" s="9" t="s">
        <v>1652</v>
      </c>
      <c r="N19" s="9" t="s">
        <v>222</v>
      </c>
      <c r="O19" s="9" t="s">
        <v>833</v>
      </c>
      <c r="P19" s="9" t="s">
        <v>185</v>
      </c>
      <c r="T19" s="9" t="s">
        <v>98</v>
      </c>
      <c r="U19" s="9" t="s">
        <v>1436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1659</v>
      </c>
      <c r="N20" s="9" t="s">
        <v>1610</v>
      </c>
      <c r="O20" s="9" t="s">
        <v>1687</v>
      </c>
      <c r="P20" s="9" t="s">
        <v>132</v>
      </c>
      <c r="T20" s="9" t="s">
        <v>99</v>
      </c>
      <c r="U20" s="9" t="s">
        <v>735</v>
      </c>
      <c r="Z20" s="9" t="s">
        <v>834</v>
      </c>
      <c r="AE20" s="216" t="s">
        <v>825</v>
      </c>
      <c r="AU20" t="s">
        <v>5678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5783</v>
      </c>
      <c r="K21" s="9" t="s">
        <v>1691</v>
      </c>
      <c r="N21" s="9" t="s">
        <v>119</v>
      </c>
      <c r="O21" s="9" t="s">
        <v>92</v>
      </c>
      <c r="P21" s="9" t="s">
        <v>821</v>
      </c>
      <c r="T21" s="9" t="s">
        <v>22</v>
      </c>
      <c r="U21" s="9" t="s">
        <v>824</v>
      </c>
      <c r="Z21" t="s">
        <v>1697</v>
      </c>
      <c r="AE21" t="s">
        <v>6575</v>
      </c>
      <c r="AU21" t="s">
        <v>5677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141</v>
      </c>
      <c r="N22" s="9" t="s">
        <v>3404</v>
      </c>
      <c r="O22" s="9" t="s">
        <v>1645</v>
      </c>
      <c r="P22" s="9" t="s">
        <v>1686</v>
      </c>
      <c r="T22" s="9" t="s">
        <v>796</v>
      </c>
      <c r="U22" s="9" t="s">
        <v>223</v>
      </c>
      <c r="Z22" s="9" t="s">
        <v>7029</v>
      </c>
      <c r="AE22" t="s">
        <v>7248</v>
      </c>
      <c r="AU22" t="s">
        <v>6855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1709</v>
      </c>
      <c r="N23" s="9" t="s">
        <v>218</v>
      </c>
      <c r="O23" s="9" t="s">
        <v>800</v>
      </c>
      <c r="P23" s="9" t="s">
        <v>1621</v>
      </c>
      <c r="T23" s="9" t="s">
        <v>7146</v>
      </c>
      <c r="U23" t="s">
        <v>8041</v>
      </c>
      <c r="Z23" s="9" t="s">
        <v>1674</v>
      </c>
      <c r="AE23" s="9" t="s">
        <v>250</v>
      </c>
      <c r="AU23" t="s">
        <v>6949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1735</v>
      </c>
      <c r="O24" s="9" t="s">
        <v>5707</v>
      </c>
      <c r="P24" t="s">
        <v>1400</v>
      </c>
      <c r="T24" s="9" t="s">
        <v>229</v>
      </c>
      <c r="U24" s="9" t="s">
        <v>7022</v>
      </c>
      <c r="AE24" s="216" t="s">
        <v>734</v>
      </c>
      <c r="AQ24" s="9"/>
      <c r="AU24" t="s">
        <v>6950</v>
      </c>
      <c r="AV24" t="s">
        <v>5738</v>
      </c>
      <c r="AZ24" s="1" t="str">
        <f t="shared" si="2"/>
        <v>HK433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5682</v>
      </c>
      <c r="J25" s="9" t="s">
        <v>741</v>
      </c>
      <c r="K25" s="9" t="s">
        <v>1633</v>
      </c>
      <c r="O25" s="9" t="s">
        <v>243</v>
      </c>
      <c r="P25" t="s">
        <v>8022</v>
      </c>
      <c r="T25" s="9" t="s">
        <v>1655</v>
      </c>
      <c r="U25" s="9" t="s">
        <v>188</v>
      </c>
      <c r="AQ25" s="9"/>
      <c r="AU25" t="s">
        <v>6951</v>
      </c>
      <c r="AV25" t="s">
        <v>252</v>
      </c>
      <c r="AZ25" s="1" t="str">
        <f t="shared" si="2"/>
        <v>Junko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6771</v>
      </c>
      <c r="F26" s="9" t="s">
        <v>267</v>
      </c>
      <c r="J26" s="9" t="s">
        <v>24</v>
      </c>
      <c r="K26" s="9" t="s">
        <v>5699</v>
      </c>
      <c r="O26" s="9" t="s">
        <v>830</v>
      </c>
      <c r="P26" s="9" t="s">
        <v>1661</v>
      </c>
      <c r="T26" s="9" t="s">
        <v>1622</v>
      </c>
      <c r="U26" s="9" t="s">
        <v>168</v>
      </c>
      <c r="AQ26" s="9"/>
      <c r="AV26" t="s">
        <v>1632</v>
      </c>
      <c r="AZ26" s="1" t="str">
        <f t="shared" si="2"/>
        <v>K11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7214</v>
      </c>
      <c r="F27" s="9" t="s">
        <v>732</v>
      </c>
      <c r="J27" s="9" t="s">
        <v>23</v>
      </c>
      <c r="K27" s="9" t="s">
        <v>127</v>
      </c>
      <c r="O27" s="9" t="s">
        <v>839</v>
      </c>
      <c r="P27" s="9" t="s">
        <v>207</v>
      </c>
      <c r="T27" s="9" t="s">
        <v>831</v>
      </c>
      <c r="U27" s="9" t="s">
        <v>1712</v>
      </c>
      <c r="AQ27" s="9"/>
      <c r="AV27" t="s">
        <v>258</v>
      </c>
      <c r="AZ27" s="1" t="str">
        <f t="shared" si="2"/>
        <v>K2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123</v>
      </c>
      <c r="K28" s="9" t="s">
        <v>76</v>
      </c>
      <c r="O28" s="9" t="s">
        <v>172</v>
      </c>
      <c r="P28" s="9" t="s">
        <v>249</v>
      </c>
      <c r="T28" s="9" t="s">
        <v>739</v>
      </c>
      <c r="U28" s="9" t="s">
        <v>257</v>
      </c>
      <c r="AV28" t="s">
        <v>74</v>
      </c>
      <c r="AZ28" s="1" t="str">
        <f t="shared" si="2"/>
        <v>KH2002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6988</v>
      </c>
      <c r="J29" t="s">
        <v>5486</v>
      </c>
      <c r="K29" s="9" t="s">
        <v>224</v>
      </c>
      <c r="P29" t="s">
        <v>236</v>
      </c>
      <c r="T29" s="9" t="s">
        <v>6774</v>
      </c>
      <c r="U29" s="9" t="s">
        <v>256</v>
      </c>
      <c r="AV29" t="s">
        <v>104</v>
      </c>
      <c r="AZ29" s="1" t="str">
        <f t="shared" si="2"/>
        <v>M4 SOPMOD IIMod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265</v>
      </c>
      <c r="P30" s="9" t="s">
        <v>818</v>
      </c>
      <c r="T30" s="9" t="s">
        <v>180</v>
      </c>
      <c r="U30" s="9" t="s">
        <v>179</v>
      </c>
      <c r="AV30" t="s">
        <v>744</v>
      </c>
      <c r="AZ30" s="1" t="str">
        <f t="shared" si="2"/>
        <v>M4A1Mod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264</v>
      </c>
      <c r="P31" s="9" t="s">
        <v>6911</v>
      </c>
      <c r="U31" t="s">
        <v>1403</v>
      </c>
      <c r="AV31" t="s">
        <v>3221</v>
      </c>
      <c r="AZ31" s="1" t="str">
        <f t="shared" si="2"/>
        <v>MDR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79</v>
      </c>
      <c r="P32" s="9" t="s">
        <v>795</v>
      </c>
      <c r="U32" s="9" t="s">
        <v>1631</v>
      </c>
      <c r="AV32" t="s">
        <v>746</v>
      </c>
      <c r="AZ32" s="1" t="str">
        <f t="shared" si="2"/>
        <v>Medusa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BrenTen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817</v>
      </c>
      <c r="P33" s="9" t="s">
        <v>737</v>
      </c>
      <c r="U33" t="s">
        <v>5716</v>
      </c>
      <c r="AV33" t="s">
        <v>748</v>
      </c>
      <c r="AZ33" s="1" t="str">
        <f t="shared" si="2"/>
        <v>OTs14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C96Mod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198</v>
      </c>
      <c r="P34" s="9" t="s">
        <v>814</v>
      </c>
      <c r="U34" s="9" t="s">
        <v>791</v>
      </c>
      <c r="AV34" t="s">
        <v>747</v>
      </c>
      <c r="AZ34" s="1" t="str">
        <f t="shared" si="2"/>
        <v>QBZ191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ClaesMeteorite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1244</v>
      </c>
      <c r="U35" s="9" t="s">
        <v>230</v>
      </c>
      <c r="AV35" t="s">
        <v>749</v>
      </c>
      <c r="AZ35" s="1" t="str">
        <f t="shared" si="2"/>
        <v>R5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ClaesSpectacles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1675</v>
      </c>
      <c r="U36" t="s">
        <v>1761</v>
      </c>
      <c r="AV36" t="s">
        <v>718</v>
      </c>
      <c r="AZ36" s="1" t="str">
        <f t="shared" si="2"/>
        <v>RFB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ClaesWristwatch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P37" s="9" t="s">
        <v>95</v>
      </c>
      <c r="U37" s="9" t="s">
        <v>1676</v>
      </c>
      <c r="AV37" t="s">
        <v>1648</v>
      </c>
      <c r="AZ37" s="1" t="str">
        <f t="shared" si="2"/>
        <v>Ribeyrolles1918Mod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Clear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P38" s="9" t="s">
        <v>932</v>
      </c>
      <c r="U38" s="9" t="s">
        <v>6919</v>
      </c>
      <c r="AV38" t="s">
        <v>152</v>
      </c>
      <c r="AZ38" s="1" t="str">
        <f t="shared" si="2"/>
        <v>SACR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CMS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6408</v>
      </c>
      <c r="AV39" t="s">
        <v>736</v>
      </c>
      <c r="AZ39" s="1" t="str">
        <f t="shared" si="2"/>
        <v>SCAR-L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CZ75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894</v>
      </c>
      <c r="AV40" t="s">
        <v>1611</v>
      </c>
      <c r="AZ40" s="1" t="str">
        <f t="shared" si="2"/>
        <v>SCR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Dana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246</v>
      </c>
      <c r="AV41" t="s">
        <v>722</v>
      </c>
      <c r="AZ41" s="1" t="str">
        <f t="shared" si="2"/>
        <v>SIG MCX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Defender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1689</v>
      </c>
      <c r="AV42" t="s">
        <v>7183</v>
      </c>
      <c r="AZ42" s="1" t="str">
        <f t="shared" si="2"/>
        <v>SIG556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Dorothy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160</v>
      </c>
      <c r="AV43" t="s">
        <v>109</v>
      </c>
      <c r="AZ43" s="1" t="str">
        <f t="shared" si="2"/>
        <v>ST AR15Mod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DP12Mod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1685</v>
      </c>
      <c r="AV44" t="s">
        <v>3186</v>
      </c>
      <c r="AZ44" s="1" t="str">
        <f t="shared" si="2"/>
        <v>T91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DP28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t="s">
        <v>6775</v>
      </c>
      <c r="AV45" t="s">
        <v>827</v>
      </c>
      <c r="AZ45" s="1" t="str">
        <f t="shared" si="2"/>
        <v>TKB408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EVO3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792</v>
      </c>
      <c r="AV46" t="s">
        <v>1190</v>
      </c>
      <c r="AZ46" s="1" t="str">
        <f t="shared" si="2"/>
        <v>Type56-1mod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F1Mod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133</v>
      </c>
      <c r="AV47" t="s">
        <v>719</v>
      </c>
      <c r="AZ47" s="1" t="str">
        <f t="shared" si="2"/>
        <v>Type89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F2000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134</v>
      </c>
      <c r="AV48" t="s">
        <v>711</v>
      </c>
      <c r="AZ48" s="1" t="str">
        <f t="shared" si="2"/>
        <v>Type95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Fail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s="9" t="s">
        <v>807</v>
      </c>
      <c r="AV49" t="s">
        <v>125</v>
      </c>
      <c r="AZ49" s="1" t="str">
        <f t="shared" si="2"/>
        <v>Type97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FAMAS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t="s">
        <v>7231</v>
      </c>
      <c r="AV50" t="s">
        <v>1635</v>
      </c>
      <c r="AZ50" s="1" t="str">
        <f t="shared" si="2"/>
        <v>VHS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FG42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t="s">
        <v>5745</v>
      </c>
      <c r="AV51" t="s">
        <v>1424</v>
      </c>
      <c r="AZ51" s="1" t="str">
        <f t="shared" si="2"/>
        <v>VRB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Fiveseven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U52" s="9" t="s">
        <v>169</v>
      </c>
      <c r="AV52" t="s">
        <v>1643</v>
      </c>
      <c r="AZ52" s="1" t="str">
        <f t="shared" si="2"/>
        <v>XM8Mod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FN49Mod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1454</v>
      </c>
      <c r="AZ53" s="1" t="str">
        <f t="shared" si="2"/>
        <v>Zas M21</v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FP6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75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G11Mod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1755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G17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1436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G36CMod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1434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G36Mod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735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G3Mod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94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G41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832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G43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1762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Galil Mod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120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Gepard M1Mod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1692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Grizzly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248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GSh18Mod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223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Henrietta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259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HK416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1726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HK416Mod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262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Honey Badger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78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IDWMod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1698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Ingram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192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Jashin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756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Jericho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759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JillAdelhyde1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760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JillAdelhyde2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757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JillBronsonExtract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755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JillFlanergide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758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JillKarmotrine1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761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JillKarmotrine2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842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JillKarmotrine3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7022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JillPowderedDelta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168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Junko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7168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K2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93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K5Mod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6772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Kar98k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723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Kar98kmod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266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KS23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96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KSVKMod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6773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Lee Enfield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6998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Lee Enfieldmod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261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Lily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86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LWMMGMod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255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M1 Garand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98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M14Mod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145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M16A1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785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M1887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725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M1895Mod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253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M1897Mod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105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M1911Mod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260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M1918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7324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M1918Mod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107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M1918Ranking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7161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M1919A4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789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M1919A4Mod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89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M1A1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1178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M21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77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M249SAW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147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M3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715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M37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257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M38Mod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256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M4 SOPMOD IIMod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716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M4A1Mod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812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M500Mod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185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M6 ASW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63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M82A1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263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M9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68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M950AMod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941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Makarov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179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MakarovMod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1403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MDR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114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Medusa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6484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MG3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300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MG3Mod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112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MG4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930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MG42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8059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MG4Mod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254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MG4ModGreyZone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1407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Micro UziMod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1185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Minos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806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Mk23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729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MondragonM1908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1686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MosinNagant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7322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MosinNagantMod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1760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MosinNagantModGreyZone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1690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MP443Mod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730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MP446Mod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1416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MP5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8058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MP5Mod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1688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MP5ModGreyZone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131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NTW20Mod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6497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NZ75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1700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OBRMod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1701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Ots12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71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Ots44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197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P08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69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P22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122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P38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190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P7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129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P90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1400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P99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111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Pekola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154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PK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1691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PKP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1140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PP19Mod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70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PP2000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6476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PPK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908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PPKMod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5730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PPSh41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91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PPsh41Mod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186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PTRD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64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Px4 Storm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159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Python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1661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PzB39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230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QBU88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1761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RFB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249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Ribeyrolles1918Mod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931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Rico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826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RMB93Mod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110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RO635Mod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267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RPD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1641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SAAMod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7037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Saiga12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236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Saki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6911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Sakura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6919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SCAR-H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751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SCAR-L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732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SCW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750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Sei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745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Serdyukov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81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SIG510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795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Skorpion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116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SL8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87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Spectre M4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1633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Springfield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100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SR3MP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1689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ST AR-15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7323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ST AR15Mod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67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ST AR15ModGreyZone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740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Stechkin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7989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StechkinMod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737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StechkinModGreyZone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829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Stella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726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STEN MkIIMod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127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Stg44Mod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6522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Suomi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833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SuomiMod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1687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Super SASSMod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92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SV98Mod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1619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SVD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181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SVT38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1244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T77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6988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TAC50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739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Tae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76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TAR21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66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Thompson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250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Tokarev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243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Triela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830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Type 4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224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Type 56 RMod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239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Type 79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6775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Type03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136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Type56-1mod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118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Type63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741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Type64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7988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Type64Mod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834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Type64ModGreyZone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119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Type80Mod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839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Type88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6771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Type88Mod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712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Type92mod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734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Type95/97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1658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Type97SMod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731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UKM2000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265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UMP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264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UMP45Mod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97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UMP9Mod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95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VM59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835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WA2000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932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Welrod MkIIMod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V229" t="s">
        <v>5745</v>
      </c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XM3Mod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V230" t="s">
        <v>1697</v>
      </c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>XM8Mod</v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V231" t="s">
        <v>7029</v>
      </c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>Yurine</v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>Yuugiri</v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31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3FE012-3DB6-4162-8172-CBE2AC34244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67</vt:i4>
      </vt:variant>
    </vt:vector>
  </HeadingPairs>
  <TitlesOfParts>
    <vt:vector size="96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HOCInput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2023-06-29T14:42:30Z</dcterms:modified>
</cp:coreProperties>
</file>