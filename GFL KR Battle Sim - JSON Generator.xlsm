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A17D964C-C728-4C77-B9A6-88B23A177783}"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88" i="48" l="1"/>
  <c r="H189" i="48"/>
  <c r="H190" i="48"/>
  <c r="H191" i="48"/>
  <c r="H192" i="48"/>
  <c r="H193" i="48"/>
  <c r="A111" i="55"/>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<sst xmlns="http://schemas.openxmlformats.org/spreadsheetml/2006/main" count="29303" uniqueCount="9054">
  <si>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</si>
  <si>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</si>
  <si>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</si>
  <si>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</si>
  <si>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</si>
  <si>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</si>
  <si>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</si>
  <si>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</si>
  <si>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</si>
  <si>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</si>
  <si>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</si>
  <si>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</si>
  <si>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</si>
  <si>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</si>
  <si>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</si>
  <si>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</si>
  <si>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</si>
  <si>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</si>
  <si>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</si>
  <si>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</si>
  <si>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</si>
  <si>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</si>
  <si>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</si>
  <si>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</si>
  <si>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</si>
  <si>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</si>
  <si>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</si>
  <si>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</si>
  <si>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</si>
  <si>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</si>
  <si>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</si>
  <si>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</si>
  <si>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</si>
  <si>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</si>
  <si>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</si>
  <si>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</si>
  <si>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</si>
  <si>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</si>
  <si>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</si>
  <si>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</si>
  <si>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</si>
  <si>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</si>
  <si>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</si>
  <si>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</si>
  <si>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</si>
  <si>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</si>
  <si>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</si>
  <si>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</si>
  <si>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</si>
  <si>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</si>
  <si>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</si>
  <si>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</si>
  <si>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</si>
  <si>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</si>
  <si>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</si>
  <si>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</si>
  <si>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</si>
  <si>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</si>
  <si>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</si>
  <si>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</si>
  <si>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</si>
  <si>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</si>
  <si>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</si>
  <si>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</si>
  <si>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</si>
  <si>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</si>
  <si>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</si>
  <si>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</si>
  <si>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</si>
  <si>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</si>
  <si>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</si>
  <si>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</si>
  <si>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</si>
  <si>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</si>
  <si>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</si>
  <si>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</si>
  <si>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</si>
  <si>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</si>
  <si>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</si>
  <si>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</si>
  <si>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</si>
  <si>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</si>
  <si>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</si>
  <si>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</si>
  <si>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</si>
  <si>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</si>
  <si>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</si>
  <si>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</si>
  <si>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</si>
  <si>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</si>
  <si>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</si>
  <si>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</si>
  <si>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</si>
  <si>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</si>
  <si>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</si>
  <si>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</si>
  <si>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</si>
  <si>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</si>
  <si>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</si>
  <si>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</si>
  <si>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</si>
  <si>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</si>
  <si>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</si>
  <si>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</si>
  <si>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</si>
  <si>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</si>
  <si>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</si>
  <si>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</si>
  <si>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</si>
  <si>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</si>
  <si>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</si>
  <si>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</si>
  <si>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</si>
  <si>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</si>
  <si>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</si>
  <si>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</si>
  <si>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</si>
  <si>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</si>
  <si>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</si>
  <si>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</si>
  <si>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</si>
  <si>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</si>
  <si>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</si>
  <si>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</si>
  <si>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</si>
  <si>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</si>
  <si>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</si>
  <si>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</si>
  <si>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</si>
  <si>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</si>
  <si>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</si>
  <si>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</si>
  <si>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</si>
  <si>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</si>
  <si>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</si>
  <si>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</si>
  <si>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</si>
  <si>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</si>
  <si>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</si>
  <si>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</si>
  <si>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</si>
  <si>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</si>
  <si>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</si>
  <si>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</si>
  <si>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</si>
  <si>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</si>
  <si>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</si>
  <si>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</si>
  <si>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</si>
  <si>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</si>
  <si>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</si>
  <si>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</si>
  <si>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</si>
  <si>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</si>
  <si>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</si>
  <si>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</si>
  <si>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</si>
  <si>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</si>
  <si>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</si>
  <si>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</si>
  <si>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</si>
  <si>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</si>
  <si>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</si>
  <si>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</si>
  <si>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</si>
  <si>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</si>
  <si>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</si>
  <si>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</si>
  <si>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</si>
  <si>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</si>
  <si>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</si>
  <si>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</si>
  <si>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</si>
  <si>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</si>
  <si>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</si>
  <si>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</si>
  <si>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</si>
  <si>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</si>
  <si>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</si>
  <si>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</si>
  <si>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</si>
  <si>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</si>
  <si>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</si>
  <si>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</si>
  <si>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</si>
  <si>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</si>
  <si>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</si>
  <si>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</si>
  <si>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</si>
  <si>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</si>
  <si>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</si>
  <si>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</si>
  <si>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</si>
  <si>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</si>
  <si>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</si>
  <si>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</si>
  <si>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</si>
  <si>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</si>
  <si>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</si>
  <si>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</si>
  <si>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</si>
  <si>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</si>
  <si>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</si>
  <si>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</si>
  <si>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</si>
  <si>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</si>
  <si>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</si>
  <si>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</si>
  <si>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</si>
  <si>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</si>
  <si>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</si>
  <si>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</si>
  <si>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</si>
  <si>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</si>
  <si>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</si>
  <si>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</si>
  <si>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</si>
  <si>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</si>
  <si>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</si>
  <si>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</si>
  <si>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</si>
  <si>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</si>
  <si>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</si>
  <si>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</si>
  <si>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</si>
  <si>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</si>
  <si>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</si>
  <si>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</si>
  <si>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</si>
  <si>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</si>
  <si>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</si>
  <si>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</si>
  <si>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</si>
  <si>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</si>
  <si>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</si>
  <si>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</si>
  <si>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</si>
  <si>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</si>
  <si>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</si>
  <si>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</si>
  <si>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</si>
  <si>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</si>
  <si>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</si>
  <si>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</si>
  <si>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</si>
  <si>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</si>
  <si>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</si>
  <si>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</si>
  <si>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</si>
  <si>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</si>
  <si>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</si>
  <si>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</si>
  <si>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</si>
  <si>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</si>
  <si>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</si>
  <si>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</si>
  <si>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</si>
  <si>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</si>
  <si>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</si>
  <si>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</si>
  <si>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</si>
  <si>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</si>
  <si>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</si>
  <si>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</si>
  <si>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</si>
  <si>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</si>
  <si>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</si>
  <si>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</si>
  <si>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</si>
  <si>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</si>
  <si>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</si>
  <si>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</si>
  <si>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</si>
  <si>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</si>
  <si>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</si>
  <si>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</si>
  <si>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</si>
  <si>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</si>
  <si>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</si>
  <si>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</si>
  <si>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</si>
  <si>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</si>
  <si>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</si>
  <si>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</si>
  <si>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</si>
  <si>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</si>
  <si>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</si>
  <si>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</si>
  <si>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</si>
  <si>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</si>
  <si>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</si>
  <si>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</si>
  <si>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</si>
  <si>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</si>
  <si>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</si>
  <si>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</si>
  <si>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</si>
  <si>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</si>
  <si>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</si>
  <si>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</si>
  <si>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</si>
  <si>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</si>
  <si>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</si>
  <si>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</si>
  <si>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</si>
  <si>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</si>
  <si>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</si>
  <si>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</si>
  <si>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</si>
  <si>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</si>
  <si>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</si>
  <si>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</si>
  <si>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</si>
  <si>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</si>
  <si>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</si>
  <si>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</si>
  <si>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</si>
  <si>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</si>
  <si>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</si>
  <si>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</si>
  <si>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</si>
  <si>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</si>
  <si>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</si>
  <si>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</si>
  <si>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</si>
  <si>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</si>
  <si>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</si>
  <si>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</si>
  <si>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</si>
  <si>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</si>
  <si>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</si>
  <si>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</si>
  <si>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</si>
  <si>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</si>
  <si>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</si>
  <si>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</si>
  <si>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</si>
  <si>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</si>
  <si>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</si>
  <si>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</si>
  <si>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</si>
  <si>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</si>
  <si>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</si>
  <si>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</si>
  <si>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</si>
  <si>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</si>
  <si>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</si>
  <si>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</si>
  <si>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</si>
  <si>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</si>
  <si>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</si>
  <si>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</si>
  <si>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</si>
  <si>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</si>
  <si>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</si>
  <si>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</si>
  <si>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</si>
  <si>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</si>
  <si>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</si>
  <si>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</si>
  <si>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</si>
  <si>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</si>
  <si>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</si>
  <si>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</si>
  <si>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</si>
  <si>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</si>
  <si>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</si>
  <si>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</si>
  <si>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</si>
  <si>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</si>
  <si>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</si>
  <si>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</si>
  <si>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</si>
  <si>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</si>
  <si>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</si>
  <si>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</si>
  <si>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</si>
  <si>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</si>
  <si>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</si>
  <si>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</si>
  <si>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</si>
  <si>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</si>
  <si>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</si>
  <si>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</si>
  <si>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</si>
  <si>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</si>
  <si>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</si>
  <si>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</si>
  <si>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</si>
  <si>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</si>
  <si>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</si>
  <si>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</si>
  <si>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</si>
  <si>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</si>
  <si>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</si>
  <si>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</si>
  <si>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</si>
  <si>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</si>
  <si>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</si>
  <si>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</si>
  <si>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</si>
  <si>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</si>
  <si>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</si>
  <si>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</si>
  <si>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</si>
  <si>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</si>
  <si>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</si>
  <si>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</si>
  <si>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</si>
  <si>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</si>
  <si>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</si>
  <si>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</si>
  <si>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</si>
  <si>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</si>
  <si>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</si>
  <si>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</si>
  <si>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</si>
  <si>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</si>
  <si>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</si>
  <si>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</si>
  <si>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</si>
  <si>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</si>
  <si>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</si>
  <si>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</si>
  <si>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</si>
  <si>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</si>
  <si>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</si>
  <si>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</si>
  <si>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</si>
  <si>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</si>
  <si>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</si>
  <si>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</si>
  <si>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</si>
  <si>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</si>
  <si>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</si>
  <si>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</si>
  <si>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</si>
  <si>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</si>
  <si>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</si>
  <si>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</si>
  <si>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</si>
  <si>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</si>
  <si>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</si>
  <si>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</si>
  <si>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</si>
  <si>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</si>
  <si>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</si>
  <si>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</si>
  <si>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</si>
  <si>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</si>
  <si>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</si>
  <si>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</si>
  <si>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</si>
  <si>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</si>
  <si>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</si>
  <si>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</si>
  <si>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</si>
  <si>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</si>
  <si>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</si>
  <si>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</si>
  <si>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</si>
  <si>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</si>
  <si>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</si>
  <si>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</si>
  <si>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</si>
  <si>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</si>
  <si>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</si>
  <si>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</si>
  <si>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</si>
  <si>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</si>
  <si>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</si>
  <si>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</si>
  <si>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</si>
  <si>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</si>
  <si>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</si>
  <si>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</si>
  <si>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</si>
  <si>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</si>
  <si>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</si>
  <si>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</si>
  <si>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</si>
  <si>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</si>
  <si>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</si>
  <si>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</si>
  <si>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</si>
  <si>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</si>
  <si>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</si>
  <si>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</si>
  <si>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</si>
  <si>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</si>
  <si>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</si>
  <si>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</si>
  <si>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</si>
  <si>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</si>
  <si>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</si>
  <si>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</si>
  <si>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</si>
  <si>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</si>
  <si>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</si>
  <si>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</si>
  <si>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</si>
  <si>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</si>
  <si>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</si>
  <si>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</si>
  <si>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</si>
  <si>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</si>
  <si>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</si>
  <si>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</si>
  <si>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</si>
  <si>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</si>
  <si>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</si>
  <si>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</si>
  <si>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</si>
  <si>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</si>
  <si>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</si>
  <si>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</si>
  <si>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</si>
  <si>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</si>
  <si>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</si>
  <si>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</si>
  <si>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</si>
  <si>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</si>
  <si>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</si>
  <si>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</si>
  <si>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</si>
  <si>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</si>
  <si>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</si>
  <si>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</si>
  <si>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</si>
  <si>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</si>
  <si>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</si>
  <si>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</si>
  <si>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</si>
  <si>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</si>
  <si>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</si>
  <si>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</si>
  <si>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</si>
  <si>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</si>
  <si>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</si>
  <si>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</si>
  <si>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</si>
  <si>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</si>
  <si>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</si>
  <si>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</si>
  <si>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</si>
  <si>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</si>
  <si>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</si>
  <si>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</si>
  <si>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</si>
  <si>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</si>
  <si>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</si>
  <si>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</si>
  <si>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</si>
  <si>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</si>
  <si>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</si>
  <si>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</si>
  <si>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</si>
  <si>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</si>
  <si>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</si>
  <si>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</si>
  <si>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</si>
  <si>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</si>
  <si>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</si>
  <si>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</si>
  <si>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</si>
  <si>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</si>
  <si>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</si>
  <si>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</si>
  <si>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</si>
  <si>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</si>
  <si>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</si>
  <si>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</si>
  <si>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</si>
  <si>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</si>
  <si>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</si>
  <si>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</si>
  <si>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</si>
  <si>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</si>
  <si>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</si>
  <si>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</si>
  <si>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</si>
  <si>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</si>
  <si>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</si>
  <si>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</si>
  <si>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</si>
  <si>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</si>
  <si>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</si>
  <si>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</si>
  <si>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</si>
  <si>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</si>
  <si>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</si>
  <si>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</si>
  <si>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</si>
  <si>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</si>
  <si>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</si>
  <si>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</si>
  <si>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</si>
  <si>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</si>
  <si>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</si>
  <si>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</si>
  <si>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</si>
  <si>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</si>
  <si>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</si>
  <si>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</si>
  <si>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</si>
  <si>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</si>
  <si>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</si>
  <si>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</si>
  <si>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</si>
  <si>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</si>
  <si>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</si>
  <si>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</si>
  <si>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</si>
  <si>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</si>
  <si>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</si>
  <si>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</si>
  <si>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</si>
  <si>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</si>
  <si>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</si>
  <si>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</si>
  <si>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</si>
  <si>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</si>
  <si>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</si>
  <si>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</si>
  <si>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</si>
  <si>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</si>
  <si>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</si>
  <si>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</si>
  <si>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</si>
  <si>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</si>
  <si>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</si>
  <si>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</si>
  <si>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</si>
  <si>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</si>
  <si>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</si>
  <si>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</si>
  <si>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</si>
  <si>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</si>
  <si>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</si>
  <si>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</si>
  <si>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</si>
  <si>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</si>
  <si>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</si>
  <si>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</si>
  <si>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</si>
  <si>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</si>
  <si>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</si>
  <si>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</si>
  <si>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</si>
  <si>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</si>
  <si>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</si>
  <si>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</si>
  <si>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</si>
  <si>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</si>
  <si>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</si>
  <si>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</si>
  <si>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</si>
  <si>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</si>
  <si>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</si>
  <si>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</si>
  <si>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</si>
  <si>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</si>
  <si>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</si>
  <si>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</si>
  <si>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</si>
  <si>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</si>
  <si>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</si>
  <si>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</si>
  <si>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</si>
  <si>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</si>
  <si>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</si>
  <si>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</si>
  <si>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</si>
  <si>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</si>
  <si>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</si>
  <si>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</si>
  <si>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</si>
  <si>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</si>
  <si>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</si>
  <si>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</si>
  <si>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</si>
  <si>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</si>
  <si>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</si>
  <si>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</si>
  <si>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</si>
  <si>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</si>
  <si>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</si>
  <si>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</si>
  <si>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</si>
  <si>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</si>
  <si>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</si>
  <si>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</si>
  <si>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</si>
  <si>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</si>
  <si>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</si>
  <si>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</si>
  <si>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</si>
  <si>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</si>
  <si>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</si>
  <si>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</si>
  <si>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</si>
  <si>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</si>
  <si>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</si>
  <si>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</si>
  <si>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</si>
  <si>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</si>
  <si>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</si>
  <si>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</si>
  <si>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</si>
  <si>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</si>
  <si>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</si>
  <si>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</si>
  <si>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</si>
  <si>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</si>
  <si>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</si>
  <si>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</si>
  <si>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</si>
  <si>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</si>
  <si>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</si>
  <si>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</si>
  <si>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</si>
  <si>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</si>
  <si>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</si>
  <si>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</si>
  <si>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</si>
  <si>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</si>
  <si>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</si>
  <si>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</si>
  <si>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</si>
  <si>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</si>
  <si>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</si>
  <si>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</si>
  <si>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</si>
  <si>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</si>
  <si>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</si>
  <si>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</si>
  <si>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</si>
  <si>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</si>
  <si>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</si>
  <si>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</si>
  <si>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</si>
  <si>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</si>
  <si>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</si>
  <si>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</si>
  <si>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</si>
  <si>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</si>
  <si>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</si>
  <si>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</si>
  <si>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</si>
  <si>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</si>
  <si>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</si>
  <si>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</si>
  <si>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</si>
  <si>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</si>
  <si>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</si>
  <si>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</si>
  <si>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</si>
  <si>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</si>
  <si>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</si>
  <si>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</si>
  <si>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</si>
  <si>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</si>
  <si>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</si>
  <si>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</si>
  <si>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</si>
  <si>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</si>
  <si>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</si>
  <si>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</si>
  <si>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</si>
  <si>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</si>
  <si>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</si>
  <si>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</si>
  <si>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</si>
  <si>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</si>
  <si>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</si>
  <si>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</si>
  <si>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</si>
  <si>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</si>
  <si>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</si>
  <si>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</si>
  <si>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</si>
  <si>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</si>
  <si>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</si>
  <si>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</si>
  <si>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</si>
  <si>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</si>
  <si>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</si>
  <si>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</si>
  <si>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</si>
  <si>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</si>
  <si>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</si>
  <si>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</si>
  <si>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</si>
  <si>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</si>
  <si>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</si>
  <si>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</si>
  <si>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</si>
  <si>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</si>
  <si>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</si>
  <si>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</si>
  <si>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</si>
  <si>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</si>
  <si>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</si>
  <si>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</si>
  <si>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</si>
  <si>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</si>
  <si>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</si>
  <si>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</si>
  <si>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</si>
  <si>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</si>
  <si>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</si>
  <si>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</si>
  <si>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</si>
  <si>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</si>
  <si>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</si>
  <si>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</si>
  <si>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</si>
  <si>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</si>
  <si>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</si>
  <si>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</si>
  <si>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</si>
  <si>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</si>
  <si>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</si>
  <si>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</si>
  <si>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</si>
  <si>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</si>
  <si>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</si>
  <si>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</si>
  <si>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</si>
  <si>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</si>
  <si>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</si>
  <si>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</si>
  <si>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</si>
  <si>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</si>
  <si>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</si>
  <si>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</si>
  <si>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</si>
  <si>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</si>
  <si>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</si>
  <si>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</si>
  <si>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</si>
  <si>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</si>
  <si>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</si>
  <si>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</si>
  <si>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</si>
  <si>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</si>
  <si>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</si>
  <si>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</si>
  <si>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</si>
  <si>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</si>
  <si>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</si>
  <si>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</si>
  <si>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</si>
  <si>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</si>
  <si>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</si>
  <si>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</si>
  <si>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</si>
  <si>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</si>
  <si>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</si>
  <si>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</si>
  <si>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</si>
  <si>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</si>
  <si>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</si>
  <si>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</si>
  <si>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</si>
  <si>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</si>
  <si>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</si>
  <si>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</si>
  <si>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</si>
  <si>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</si>
  <si>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</si>
  <si>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</si>
  <si>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</si>
  <si>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</si>
  <si>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</si>
  <si>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</si>
  <si>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</si>
  <si>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</si>
  <si>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</si>
  <si>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</si>
  <si>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</si>
  <si>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</si>
  <si>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</si>
  <si>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</si>
  <si>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</si>
  <si>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</si>
  <si>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</si>
  <si>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</si>
  <si>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</si>
  <si>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</si>
  <si>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</si>
  <si>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</si>
  <si>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</si>
  <si>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</si>
  <si>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</si>
  <si>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</si>
  <si>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</si>
  <si>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</si>
  <si>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</si>
  <si>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</si>
  <si>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</si>
  <si>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</si>
  <si>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</si>
  <si>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</si>
  <si>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</si>
  <si>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</si>
  <si>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</si>
  <si>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</si>
  <si>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</si>
  <si>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</si>
  <si>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</si>
  <si>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</si>
  <si>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</si>
  <si>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</si>
  <si>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</si>
  <si>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</si>
  <si>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</si>
  <si>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</si>
  <si>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</si>
  <si>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</si>
  <si>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</si>
  <si>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</si>
  <si>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</si>
  <si>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</si>
  <si>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</si>
  <si>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</si>
  <si>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</si>
  <si>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</si>
  <si>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</si>
  <si>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</si>
  <si>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</si>
  <si>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</si>
  <si>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</si>
  <si>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</si>
  <si>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</si>
  <si>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</si>
  <si>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</si>
  <si>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</si>
  <si>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</si>
  <si>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</si>
  <si>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</si>
  <si>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</si>
  <si>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</si>
  <si>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</si>
  <si>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</si>
  <si>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</si>
  <si>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</si>
  <si>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</si>
  <si>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</si>
  <si>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</si>
  <si>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</si>
  <si>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</si>
  <si>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</si>
  <si>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</si>
  <si>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</si>
  <si>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</si>
  <si>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</si>
  <si>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</si>
  <si>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</si>
  <si>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</si>
  <si>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</si>
  <si>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</si>
  <si>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</si>
  <si>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</si>
  <si>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</si>
  <si>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</si>
  <si>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</si>
  <si>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</si>
  <si>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</si>
  <si>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</si>
  <si>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</si>
  <si>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</si>
  <si>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</si>
  <si>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</si>
  <si>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</si>
  <si>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</si>
  <si>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</si>
  <si>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</si>
  <si>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</si>
  <si>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</si>
  <si>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</si>
  <si>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</si>
  <si>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</si>
  <si>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</si>
  <si>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</si>
  <si>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</si>
  <si>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</si>
  <si>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</si>
  <si>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</si>
  <si>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</si>
  <si>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</si>
  <si>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</si>
  <si>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</si>
  <si>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</si>
  <si>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</si>
  <si>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</si>
  <si>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</si>
  <si>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</si>
  <si>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</si>
  <si>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</si>
  <si>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</si>
  <si>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</si>
  <si>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</si>
  <si>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</si>
  <si>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</si>
  <si>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</si>
  <si>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</si>
  <si>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</si>
  <si>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</si>
  <si>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</si>
  <si>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</si>
  <si>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</si>
  <si>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</si>
  <si>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</si>
  <si>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</si>
  <si>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</si>
  <si>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</si>
  <si>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</si>
  <si>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</si>
  <si>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</si>
  <si>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</si>
  <si>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</si>
  <si>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</si>
  <si>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</si>
  <si>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</si>
  <si>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</si>
  <si>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</si>
  <si>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</si>
  <si>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</si>
  <si>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</si>
  <si>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</si>
  <si>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</si>
  <si>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</si>
  <si>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</si>
  <si>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</si>
  <si>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</si>
  <si>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</si>
  <si>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</si>
  <si>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</si>
  <si>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</si>
  <si>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</si>
  <si>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</si>
  <si>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</si>
  <si>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</si>
  <si>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</si>
  <si>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</si>
  <si>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</si>
  <si>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</si>
  <si>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</si>
  <si>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</si>
  <si>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</si>
  <si>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</si>
  <si>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</si>
  <si>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</si>
  <si>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</si>
  <si>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</si>
  <si>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</si>
  <si>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</si>
  <si>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</si>
  <si>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</si>
  <si>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</si>
  <si>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</si>
  <si>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</si>
  <si>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</si>
  <si>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</si>
  <si>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</si>
  <si>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</si>
  <si>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</si>
  <si>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</si>
  <si>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</si>
  <si>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</si>
  <si>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</si>
  <si>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</si>
  <si>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</si>
  <si>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</si>
  <si>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</si>
  <si>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</si>
  <si>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</si>
  <si>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</si>
  <si>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</si>
  <si>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</si>
  <si>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</si>
  <si>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</si>
  <si>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</si>
  <si>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</si>
  <si>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</si>
  <si>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</si>
  <si>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</si>
  <si>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</si>
  <si>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</si>
  <si>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</si>
  <si>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</si>
  <si>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</si>
  <si>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</si>
  <si>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</si>
  <si>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</si>
  <si>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</si>
  <si>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</si>
  <si>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</si>
  <si>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</si>
  <si>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</si>
  <si>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</si>
  <si>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</si>
  <si>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</si>
  <si>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</si>
  <si>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</si>
  <si>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</si>
  <si>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</si>
  <si>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</si>
  <si>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</si>
  <si>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</si>
  <si>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</si>
  <si>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</si>
  <si>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</si>
  <si>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</si>
  <si>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</si>
  <si>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</si>
  <si>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</si>
  <si>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</si>
  <si>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</si>
  <si>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</si>
  <si>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</si>
  <si>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</si>
  <si>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</si>
  <si>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</si>
  <si>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</si>
  <si>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</si>
  <si>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</si>
  <si>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</si>
  <si>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</si>
  <si>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</si>
  <si>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</si>
  <si>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</si>
  <si>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</si>
  <si>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</si>
  <si>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</si>
  <si>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</si>
  <si>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</si>
  <si>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</si>
  <si>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</si>
  <si>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</si>
  <si>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</si>
  <si>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</si>
  <si>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</si>
  <si>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</si>
  <si>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</si>
  <si>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</si>
  <si>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</si>
  <si>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</si>
  <si>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</si>
  <si>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</si>
  <si>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</si>
  <si>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</si>
  <si>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</si>
  <si>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</si>
  <si>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</si>
  <si>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</si>
  <si>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</si>
  <si>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</si>
  <si>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</si>
  <si>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</si>
  <si>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</si>
  <si>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</si>
  <si>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</si>
  <si>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</si>
  <si>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</si>
  <si>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</si>
  <si>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</si>
  <si>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</si>
  <si>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</si>
  <si>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</si>
  <si>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</si>
  <si>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</si>
  <si>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</si>
  <si>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</si>
  <si>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</si>
  <si>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</si>
  <si>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</si>
  <si>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</si>
  <si>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</si>
  <si>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</si>
  <si>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</si>
  <si>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</si>
  <si>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</si>
  <si>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</si>
  <si>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</si>
  <si>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</si>
  <si>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</si>
  <si>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</si>
  <si>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</si>
  <si>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</si>
  <si>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</si>
  <si>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</si>
  <si>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</si>
  <si>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</si>
  <si>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</si>
  <si>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</si>
  <si>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</si>
  <si>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</si>
  <si>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</si>
  <si>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</si>
  <si>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</si>
  <si>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</si>
  <si>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</si>
  <si>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</si>
  <si>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</si>
  <si>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</si>
  <si>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</si>
  <si>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</si>
  <si>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</si>
  <si>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</si>
  <si>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</si>
  <si>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</si>
  <si>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</si>
  <si>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</si>
  <si>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</si>
  <si>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</si>
  <si>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</si>
  <si>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</si>
  <si>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</si>
  <si>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</si>
  <si>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</si>
  <si>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</si>
  <si>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</si>
  <si>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</si>
  <si>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</si>
  <si>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</si>
  <si>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</si>
  <si>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</si>
  <si>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</si>
  <si>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</si>
  <si>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</si>
  <si>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</si>
  <si>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</si>
  <si>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</si>
  <si>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</si>
  <si>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</si>
  <si>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</si>
  <si>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</si>
  <si>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</si>
  <si>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</si>
  <si>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</si>
  <si>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</si>
  <si>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</si>
  <si>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</si>
  <si>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</si>
  <si>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</si>
  <si>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</si>
  <si>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</si>
  <si>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</si>
  <si>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</si>
  <si>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</si>
  <si>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</si>
  <si>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</si>
  <si>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</si>
  <si>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</si>
  <si>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</si>
  <si>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</si>
  <si>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</si>
  <si>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</si>
  <si>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</si>
  <si>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</si>
  <si>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</si>
  <si>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</si>
  <si>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</si>
  <si>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</si>
  <si>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</si>
  <si>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</si>
  <si>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</si>
  <si>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</si>
  <si>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</si>
  <si>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</si>
  <si>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</si>
  <si>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</si>
  <si>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</si>
  <si>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</si>
  <si>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</si>
  <si>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</si>
  <si>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</si>
  <si>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</si>
  <si>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</si>
  <si>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</si>
  <si>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</si>
  <si>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</si>
  <si>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</si>
  <si>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</si>
  <si>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</si>
  <si>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</si>
  <si>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</si>
  <si>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</si>
  <si>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</si>
  <si>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</si>
  <si>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</si>
  <si>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</si>
  <si>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</si>
  <si>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</si>
  <si>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</si>
  <si>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</si>
  <si>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</si>
  <si>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</si>
  <si>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</si>
  <si>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</si>
  <si>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</si>
  <si>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</si>
  <si>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</si>
  <si>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</si>
  <si>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</si>
  <si>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</si>
  <si>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</si>
  <si>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</si>
  <si>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</si>
  <si>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</si>
  <si>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</si>
  <si>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</si>
  <si>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</si>
  <si>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</si>
  <si>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</si>
  <si>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</si>
  <si>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</si>
  <si>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</si>
  <si>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</si>
  <si>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</si>
  <si>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</si>
  <si>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</si>
  <si>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</si>
  <si>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</si>
  <si>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</si>
  <si>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</si>
  <si>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</si>
  <si>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</si>
  <si>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</si>
  <si>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</si>
  <si>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</si>
  <si>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</si>
  <si>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</si>
  <si>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</si>
  <si>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</si>
  <si>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</si>
  <si>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</si>
  <si>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</si>
  <si>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</si>
  <si>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</si>
  <si>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</si>
  <si>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</si>
  <si>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</si>
  <si>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</si>
  <si>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</si>
  <si>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</si>
  <si>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</si>
  <si>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</si>
  <si>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</si>
  <si>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</si>
  <si>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</si>
  <si>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</si>
  <si>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</si>
  <si>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</si>
  <si>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</si>
  <si>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</si>
  <si>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</si>
  <si>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</si>
  <si>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</si>
  <si>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</si>
  <si>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</si>
  <si>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</si>
  <si>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</si>
  <si>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</si>
  <si>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</si>
  <si>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</si>
  <si>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</si>
  <si>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</si>
  <si>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</si>
  <si>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</si>
  <si>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</si>
  <si>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</si>
  <si>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</si>
  <si>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</si>
  <si>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</si>
  <si>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</si>
  <si>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</si>
  <si>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</si>
  <si>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</si>
  <si>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</si>
  <si>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</si>
  <si>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</si>
  <si>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</si>
  <si>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</si>
  <si>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</si>
  <si>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</si>
  <si>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</si>
  <si>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</si>
  <si>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</si>
  <si>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</si>
  <si>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</si>
  <si>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</si>
  <si>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</si>
  <si>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</si>
  <si>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</si>
  <si>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</si>
  <si>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</si>
  <si>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</si>
  <si>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</si>
  <si>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</si>
  <si>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</si>
  <si>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</si>
  <si>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</si>
  <si>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</si>
  <si>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</si>
  <si>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</si>
  <si>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</si>
  <si>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</si>
  <si>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</si>
  <si>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</si>
  <si>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</si>
  <si>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</si>
  <si>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</si>
  <si>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</si>
  <si>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</si>
  <si>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</si>
  <si>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</si>
  <si>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</si>
  <si>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</si>
  <si>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</si>
  <si>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</si>
  <si>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</si>
  <si>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</si>
  <si>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</si>
  <si>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</si>
  <si>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</si>
  <si>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</si>
  <si>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</si>
  <si>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</si>
  <si>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</si>
  <si>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</si>
  <si>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</si>
  <si>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</si>
  <si>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</si>
  <si>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</si>
  <si>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</si>
  <si>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</si>
  <si>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</si>
  <si>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</si>
  <si>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</si>
  <si>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</si>
  <si>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</si>
  <si>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</si>
  <si>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</si>
  <si>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</si>
  <si>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</si>
  <si>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</si>
  <si>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</si>
  <si>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</si>
  <si>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</si>
  <si>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</si>
  <si>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</si>
  <si>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</si>
  <si>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</si>
  <si>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</si>
  <si>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</si>
  <si>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</si>
  <si>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</si>
  <si>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</si>
  <si>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</si>
  <si>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</si>
  <si>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</si>
  <si>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</si>
  <si>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</si>
  <si>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</si>
  <si>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</si>
  <si>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</si>
  <si>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</si>
  <si>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</si>
  <si>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</si>
  <si>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</si>
  <si>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</si>
  <si>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</si>
  <si>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</si>
  <si>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</si>
  <si>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</si>
  <si>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</si>
  <si>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</si>
  <si>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</si>
  <si>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</si>
  <si>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</si>
  <si>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</si>
  <si>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</si>
  <si>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</si>
  <si>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</si>
  <si>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</si>
  <si>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</si>
  <si>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</si>
  <si>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</si>
  <si>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</si>
  <si>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</si>
  <si>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</si>
  <si>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</si>
  <si>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</si>
  <si>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</si>
  <si>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</si>
  <si>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</si>
  <si>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</si>
  <si>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</si>
  <si>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</si>
  <si>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</si>
  <si>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</si>
  <si>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</si>
  <si>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</si>
  <si>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</si>
  <si>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</si>
  <si>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</si>
  <si>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</si>
  <si>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</si>
  <si>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</si>
  <si>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</si>
  <si>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</si>
  <si>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</si>
  <si>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</si>
  <si>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</si>
  <si>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</si>
  <si>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</si>
  <si>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</si>
  <si>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</si>
  <si>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</si>
  <si>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</si>
  <si>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</si>
  <si>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</si>
  <si>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</si>
  <si>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</si>
  <si>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</si>
  <si>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</si>
  <si>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</si>
  <si>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</si>
  <si>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</si>
  <si>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</si>
  <si>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</si>
  <si>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</si>
  <si>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</si>
  <si>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</si>
  <si>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</si>
  <si>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</si>
  <si>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</si>
  <si>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</si>
  <si>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</si>
  <si>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</si>
  <si>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</si>
  <si>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</si>
  <si>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</si>
  <si>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</si>
  <si>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</si>
  <si>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</si>
  <si>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</si>
  <si>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</si>
  <si>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</si>
  <si>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</si>
  <si>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</si>
  <si>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</si>
  <si>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</si>
  <si>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</si>
  <si>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</si>
  <si>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</si>
  <si>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</si>
  <si>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</si>
  <si>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</si>
  <si>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</si>
  <si>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</si>
  <si>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</si>
  <si>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</si>
  <si>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</si>
  <si>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</si>
  <si>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</si>
  <si>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</si>
  <si>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</si>
  <si>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</si>
  <si>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</si>
  <si>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</si>
  <si>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</si>
  <si>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</si>
  <si>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</si>
  <si>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</si>
  <si>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</si>
  <si>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</si>
  <si>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</si>
  <si>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</si>
  <si>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</si>
  <si>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</si>
  <si>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</si>
  <si>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</si>
  <si>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</si>
  <si>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</si>
  <si>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</si>
  <si>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</si>
  <si>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</si>
  <si>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</si>
  <si>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</si>
  <si>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</si>
  <si>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</si>
  <si>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</si>
  <si>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</si>
  <si>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</si>
  <si>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</si>
  <si>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</si>
  <si>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</si>
  <si>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</si>
  <si>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</si>
  <si>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</si>
  <si>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</si>
  <si>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</si>
  <si>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</si>
  <si>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</si>
  <si>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</si>
  <si>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</si>
  <si>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</si>
  <si>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</si>
  <si>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</si>
  <si>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</si>
  <si>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</si>
  <si>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</si>
  <si>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</si>
  <si>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</si>
  <si>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</si>
  <si>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</si>
  <si>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</si>
  <si>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</si>
  <si>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</si>
  <si>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</si>
  <si>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</si>
  <si>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</si>
  <si>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</si>
  <si>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</si>
  <si>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</si>
  <si>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</si>
  <si>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</si>
  <si>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</si>
  <si>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</si>
  <si>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</si>
  <si>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</si>
  <si>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</si>
  <si>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</si>
  <si>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</si>
  <si>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</si>
  <si>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</si>
  <si>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</si>
  <si>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</si>
  <si>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</si>
  <si>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</si>
  <si>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</si>
  <si>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</si>
  <si>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</si>
  <si>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</si>
  <si>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</si>
  <si>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</si>
  <si>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</si>
  <si>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</si>
  <si>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</si>
  <si>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</si>
  <si>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</si>
  <si>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</si>
  <si>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</si>
  <si>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</si>
  <si>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</si>
  <si>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</si>
  <si>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</si>
  <si>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</si>
  <si>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</si>
  <si>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</si>
  <si>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</si>
  <si>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</si>
  <si>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</si>
  <si>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</si>
  <si>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</si>
  <si>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</si>
  <si>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</si>
  <si>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</si>
  <si>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</si>
  <si>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</si>
  <si>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</si>
  <si>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</si>
  <si>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</si>
  <si>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</si>
  <si>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</si>
  <si>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</si>
  <si>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</si>
  <si>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</si>
  <si>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</si>
  <si>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</si>
  <si>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</si>
  <si>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</si>
  <si>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</si>
  <si>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</si>
  <si>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</si>
  <si>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</si>
  <si>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</si>
  <si>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</si>
  <si>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</si>
  <si>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</si>
  <si>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</si>
  <si>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</si>
  <si>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</si>
  <si>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</si>
  <si>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</si>
  <si>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</si>
  <si>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</si>
  <si>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</si>
  <si>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</si>
  <si>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</si>
  <si>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</si>
  <si>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</si>
  <si>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</si>
  <si>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</si>
  <si>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</si>
  <si>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</si>
  <si>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</si>
  <si>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</si>
  <si>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</si>
  <si>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</si>
  <si>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</si>
  <si>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</si>
  <si>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</si>
  <si>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</si>
  <si>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</si>
  <si>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</si>
  <si>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</si>
  <si>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</si>
  <si>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</si>
  <si>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</si>
  <si>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</si>
  <si>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</si>
  <si>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</si>
  <si>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</si>
  <si>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</si>
  <si>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</si>
  <si>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</si>
  <si>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</si>
  <si>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</si>
  <si>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</si>
  <si>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</si>
  <si>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</si>
  <si>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</si>
  <si>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</si>
  <si>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</si>
  <si>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</si>
  <si>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</si>
  <si>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</si>
  <si>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</si>
  <si>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</si>
  <si>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</si>
  <si>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</si>
  <si>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</si>
  <si>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</si>
  <si>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</si>
  <si>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</si>
  <si>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</si>
  <si>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</si>
  <si>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</si>
  <si>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</si>
  <si>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</si>
  <si>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</si>
  <si>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</si>
  <si>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</si>
  <si>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</si>
  <si>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</si>
  <si>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</si>
  <si>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</si>
  <si>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</si>
  <si>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</si>
  <si>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</si>
  <si>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</si>
  <si>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</si>
  <si>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</si>
  <si>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</si>
  <si>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</si>
  <si>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</si>
  <si>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</si>
  <si>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</si>
  <si>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</si>
  <si>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</si>
  <si>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</si>
  <si>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</si>
  <si>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</si>
  <si>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</si>
  <si>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</si>
  <si>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</si>
  <si>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</si>
  <si>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</si>
  <si>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</si>
  <si>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</si>
  <si>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</si>
  <si>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</si>
  <si>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</si>
  <si>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</si>
  <si>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</si>
  <si>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</si>
  <si>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</si>
  <si>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</si>
  <si>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</si>
  <si>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</si>
  <si>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</si>
  <si>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</si>
  <si>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</si>
  <si>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</si>
  <si>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</si>
  <si>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</si>
  <si>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</si>
  <si>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</si>
  <si>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</si>
  <si>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</si>
  <si>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</si>
  <si>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</si>
  <si>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</si>
  <si>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</si>
  <si>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</si>
  <si>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</si>
  <si>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</si>
  <si>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</si>
  <si>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</si>
  <si>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</si>
  <si>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</si>
  <si>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</si>
  <si>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</si>
  <si>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</si>
  <si>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</si>
  <si>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</si>
  <si>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</si>
  <si>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</si>
  <si>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</si>
  <si>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</si>
  <si>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</si>
  <si>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</si>
  <si>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</si>
  <si>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</si>
  <si>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</si>
  <si>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</si>
  <si>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</si>
  <si>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</si>
  <si>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</si>
  <si>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</si>
  <si>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</si>
  <si>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</si>
  <si>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</si>
  <si>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</si>
  <si>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</si>
  <si>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</si>
  <si>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</si>
  <si>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</si>
  <si>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</si>
  <si>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</si>
  <si>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</si>
  <si>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</si>
  <si>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</si>
  <si>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</si>
  <si>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</si>
  <si>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</si>
  <si>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</si>
  <si>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</si>
  <si>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</si>
  <si>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</si>
  <si>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</si>
  <si>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</si>
  <si>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</si>
  <si>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</si>
  <si>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</si>
  <si>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</si>
  <si>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</si>
  <si>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</si>
  <si>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</si>
  <si>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</si>
  <si>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</si>
  <si>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</si>
  <si>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</si>
  <si>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</si>
  <si>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</si>
  <si>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</si>
  <si>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</si>
  <si>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</si>
  <si>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</si>
  <si>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</si>
  <si>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</si>
  <si>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</si>
  <si>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</si>
  <si>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</si>
  <si>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</si>
  <si>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</si>
  <si>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</si>
  <si>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</si>
  <si>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</si>
  <si>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</si>
  <si>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</si>
  <si>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</si>
  <si>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</si>
  <si>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</si>
  <si>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</si>
  <si>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</si>
  <si>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</si>
  <si>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</si>
  <si>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</si>
  <si>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</si>
  <si>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</si>
  <si>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</si>
  <si>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</si>
  <si>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</si>
  <si>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</si>
  <si>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</si>
  <si>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</si>
  <si>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</si>
  <si>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</si>
  <si>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</si>
  <si>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</si>
  <si>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</si>
  <si>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</si>
  <si>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</si>
  <si>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</si>
  <si>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</si>
  <si>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</si>
  <si>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</si>
  <si>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</si>
  <si>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</si>
  <si>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</si>
  <si>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</si>
  <si>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</si>
  <si>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</si>
  <si>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</si>
  <si>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</si>
  <si>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</si>
  <si>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</si>
  <si>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</si>
  <si>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</si>
  <si>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</si>
  <si>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</si>
  <si>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</si>
  <si>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</si>
  <si>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</si>
  <si>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</si>
  <si>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</si>
  <si>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</si>
  <si>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</si>
  <si>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</si>
  <si>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</si>
  <si>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</si>
  <si>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</si>
  <si>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</si>
  <si>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</si>
  <si>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</si>
  <si>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</si>
  <si>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</si>
  <si>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</si>
  <si>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</si>
  <si>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</si>
  <si>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</si>
  <si>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</si>
  <si>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</si>
  <si>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</si>
  <si>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</si>
  <si>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</si>
  <si>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</si>
  <si>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</si>
  <si>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</si>
  <si>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</si>
  <si>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</si>
  <si>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</si>
  <si>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</si>
  <si>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</si>
  <si>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</si>
  <si>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</si>
  <si>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</si>
  <si>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</si>
  <si>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</si>
  <si>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</si>
  <si>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</si>
  <si>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</si>
  <si>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</si>
  <si>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</si>
  <si>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</si>
  <si>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</si>
  <si>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</si>
  <si>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</si>
  <si>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</si>
  <si>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</si>
  <si>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</si>
  <si>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</si>
  <si>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</si>
  <si>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</si>
  <si>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</si>
  <si>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</si>
  <si>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</si>
  <si>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</si>
  <si>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</si>
  <si>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</si>
  <si>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</si>
  <si>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</si>
  <si>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</si>
  <si>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</si>
  <si>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</si>
  <si>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</si>
  <si>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</si>
  <si>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</si>
  <si>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</si>
  <si>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</si>
  <si>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</si>
  <si>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</si>
  <si>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</si>
  <si>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</si>
  <si>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</si>
  <si>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</si>
  <si>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</si>
  <si>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</si>
  <si>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</si>
  <si>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</si>
  <si>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</si>
  <si>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</si>
  <si>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</si>
  <si>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</si>
  <si>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</si>
  <si>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</si>
  <si>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</si>
  <si>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</si>
  <si>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</si>
  <si>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</si>
  <si>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</si>
  <si>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</si>
  <si>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</si>
  <si>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</si>
  <si>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</si>
  <si>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</si>
  <si>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</si>
  <si>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</si>
  <si>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</si>
  <si>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</si>
  <si>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</si>
  <si>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</si>
  <si>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</si>
  <si>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</si>
  <si>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</si>
  <si>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</si>
  <si>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</si>
  <si>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</si>
  <si>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</si>
  <si>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</si>
  <si>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</si>
  <si>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</si>
  <si>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</si>
  <si>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</si>
  <si>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</si>
  <si>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</si>
  <si>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</si>
  <si>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</si>
  <si>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</si>
  <si>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</si>
  <si>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</si>
  <si>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</si>
  <si>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</si>
  <si>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</si>
  <si>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</si>
  <si>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</si>
  <si>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</si>
  <si>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</si>
  <si>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</si>
  <si>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</si>
  <si>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</si>
  <si>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</si>
  <si>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</si>
  <si>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</si>
  <si>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</si>
  <si>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</si>
  <si>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</si>
  <si>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</si>
  <si>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</si>
  <si>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</si>
  <si>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</si>
  <si>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</si>
  <si>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</si>
  <si>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</si>
  <si>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</si>
  <si>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</si>
  <si>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</si>
  <si>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</si>
  <si>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</si>
  <si>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</si>
  <si>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</si>
  <si>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</si>
  <si>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</si>
  <si>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</si>
  <si>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</si>
  <si>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</si>
  <si>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</si>
  <si>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</si>
  <si>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</si>
  <si>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</si>
  <si>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</si>
  <si>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</si>
  <si>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</si>
  <si>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</si>
  <si>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</si>
  <si>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</si>
  <si>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</si>
  <si>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</si>
  <si>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</si>
  <si>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</si>
  <si>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</si>
  <si>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</si>
  <si>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</si>
  <si>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</si>
  <si>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</si>
  <si>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</si>
  <si>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</si>
  <si>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</si>
  <si>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</si>
  <si>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</si>
  <si>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</si>
  <si>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</si>
  <si>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</si>
  <si>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</si>
  <si>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</si>
  <si>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</si>
  <si>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</si>
  <si>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</si>
  <si>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</si>
  <si>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</si>
  <si>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</si>
  <si>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</si>
  <si>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</si>
  <si>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</si>
  <si>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</si>
  <si>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</si>
  <si>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</si>
  <si>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</si>
  <si>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</si>
  <si>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</si>
  <si>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</si>
  <si>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</si>
  <si>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</si>
  <si>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</si>
  <si>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</si>
  <si>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</si>
  <si>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</si>
  <si>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</si>
  <si>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</si>
  <si>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</si>
  <si>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</si>
  <si>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</si>
  <si>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</si>
  <si>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</si>
  <si>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</si>
  <si>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</si>
  <si>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</si>
  <si>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</si>
  <si>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</si>
  <si>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</si>
  <si>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</si>
  <si>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</si>
  <si>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</si>
  <si>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</si>
  <si>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</si>
  <si>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</si>
  <si>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</si>
  <si>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</si>
  <si>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</si>
  <si>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</si>
  <si>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</si>
  <si>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</si>
  <si>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</si>
  <si>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</si>
  <si>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</si>
  <si>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</si>
  <si>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</si>
  <si>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</si>
  <si>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</si>
  <si>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</si>
  <si>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</si>
  <si>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</si>
  <si>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</si>
  <si>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</si>
  <si>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</si>
  <si>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</si>
  <si>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</si>
  <si>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</si>
  <si>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</si>
  <si>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</si>
  <si>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</si>
  <si>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</si>
  <si>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</si>
  <si>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</si>
  <si>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</si>
  <si>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</si>
  <si>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</si>
  <si>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</si>
  <si>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</si>
  <si>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</si>
  <si>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</si>
  <si>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</si>
  <si>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</si>
  <si>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</si>
  <si>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</si>
  <si>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</si>
  <si>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</si>
  <si>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</si>
  <si>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</si>
  <si>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</si>
  <si>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</si>
  <si>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</si>
  <si>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</si>
  <si>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</si>
  <si>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</si>
  <si>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</si>
  <si>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</si>
  <si>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</si>
  <si>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</si>
  <si>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</si>
  <si>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</si>
  <si>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</si>
  <si>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</si>
  <si>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</si>
  <si>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</si>
  <si>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</si>
  <si>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</si>
  <si>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</si>
  <si>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</si>
  <si>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</si>
  <si>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</si>
  <si>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</si>
  <si>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</si>
  <si>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</si>
  <si>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</si>
  <si>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</si>
  <si>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</si>
  <si>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</si>
  <si>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</si>
  <si>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</si>
  <si>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</si>
  <si>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</si>
  <si>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</si>
  <si>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</si>
  <si>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</si>
  <si>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</si>
  <si>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</si>
  <si>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</si>
  <si>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</si>
  <si>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</si>
  <si>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</si>
  <si>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</si>
  <si>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</si>
  <si>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</si>
  <si>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</si>
  <si>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</si>
  <si>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</si>
  <si>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</si>
  <si>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</si>
  <si>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</si>
  <si>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</si>
  <si>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</si>
  <si>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</si>
  <si>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</si>
  <si>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</si>
  <si>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</si>
  <si>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</si>
  <si>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</si>
  <si>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</si>
  <si>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</si>
  <si>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</si>
  <si>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</si>
  <si>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</si>
  <si>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</si>
  <si>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</si>
  <si>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</si>
  <si>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</si>
  <si>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</si>
  <si>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</si>
  <si>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</si>
  <si>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</si>
  <si>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</si>
  <si>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</si>
  <si>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</si>
  <si>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</si>
  <si>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</si>
  <si>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</si>
  <si>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</si>
  <si>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</si>
  <si>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</si>
  <si>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</si>
  <si>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</si>
  <si>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</si>
  <si>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</si>
  <si>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</si>
  <si>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</si>
  <si>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</si>
  <si>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</si>
  <si>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</si>
  <si>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</si>
  <si>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</si>
  <si>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</si>
  <si>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</si>
  <si>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</si>
  <si>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</si>
  <si>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</si>
  <si>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</si>
  <si>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</si>
  <si>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</si>
  <si>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</si>
  <si>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</si>
  <si>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</si>
  <si>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</si>
  <si>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</si>
  <si>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</si>
  <si>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</si>
  <si>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</si>
  <si>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</si>
  <si>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</si>
  <si>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</si>
  <si>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</si>
  <si>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</si>
  <si>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</si>
  <si>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</si>
  <si>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</si>
  <si>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</si>
  <si>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</si>
  <si>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</si>
  <si>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</si>
  <si>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</si>
  <si>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</si>
  <si>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</si>
  <si>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</si>
  <si>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</si>
  <si>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</si>
  <si>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</si>
  <si>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</si>
  <si>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</si>
  <si>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</si>
  <si>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</si>
  <si>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</si>
  <si>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</si>
  <si>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</si>
  <si>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</si>
  <si>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</si>
  <si>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</si>
  <si>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</si>
  <si>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</si>
  <si>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</si>
  <si>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</si>
  <si>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</si>
  <si>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</si>
  <si>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</si>
  <si>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</si>
  <si>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</si>
  <si>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</si>
  <si>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</si>
  <si>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</si>
  <si>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</si>
  <si>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</si>
  <si>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</si>
  <si>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</si>
  <si>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</si>
  <si>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</si>
  <si>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</si>
  <si>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</si>
  <si>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</si>
  <si>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</si>
  <si>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</si>
  <si>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</si>
  <si>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</si>
  <si>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</si>
  <si>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</si>
  <si>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</si>
  <si>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</si>
  <si>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</si>
  <si>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</si>
  <si>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</si>
  <si>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</si>
  <si>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</si>
  <si>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</si>
  <si>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</si>
  <si>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</si>
  <si>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</si>
  <si>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</si>
  <si>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</si>
  <si>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</si>
  <si>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</si>
  <si>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</si>
  <si>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</si>
  <si>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</si>
  <si>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</si>
  <si>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</si>
  <si>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</si>
  <si>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</si>
  <si>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</si>
  <si>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</si>
  <si>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</si>
  <si>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</si>
  <si>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</si>
  <si>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</si>
  <si>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</si>
  <si>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</si>
  <si>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</si>
  <si>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</si>
  <si>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</si>
  <si>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</si>
  <si>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</si>
  <si>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</si>
  <si>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</si>
  <si>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</si>
  <si>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</si>
  <si>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</si>
  <si>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</si>
  <si>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</si>
  <si>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</si>
  <si>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</si>
  <si>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</si>
  <si>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</si>
  <si>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</si>
  <si>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</si>
  <si>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</si>
  <si>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</si>
  <si>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</si>
  <si>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</si>
  <si>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</si>
  <si>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</si>
  <si>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</si>
  <si>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</si>
  <si>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</si>
  <si>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</si>
  <si>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</si>
  <si>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</si>
  <si>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</si>
  <si>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</si>
  <si>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</si>
  <si>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</si>
  <si>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</si>
  <si>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</si>
  <si>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</si>
  <si>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</si>
  <si>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</si>
  <si>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</si>
  <si>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</si>
  <si>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</si>
  <si>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</si>
  <si>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</si>
  <si>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</si>
  <si>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</si>
  <si>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</si>
  <si>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</si>
  <si>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</si>
  <si>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</si>
  <si>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</si>
  <si>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</si>
  <si>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</si>
  <si>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</si>
  <si>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</si>
  <si>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</si>
  <si>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</si>
  <si>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</si>
  <si>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</si>
  <si>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</si>
  <si>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</si>
  <si>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</si>
  <si>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</si>
  <si>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</si>
  <si>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</si>
  <si>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</si>
  <si>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</si>
  <si>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</si>
  <si>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</si>
  <si>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</si>
  <si>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</si>
  <si>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</si>
  <si>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</si>
  <si>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</si>
  <si>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</si>
  <si>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</si>
  <si>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</si>
  <si>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</si>
  <si>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</si>
  <si>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</si>
  <si>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</si>
  <si>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</si>
  <si>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</si>
  <si>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</si>
  <si>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</si>
  <si>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</si>
  <si>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</si>
  <si>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</si>
  <si>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</si>
  <si>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</si>
  <si>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</si>
  <si>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</si>
  <si>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</si>
  <si>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</si>
  <si>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</si>
  <si>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</si>
  <si>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</si>
  <si>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</si>
  <si>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</si>
  <si>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</si>
  <si>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</si>
  <si>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</si>
  <si>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</si>
  <si>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</si>
  <si>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</si>
  <si>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</si>
  <si>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</si>
  <si>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</si>
  <si>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</si>
  <si>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</si>
  <si>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</si>
  <si>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</si>
  <si>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</si>
  <si>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</si>
  <si>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</si>
  <si>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</si>
  <si>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</si>
  <si>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</si>
  <si>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</si>
  <si>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</si>
  <si>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</si>
  <si>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</si>
  <si>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</si>
  <si>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</si>
  <si>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</si>
  <si>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</si>
  <si>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</si>
  <si>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</si>
  <si>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</si>
  <si>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</si>
  <si>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</si>
  <si>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</si>
  <si>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</si>
  <si>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</si>
  <si>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</si>
  <si>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</si>
  <si>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</si>
  <si>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</si>
  <si>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</si>
  <si>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</si>
  <si>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</si>
  <si>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</si>
  <si>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</si>
  <si>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</si>
  <si>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</si>
  <si>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</si>
  <si>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</si>
  <si>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</si>
  <si>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</si>
  <si>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</si>
  <si>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</si>
  <si>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</si>
  <si>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</si>
  <si>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</si>
  <si>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</si>
  <si>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</si>
  <si>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</si>
  <si>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</si>
  <si>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</si>
  <si>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</si>
  <si>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</si>
  <si>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</si>
  <si>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</si>
  <si>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</si>
  <si>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</si>
  <si>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</si>
  <si>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</si>
  <si>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</si>
  <si>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</si>
  <si>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</si>
  <si>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</si>
  <si>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</si>
  <si>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</si>
  <si>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</si>
  <si>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</si>
  <si>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</si>
  <si>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</si>
  <si>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</si>
  <si>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</si>
  <si>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</si>
  <si>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</si>
  <si>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</si>
  <si>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</si>
  <si>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</si>
  <si>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</si>
  <si>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</si>
  <si>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</si>
  <si>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</si>
  <si>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</si>
  <si>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</si>
  <si>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</si>
  <si>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</si>
  <si>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</si>
  <si>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</si>
  <si>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</si>
  <si>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</si>
  <si>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</si>
  <si>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</si>
  <si>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</si>
  <si>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</si>
  <si>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</si>
  <si>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</si>
  <si>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</si>
  <si>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</si>
  <si>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</si>
  <si>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</si>
  <si>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</si>
  <si>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</si>
  <si>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</si>
  <si>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</si>
  <si>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</si>
  <si>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</si>
  <si>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</si>
  <si>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</si>
  <si>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</si>
  <si>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</si>
  <si>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</si>
  <si>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</si>
  <si>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</si>
  <si>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</si>
  <si>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</si>
  <si>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</si>
  <si>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</si>
  <si>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</si>
  <si>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</si>
  <si>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</si>
  <si>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</si>
  <si>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</si>
  <si>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</si>
  <si>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</si>
  <si>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</si>
  <si>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</si>
  <si>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</si>
  <si>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</si>
  <si>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</si>
  <si>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</si>
  <si>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</si>
  <si>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</si>
  <si>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</si>
  <si>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</si>
  <si>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</si>
  <si>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</si>
  <si>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</si>
  <si>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</si>
  <si>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</si>
  <si>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</si>
  <si>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</si>
  <si>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</si>
  <si>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</si>
  <si>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</si>
  <si>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</si>
  <si>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</si>
  <si>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</si>
  <si>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</si>
  <si>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</si>
  <si>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</si>
  <si>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</si>
  <si>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</si>
  <si>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</si>
  <si>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</si>
  <si>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</si>
  <si>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</si>
  <si>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</si>
  <si>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</si>
  <si>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</si>
  <si>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</si>
  <si>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</si>
  <si>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</si>
  <si>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</si>
  <si>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</si>
  <si>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</si>
  <si>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</si>
  <si>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</si>
  <si>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</si>
  <si>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</si>
  <si>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</si>
  <si>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</si>
  <si>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</si>
  <si>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</si>
  <si>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</si>
  <si>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</si>
  <si>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</si>
  <si>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</si>
  <si>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</si>
  <si>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</si>
  <si>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</si>
  <si>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</si>
  <si>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</si>
  <si>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</si>
  <si>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</si>
  <si>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</si>
  <si>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</si>
  <si>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</si>
  <si>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</si>
  <si>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</si>
  <si>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</si>
  <si>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</si>
  <si>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</si>
  <si>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</si>
  <si>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</si>
  <si>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</si>
  <si>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</si>
  <si>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</si>
  <si>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</si>
  <si>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</si>
  <si>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</si>
  <si>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</si>
  <si>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</si>
  <si>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</si>
  <si>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</si>
  <si>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</si>
  <si>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</si>
  <si>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</si>
  <si>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</si>
  <si>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</si>
  <si>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</si>
  <si>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</si>
  <si>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</si>
  <si>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</si>
  <si>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</si>
  <si>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</si>
  <si>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</si>
  <si>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</si>
  <si>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</si>
  <si>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</si>
  <si>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</si>
  <si>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</si>
  <si>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</si>
  <si>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</si>
  <si>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</si>
  <si>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</si>
  <si>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</si>
  <si>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</si>
  <si>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</si>
  <si>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</si>
  <si>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</si>
  <si>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</si>
  <si>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</si>
  <si>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</si>
  <si>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</si>
  <si>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</si>
  <si>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</si>
  <si>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</si>
  <si>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</si>
  <si>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</si>
  <si>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</si>
  <si>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</si>
  <si>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</si>
  <si>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</si>
  <si>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</si>
  <si>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</si>
  <si>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</si>
  <si>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</si>
  <si>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</si>
  <si>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</si>
  <si>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</si>
  <si>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</si>
  <si>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</si>
  <si>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</si>
  <si>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</si>
  <si>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</si>
  <si>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</si>
  <si>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</si>
  <si>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</si>
  <si>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</si>
  <si>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</si>
  <si>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</si>
  <si>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</si>
  <si>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</si>
  <si>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</si>
  <si>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</si>
  <si>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</si>
  <si>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</si>
  <si>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</si>
  <si>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</si>
  <si>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</si>
  <si>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</si>
  <si>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</si>
  <si>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</si>
  <si>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</si>
  <si>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</si>
  <si>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</si>
  <si>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</si>
  <si>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</si>
  <si>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</si>
  <si>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</si>
  <si>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</si>
  <si>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</si>
  <si>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</si>
  <si>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</si>
  <si>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</si>
  <si>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</si>
  <si>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</si>
  <si>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</si>
  <si>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</si>
  <si>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</si>
  <si>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</si>
  <si>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</si>
  <si>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</si>
  <si>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</si>
  <si>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</si>
  <si>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</si>
  <si>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</si>
  <si>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</si>
  <si>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</si>
  <si>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</si>
  <si>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</si>
  <si>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</si>
  <si>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</si>
  <si>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</si>
  <si>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</si>
  <si>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</si>
  <si>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</si>
  <si>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</si>
  <si>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</si>
  <si>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</si>
  <si>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</si>
  <si>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</si>
  <si>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</si>
  <si>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</si>
  <si>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</si>
  <si>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</si>
  <si>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</si>
  <si>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</si>
  <si>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</si>
  <si>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</si>
  <si>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</si>
  <si>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</si>
  <si>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</si>
  <si>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</si>
  <si>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</si>
  <si>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</si>
  <si>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</si>
  <si>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</si>
  <si>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</si>
  <si>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</si>
  <si>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</si>
  <si>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</si>
  <si>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</si>
  <si>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</si>
  <si>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</si>
  <si>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</si>
  <si>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</si>
  <si>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</si>
  <si>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</si>
  <si>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</si>
  <si>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</si>
  <si>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</si>
  <si>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</si>
  <si>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</si>
  <si>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</si>
  <si>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</si>
  <si>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</si>
  <si>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</si>
  <si>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</si>
  <si>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</si>
  <si>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</si>
  <si>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</si>
  <si>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</si>
  <si>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</si>
  <si>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</si>
  <si>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</si>
  <si>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</si>
  <si>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</si>
  <si>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</si>
  <si>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</si>
  <si>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</si>
  <si>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</si>
  <si>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</si>
  <si>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</si>
  <si>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</si>
  <si>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</si>
  <si>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</si>
  <si>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</si>
  <si>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</si>
  <si>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</si>
  <si>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</si>
  <si>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</si>
  <si>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</si>
  <si>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</si>
  <si>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</si>
  <si>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</si>
  <si>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</si>
  <si>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</si>
  <si>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</si>
  <si>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</si>
  <si>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</si>
  <si>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</si>
  <si>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</si>
  <si>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</si>
  <si>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</si>
  <si>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</si>
  <si>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</si>
  <si>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</si>
  <si>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</si>
  <si>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</si>
  <si>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</si>
  <si>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</si>
  <si>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</si>
  <si>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</si>
  <si>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</si>
  <si>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</si>
  <si>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</si>
  <si>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</si>
  <si>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</si>
  <si>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</si>
  <si>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</si>
  <si>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</si>
  <si>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</si>
  <si>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</si>
  <si>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</si>
  <si>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</si>
  <si>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</si>
  <si>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</si>
  <si>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</si>
  <si>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</si>
  <si>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</si>
  <si>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</si>
  <si>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</si>
  <si>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</si>
  <si>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</si>
  <si>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</si>
  <si>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</si>
  <si>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</si>
  <si>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</si>
  <si>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</si>
  <si>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</si>
  <si>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</si>
  <si>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</si>
  <si>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</si>
  <si>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</si>
  <si>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</si>
  <si>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</si>
  <si>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</si>
  <si>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</si>
  <si>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</si>
  <si>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</si>
  <si>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</si>
  <si>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</si>
  <si>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</si>
  <si>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</si>
  <si>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</si>
  <si>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</si>
  <si>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</si>
  <si>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</si>
  <si>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</si>
  <si>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</si>
  <si>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</si>
  <si>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</si>
  <si>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</si>
  <si>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</si>
  <si>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</si>
  <si>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</si>
  <si>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</si>
  <si>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</si>
  <si>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</si>
  <si>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</si>
  <si>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</si>
  <si>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</si>
  <si>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</si>
  <si>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</si>
  <si>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</si>
  <si>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</si>
  <si>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</si>
  <si>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</si>
  <si>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</si>
  <si>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</si>
  <si>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</si>
  <si>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</si>
  <si>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</si>
  <si>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</si>
  <si>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</si>
  <si>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</si>
  <si>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</si>
  <si>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</si>
  <si>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</si>
  <si>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</si>
  <si>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</si>
  <si>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</si>
  <si>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</si>
  <si>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</si>
  <si>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</si>
  <si>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</si>
  <si>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</si>
  <si>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</si>
  <si>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</si>
  <si>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</si>
  <si>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</si>
  <si>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</si>
  <si>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</si>
  <si>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</si>
  <si>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</si>
  <si>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</si>
  <si>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</si>
  <si>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</si>
  <si>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</si>
  <si>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</si>
  <si>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</si>
  <si>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</si>
  <si>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</si>
  <si>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</si>
  <si>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</si>
  <si>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</si>
  <si>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</si>
  <si>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</si>
  <si>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</si>
  <si>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</si>
  <si>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</si>
  <si>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</si>
  <si>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</si>
  <si>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</si>
  <si>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</si>
  <si>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</si>
  <si>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</si>
  <si>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</si>
  <si>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</si>
  <si>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</si>
  <si>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</si>
  <si>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</si>
  <si>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</si>
  <si>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</si>
  <si>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</si>
  <si>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</si>
  <si>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</si>
  <si>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</si>
  <si>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</si>
  <si>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</si>
  <si>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</si>
  <si>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</si>
  <si>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</si>
  <si>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</si>
  <si>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</si>
  <si>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</si>
  <si>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</si>
  <si>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</si>
  <si>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</si>
  <si>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</si>
  <si>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</si>
  <si>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</si>
  <si>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</si>
  <si>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</si>
  <si>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</si>
  <si>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</si>
  <si>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</si>
  <si>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</si>
  <si>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</si>
  <si>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</si>
  <si>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</si>
  <si>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</si>
  <si>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</si>
  <si>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</si>
  <si>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</si>
  <si>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</si>
  <si>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</si>
  <si>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</si>
  <si>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</si>
  <si>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</si>
  <si>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</si>
  <si>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</si>
  <si>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</si>
  <si>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</si>
  <si>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</si>
  <si>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</si>
  <si>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</si>
  <si>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</si>
  <si>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</si>
  <si>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</si>
  <si>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</si>
  <si>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</si>
  <si>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</si>
  <si>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</si>
  <si>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</si>
  <si>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</si>
  <si>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</si>
  <si>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</si>
  <si>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</si>
  <si>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</si>
  <si>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</si>
  <si>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</si>
  <si>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</si>
  <si>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</si>
  <si>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</si>
  <si>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</si>
  <si>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</si>
  <si>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</si>
  <si>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</si>
  <si>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</si>
  <si>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</si>
  <si>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</si>
  <si>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</si>
  <si>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</si>
  <si>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</si>
  <si>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</si>
  <si>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</si>
  <si>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</si>
  <si>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</si>
  <si>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</si>
  <si>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</si>
  <si>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</si>
  <si>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</si>
  <si>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</si>
  <si>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</si>
  <si>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</si>
  <si>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</si>
  <si>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</si>
  <si>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</si>
  <si>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</si>
  <si>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</si>
  <si>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</si>
  <si>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</si>
  <si>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</si>
  <si>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</si>
  <si>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</si>
  <si>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</si>
  <si>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</si>
  <si>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</si>
  <si>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</si>
  <si>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</si>
  <si>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</si>
  <si>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</si>
  <si>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</si>
  <si>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</si>
  <si>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</si>
  <si>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</si>
  <si>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</si>
  <si>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</si>
  <si>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</si>
  <si>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</si>
  <si>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</si>
  <si>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</si>
  <si>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</si>
  <si>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</si>
  <si>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</si>
  <si>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</si>
  <si>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</si>
  <si>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</si>
  <si>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</si>
  <si>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</si>
  <si>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</si>
  <si>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</si>
  <si>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</si>
  <si>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</si>
  <si>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</si>
  <si>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</si>
  <si>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</si>
  <si>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</si>
  <si>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</si>
  <si>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</si>
  <si>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</si>
  <si>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</si>
  <si>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</si>
  <si>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</si>
  <si>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</si>
  <si>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</si>
  <si>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</si>
  <si>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</si>
  <si>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</si>
  <si>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</si>
  <si>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</si>
  <si>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</si>
  <si>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</si>
  <si>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</si>
  <si>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</si>
  <si>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</si>
  <si>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</si>
  <si>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</si>
  <si>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</si>
  <si>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</si>
  <si>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</si>
  <si>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</si>
  <si>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</si>
  <si>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</si>
  <si>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</si>
  <si>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</si>
  <si>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</si>
  <si>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</si>
  <si>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</si>
  <si>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</si>
  <si>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</si>
  <si>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</si>
  <si>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</si>
  <si>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</si>
  <si>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</si>
  <si>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</si>
  <si>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</si>
  <si>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</si>
  <si>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</si>
  <si>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</si>
  <si>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</si>
  <si>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</si>
  <si>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</si>
  <si>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</si>
  <si>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</si>
  <si>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</si>
  <si>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</si>
  <si>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</si>
  <si>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</si>
  <si>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</si>
  <si>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</si>
  <si>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</si>
  <si>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</si>
  <si>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</si>
  <si>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</si>
  <si>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</si>
  <si>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</si>
  <si>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</si>
  <si>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</si>
  <si>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</si>
  <si>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</si>
  <si>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</si>
  <si>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</si>
  <si>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</si>
  <si>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</si>
  <si>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</si>
  <si>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</si>
  <si>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</si>
  <si>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</si>
  <si>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</si>
  <si>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</si>
  <si>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</si>
  <si>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</si>
  <si>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</si>
  <si>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</si>
  <si>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</si>
  <si>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</si>
  <si>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</si>
  <si>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</si>
  <si>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</si>
  <si>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</si>
  <si>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</si>
  <si>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</si>
  <si>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</si>
  <si>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</si>
  <si>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</si>
  <si>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</si>
  <si>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</si>
  <si>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</si>
  <si>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</si>
  <si>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</si>
  <si>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</si>
  <si>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</si>
  <si>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</si>
  <si>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</si>
  <si>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</si>
  <si>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</si>
  <si>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</si>
  <si>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</si>
  <si>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</si>
  <si>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</si>
  <si>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</si>
  <si>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</si>
  <si>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</si>
  <si>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</si>
  <si>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</si>
  <si>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</si>
  <si>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</si>
  <si>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</si>
  <si>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</si>
  <si>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</si>
  <si>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</si>
  <si>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</si>
  <si>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</si>
  <si>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</si>
  <si>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</si>
  <si>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</si>
  <si>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</si>
  <si>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</si>
  <si>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</si>
  <si>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</si>
  <si>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</si>
  <si>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</si>
  <si>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</si>
  <si>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</si>
  <si>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</si>
  <si>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</si>
  <si>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</si>
  <si>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</si>
  <si>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</si>
  <si>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</si>
  <si>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</si>
  <si>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</si>
  <si>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</si>
  <si>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</si>
  <si>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</si>
  <si>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</si>
  <si>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</si>
  <si>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</si>
  <si>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</si>
  <si>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</si>
  <si>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</si>
  <si>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</si>
  <si>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</si>
  <si>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</si>
  <si>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</si>
  <si>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</si>
  <si>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</si>
  <si>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</si>
  <si>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</si>
  <si>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</si>
  <si>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</si>
  <si>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</si>
  <si>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</si>
  <si>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</si>
  <si>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</si>
  <si>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</si>
  <si>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</si>
  <si>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</si>
  <si>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</si>
  <si>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</si>
  <si>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</si>
  <si>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</si>
  <si>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</si>
  <si>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</si>
  <si>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</si>
  <si>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</si>
  <si>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</si>
  <si>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</si>
  <si>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</si>
  <si>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</si>
  <si>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</si>
  <si>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</si>
  <si>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</si>
  <si>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</si>
  <si>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</si>
  <si>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</si>
  <si>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</si>
  <si>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</si>
  <si>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</si>
  <si>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</si>
  <si>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</si>
  <si>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</si>
  <si>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</si>
  <si>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</si>
  <si>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</si>
  <si>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</si>
  <si>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</si>
  <si>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</si>
  <si>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</si>
  <si>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</si>
  <si>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</si>
  <si>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</si>
  <si>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</si>
  <si>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</si>
  <si>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</si>
  <si>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</si>
  <si>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</si>
  <si>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</si>
  <si>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</si>
  <si>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</si>
  <si>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</si>
  <si>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</si>
  <si>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</si>
  <si>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</si>
  <si>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</si>
  <si>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</si>
  <si>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</si>
  <si>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</si>
  <si>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</si>
  <si>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</si>
  <si>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</si>
  <si>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</si>
  <si>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</si>
  <si>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</si>
  <si>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</si>
  <si>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</si>
  <si>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</si>
  <si>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</si>
  <si>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</si>
  <si>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</si>
  <si>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</si>
  <si>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</si>
  <si>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</si>
  <si>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</si>
  <si>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</si>
  <si>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</si>
  <si>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</si>
  <si>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</si>
  <si>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</si>
  <si>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</si>
  <si>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</si>
  <si>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</si>
  <si>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</si>
  <si>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</si>
  <si>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</si>
  <si>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</si>
  <si>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</si>
  <si>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</si>
  <si>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</si>
  <si>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</si>
  <si>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</si>
  <si>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</si>
  <si>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</si>
  <si>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</si>
  <si>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</si>
  <si>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</si>
  <si>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</si>
  <si>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</si>
  <si>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</si>
  <si>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</si>
  <si>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</si>
  <si>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</si>
  <si>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</si>
  <si>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</si>
  <si>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</si>
  <si>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</si>
  <si>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</si>
  <si>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</si>
  <si>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</si>
  <si>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</si>
  <si>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</si>
  <si>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</si>
  <si>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</si>
  <si>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</si>
  <si>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</si>
  <si>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</si>
  <si>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</si>
  <si>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</si>
  <si>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</si>
  <si>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</si>
  <si>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</si>
  <si>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</si>
  <si>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</si>
  <si>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</si>
  <si>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</si>
  <si>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</si>
  <si>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</si>
  <si>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</si>
  <si>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</si>
  <si>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</si>
  <si>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</si>
  <si>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</si>
  <si>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</si>
  <si>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</si>
  <si>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</si>
  <si>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</si>
  <si>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</si>
  <si>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</si>
  <si>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</si>
  <si>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</si>
  <si>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</si>
  <si>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</si>
  <si>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</si>
  <si>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</si>
  <si>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</si>
  <si>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</si>
  <si>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</si>
  <si>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</si>
  <si>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</si>
  <si>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</si>
  <si>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</si>
  <si>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</si>
  <si>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</si>
  <si>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</si>
  <si>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</si>
  <si>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</si>
  <si>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</si>
  <si>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</si>
  <si>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</si>
  <si>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</si>
  <si>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</si>
  <si>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</si>
  <si>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</si>
  <si>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</si>
  <si>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</si>
  <si>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</si>
  <si>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</si>
  <si>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</si>
  <si>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</si>
  <si>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</si>
  <si>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</si>
  <si>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</si>
  <si>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</si>
  <si>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</si>
  <si>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</si>
  <si>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</si>
  <si>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</si>
  <si>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</si>
  <si>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</si>
  <si>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</si>
  <si>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</si>
  <si>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</si>
  <si>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</si>
  <si>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</si>
  <si>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</si>
  <si>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</si>
  <si>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</si>
  <si>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</si>
  <si>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</si>
  <si>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</si>
  <si>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</si>
  <si>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</si>
  <si>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</si>
  <si>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</si>
  <si>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</si>
  <si>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</si>
  <si>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</si>
  <si>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</si>
  <si>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</si>
  <si>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</si>
  <si>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</si>
  <si>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</si>
  <si>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</si>
  <si>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</si>
  <si>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</si>
  <si>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</si>
  <si>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</si>
  <si>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</si>
  <si>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</si>
  <si>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</si>
  <si>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</si>
  <si>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</si>
  <si>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</si>
  <si>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</si>
  <si>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</si>
  <si>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</si>
  <si>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</si>
  <si>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</si>
  <si>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</si>
  <si>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</si>
  <si>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</si>
  <si>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</si>
  <si>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</si>
  <si>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</si>
  <si>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</si>
  <si>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</si>
  <si>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</si>
  <si>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</si>
  <si>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</si>
  <si>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</si>
  <si>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</si>
  <si>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</si>
  <si>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</si>
  <si>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</si>
  <si>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</si>
  <si>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</si>
  <si>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</si>
  <si>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</si>
  <si>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</si>
  <si>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</si>
  <si>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</si>
  <si>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</si>
  <si>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</si>
  <si>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</si>
  <si>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</si>
  <si>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</si>
  <si>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</si>
  <si>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</si>
  <si>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</si>
  <si>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</si>
  <si>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</si>
  <si>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</si>
  <si>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</si>
  <si>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</si>
  <si>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</si>
  <si>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</si>
  <si>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</si>
  <si>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</si>
  <si>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</si>
  <si>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</si>
  <si>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</si>
  <si>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</si>
  <si>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</si>
  <si>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</si>
  <si>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</si>
  <si>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</si>
  <si>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</si>
  <si>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</si>
  <si>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</si>
  <si>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</si>
  <si>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</si>
  <si>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</si>
  <si>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</si>
  <si>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</si>
  <si>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</si>
  <si>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</si>
  <si>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</si>
  <si>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</si>
  <si>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</si>
  <si>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</si>
  <si>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</si>
  <si>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</si>
  <si>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</si>
  <si>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</si>
  <si>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</si>
  <si>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</si>
  <si>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</si>
  <si>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</si>
  <si>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</si>
  <si>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</si>
  <si>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</si>
  <si>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</si>
  <si>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</si>
  <si>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</si>
  <si>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</si>
  <si>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</si>
  <si>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</si>
  <si>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</si>
  <si>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</si>
  <si>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</si>
  <si>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</si>
  <si>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</si>
  <si>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</si>
  <si>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</si>
  <si>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</si>
  <si>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</si>
  <si>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</si>
  <si>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</si>
  <si>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</si>
  <si>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</si>
  <si>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</si>
  <si>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</si>
  <si>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</si>
  <si>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</si>
  <si>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</si>
  <si>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</si>
  <si>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</si>
  <si>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</si>
  <si>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</si>
  <si>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</si>
  <si>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</si>
  <si>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</si>
  <si>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</si>
  <si>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</si>
  <si>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</si>
  <si>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</si>
  <si>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</si>
  <si>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</si>
  <si>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</si>
  <si>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</si>
  <si>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</si>
  <si>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</si>
  <si>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</si>
  <si>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</si>
  <si>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</si>
  <si>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</si>
  <si>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</si>
  <si>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</si>
  <si>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</si>
  <si>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</si>
  <si>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</si>
  <si>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</si>
  <si>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</si>
  <si>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</si>
  <si>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</si>
  <si>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</si>
  <si>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</si>
  <si>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</si>
  <si>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</si>
  <si>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</si>
  <si>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</si>
  <si>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</si>
  <si>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</si>
  <si>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</si>
  <si>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</si>
  <si>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</si>
  <si>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</si>
  <si>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</si>
  <si>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</si>
  <si>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</si>
  <si>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</si>
  <si>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</si>
  <si>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</si>
  <si>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</si>
  <si>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</si>
  <si>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</si>
  <si>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</si>
  <si>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</si>
  <si>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</si>
  <si>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</si>
  <si>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</si>
  <si>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</si>
  <si>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</si>
  <si>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</si>
  <si>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</si>
  <si>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</si>
  <si>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</si>
  <si>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</si>
  <si>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</si>
  <si>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</si>
  <si>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</si>
  <si>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</si>
  <si>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</si>
  <si>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</si>
  <si>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</si>
  <si>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</si>
  <si>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</si>
  <si>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</si>
  <si>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</si>
  <si>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</si>
  <si>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</si>
  <si>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</si>
  <si>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</si>
  <si>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</si>
  <si>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</si>
  <si>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</si>
  <si>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</si>
  <si>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</si>
  <si>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</si>
  <si>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</si>
  <si>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</si>
  <si>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</si>
  <si>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</si>
  <si>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</si>
  <si>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</si>
  <si>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</si>
  <si>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</si>
  <si>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</si>
  <si>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</si>
  <si>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</si>
  <si>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</si>
  <si>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</si>
  <si>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</si>
  <si>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</si>
  <si>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</si>
  <si>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</si>
  <si>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</si>
  <si>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</si>
  <si>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</si>
  <si>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</si>
  <si>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</si>
  <si>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</si>
  <si>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</si>
  <si>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</si>
  <si>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</si>
  <si>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</si>
  <si>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</si>
  <si>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</si>
  <si>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</si>
  <si>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</si>
  <si>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</si>
  <si>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</si>
  <si>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</si>
  <si>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</si>
  <si>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</si>
  <si>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</si>
  <si>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</si>
  <si>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</si>
  <si>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</si>
  <si>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</si>
  <si>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</si>
  <si>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</si>
  <si>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</si>
  <si>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</si>
  <si>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</si>
  <si>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</si>
  <si>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</si>
  <si>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</si>
  <si>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</si>
  <si>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</si>
  <si>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</si>
  <si>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</si>
  <si>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</si>
  <si>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</si>
  <si>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</si>
  <si>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</si>
  <si>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</si>
  <si>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</si>
  <si>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</si>
  <si>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</si>
  <si>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</si>
  <si>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</si>
  <si>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</si>
  <si>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</si>
  <si>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</si>
  <si>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</si>
  <si>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</si>
  <si>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</si>
  <si>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</si>
  <si>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</si>
  <si>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</si>
  <si>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</si>
  <si>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</si>
  <si>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</si>
  <si>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</si>
  <si>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</si>
  <si>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</si>
  <si>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</si>
  <si>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</si>
  <si>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</si>
  <si>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</si>
  <si>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</si>
  <si>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</si>
  <si>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</si>
  <si>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</si>
  <si>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</si>
  <si>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</si>
  <si>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</si>
  <si>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</si>
  <si>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</si>
  <si>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</si>
  <si>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</si>
  <si>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</si>
  <si>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</si>
  <si>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</si>
  <si>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</si>
  <si>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</si>
  <si>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</si>
  <si>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</si>
  <si>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</si>
  <si>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</si>
  <si>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</si>
  <si>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</si>
  <si>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</si>
  <si>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</si>
  <si>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</si>
  <si>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</si>
  <si>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</si>
  <si>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</si>
  <si>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</si>
  <si>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</si>
  <si>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</si>
  <si>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</si>
  <si>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</si>
  <si>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</si>
  <si>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</si>
  <si>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</si>
  <si>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</si>
  <si>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</si>
  <si>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</si>
  <si>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</si>
  <si>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</si>
  <si>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</si>
  <si>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</si>
  <si>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</si>
  <si>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</si>
  <si>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</si>
  <si>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</si>
  <si>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</si>
  <si>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</si>
  <si>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</si>
  <si>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</si>
  <si>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</si>
  <si>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</si>
  <si>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</si>
  <si>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</si>
  <si>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</si>
  <si>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</si>
  <si>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</si>
  <si>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</si>
  <si>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</si>
  <si>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</si>
  <si>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</si>
  <si>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</si>
  <si>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</si>
  <si>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</si>
  <si>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</si>
  <si>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</si>
  <si>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</si>
  <si>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</si>
  <si>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</si>
  <si>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</si>
  <si>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</si>
  <si>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</si>
  <si>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</si>
  <si>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</si>
  <si>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</si>
  <si>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</si>
  <si>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</si>
  <si>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</si>
  <si>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</si>
  <si>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</si>
  <si>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</si>
  <si>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</si>
  <si>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</si>
  <si>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</si>
  <si>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</si>
  <si>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</si>
  <si>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</si>
  <si>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</si>
  <si>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</si>
  <si>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</si>
  <si>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</si>
  <si>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</si>
  <si>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</si>
  <si>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</si>
  <si>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</si>
  <si>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</si>
  <si>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</si>
  <si>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</si>
  <si>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</si>
  <si>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</si>
  <si>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</si>
  <si>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</si>
  <si>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</si>
  <si>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</si>
  <si>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</si>
  <si>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</si>
  <si>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</si>
  <si>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</si>
  <si>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</si>
  <si>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</si>
  <si>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</si>
  <si>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</si>
  <si>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</si>
  <si>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</si>
  <si>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</si>
  <si>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</si>
  <si>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</si>
  <si>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</si>
  <si>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</si>
  <si>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</si>
  <si>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</si>
  <si>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</si>
  <si>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</si>
  <si>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</si>
  <si>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</si>
  <si>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</si>
  <si>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</si>
  <si>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</si>
  <si>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</si>
  <si>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</si>
  <si>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</si>
  <si>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</si>
  <si>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</si>
  <si>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</si>
  <si>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</si>
  <si>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</si>
  <si>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</si>
  <si>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</si>
  <si>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</si>
  <si>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</si>
  <si>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</si>
  <si>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</si>
  <si>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</si>
  <si>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</si>
  <si>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</si>
  <si>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</si>
  <si>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</si>
  <si>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</si>
  <si>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</si>
  <si>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</si>
  <si>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</si>
  <si>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</si>
  <si>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</si>
  <si>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</si>
  <si>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</si>
  <si>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</si>
  <si>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</si>
  <si>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</si>
  <si>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</si>
  <si>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</si>
  <si>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</si>
  <si>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</si>
  <si>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</si>
  <si>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</si>
  <si>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</si>
  <si>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</si>
  <si>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</si>
  <si>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</si>
  <si>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</si>
  <si>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</si>
  <si>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</si>
  <si>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</si>
  <si>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</si>
  <si>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</si>
  <si>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</si>
  <si>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</si>
  <si>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</si>
  <si>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</si>
  <si>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</si>
  <si>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</si>
  <si>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</si>
  <si>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</si>
  <si>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</si>
  <si>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</si>
  <si>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</si>
  <si>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</si>
  <si>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</si>
  <si>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</si>
  <si>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</si>
  <si>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</si>
  <si>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</si>
  <si>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</si>
  <si>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</si>
  <si>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</si>
  <si>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</si>
  <si>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</si>
  <si>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</si>
  <si>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</si>
  <si>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</si>
  <si>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</si>
  <si>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</si>
  <si>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</si>
  <si>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</si>
  <si>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</si>
  <si>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</si>
  <si>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</si>
  <si>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</si>
  <si>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</si>
  <si>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</si>
  <si>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</si>
  <si>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</si>
  <si>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</si>
  <si>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</si>
  <si>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</si>
  <si>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</si>
  <si>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</si>
  <si>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</si>
  <si>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</si>
  <si>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</si>
  <si>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</si>
  <si>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</si>
  <si>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</si>
  <si>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</si>
  <si>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</si>
  <si>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</si>
  <si>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</si>
  <si>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</si>
  <si>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</si>
  <si>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</si>
  <si>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</si>
  <si>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</si>
  <si>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</si>
  <si>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</si>
  <si>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</si>
  <si>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</si>
  <si>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</si>
  <si>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</si>
  <si>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</si>
  <si>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</si>
  <si>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</si>
  <si>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</si>
  <si>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</si>
  <si>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</si>
  <si>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</si>
  <si>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</si>
  <si>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</si>
  <si>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</si>
  <si>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</si>
  <si>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</si>
  <si>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</si>
  <si>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</si>
  <si>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</si>
  <si>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</si>
  <si>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</si>
  <si>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</si>
  <si>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</si>
  <si>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</si>
  <si>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</si>
  <si>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</si>
  <si>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</si>
  <si>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</si>
  <si>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</si>
  <si>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</si>
  <si>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</si>
  <si>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</si>
  <si>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</si>
  <si>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</si>
  <si>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</si>
  <si>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</si>
  <si>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</si>
  <si>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</si>
  <si>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</si>
  <si>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</si>
  <si>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</si>
  <si>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</si>
  <si>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</si>
  <si>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</si>
  <si>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</si>
  <si>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</si>
  <si>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</si>
  <si>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</si>
  <si>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</si>
  <si>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</si>
  <si>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</si>
  <si>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</si>
  <si>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</si>
  <si>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</si>
  <si>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</si>
  <si>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</si>
  <si>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</si>
  <si>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</si>
  <si>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</si>
  <si>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</si>
  <si>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</si>
  <si>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</si>
  <si>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</si>
  <si>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</si>
  <si>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</si>
  <si>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</si>
  <si>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</si>
  <si>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</si>
  <si>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</si>
  <si>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</si>
  <si>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</si>
  <si>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</si>
  <si>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</si>
  <si>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</si>
  <si>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</si>
  <si>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</si>
  <si>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</si>
  <si>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</si>
  <si>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</si>
  <si>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</si>
  <si>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</si>
  <si>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</si>
  <si>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</si>
  <si>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</si>
  <si>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</si>
  <si>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</si>
  <si>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</si>
  <si>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</si>
  <si>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</si>
  <si>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</si>
  <si>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</si>
  <si>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</si>
  <si>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</si>
  <si>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</si>
  <si>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</si>
  <si>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</si>
  <si>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</si>
  <si>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</si>
  <si>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</si>
  <si>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</si>
  <si>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</si>
  <si>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</si>
  <si>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</si>
  <si>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</si>
  <si>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</si>
  <si>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</si>
  <si>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</si>
  <si>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</si>
  <si>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</si>
  <si>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</si>
  <si>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</si>
  <si>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</si>
  <si>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</si>
  <si>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</si>
  <si>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</si>
  <si>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</si>
  <si>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</si>
  <si>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</si>
  <si>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</si>
  <si>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</si>
  <si>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</si>
  <si>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</si>
  <si>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</si>
  <si>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</si>
  <si>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</si>
  <si>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</si>
  <si>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</si>
  <si>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</si>
  <si>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</si>
  <si>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</si>
  <si>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</si>
  <si>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</si>
  <si>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</si>
  <si>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</si>
  <si>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</si>
  <si>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</si>
  <si>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</si>
  <si>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</si>
  <si>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</si>
  <si>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</si>
  <si>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</si>
  <si>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</si>
  <si>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</si>
  <si>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</si>
  <si>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</si>
  <si>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</si>
  <si>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</si>
  <si>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</si>
  <si>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</si>
  <si>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</si>
  <si>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</si>
  <si>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</si>
  <si>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</si>
  <si>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</si>
  <si>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</si>
  <si>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</si>
  <si>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</si>
  <si>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</si>
  <si>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</si>
  <si>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</si>
  <si>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</si>
  <si>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</si>
  <si>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</si>
  <si>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</si>
  <si>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</si>
  <si>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</si>
  <si>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</si>
  <si>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</si>
  <si>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</si>
  <si>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</si>
  <si>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</si>
  <si>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</si>
  <si>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</si>
  <si>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</si>
  <si>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</si>
  <si>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</si>
  <si>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</si>
  <si>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</si>
  <si>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</si>
  <si>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</si>
  <si>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</si>
  <si>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</si>
  <si>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</si>
  <si>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</si>
  <si>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</si>
  <si>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</si>
  <si>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</si>
  <si>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</si>
  <si>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</si>
  <si>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</si>
  <si>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</si>
  <si>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</si>
  <si>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</si>
  <si>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</si>
  <si>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</si>
  <si>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</si>
  <si>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</si>
  <si>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</si>
  <si>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</si>
  <si>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</si>
  <si>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</si>
  <si>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</si>
  <si>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</si>
  <si>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</si>
  <si>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</si>
  <si>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</si>
  <si>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</si>
  <si>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</si>
  <si>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</si>
  <si>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</si>
  <si>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</si>
  <si>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</si>
  <si>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</si>
  <si>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</si>
  <si>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</si>
  <si>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</si>
  <si>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</si>
  <si>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</si>
  <si>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</si>
  <si>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</si>
  <si>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</si>
  <si>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</si>
  <si>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</si>
  <si>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</si>
  <si>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</si>
  <si>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</si>
  <si>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</si>
  <si>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</si>
  <si>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</si>
  <si>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</si>
  <si>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</si>
  <si>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</si>
  <si>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</si>
  <si>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</si>
  <si>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</si>
  <si>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</si>
  <si>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</si>
  <si>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</si>
  <si>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</si>
  <si>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</si>
  <si>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</si>
  <si>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</si>
  <si>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</si>
  <si>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</si>
  <si>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</si>
  <si>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</si>
  <si>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</si>
  <si>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</si>
  <si>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</si>
  <si>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</si>
  <si>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</si>
  <si>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</si>
  <si>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</si>
  <si>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</si>
  <si>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</si>
  <si>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</si>
  <si>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</si>
  <si>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</si>
  <si>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</si>
  <si>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</si>
  <si>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</si>
  <si>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</si>
  <si>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</si>
  <si>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</si>
  <si>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</si>
  <si>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</si>
  <si>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</si>
  <si>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</si>
  <si>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</si>
  <si>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</si>
  <si>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</si>
  <si>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</si>
  <si>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</si>
  <si>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</si>
  <si>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</si>
  <si>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</si>
  <si>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</si>
  <si>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</si>
  <si>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</si>
  <si>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</si>
  <si>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</si>
  <si>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</si>
  <si>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</si>
  <si>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</si>
  <si>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</si>
  <si>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</si>
  <si>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</si>
  <si>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</si>
  <si>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</si>
  <si>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</si>
  <si>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</si>
  <si>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</si>
  <si>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</si>
  <si>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</si>
  <si>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</si>
  <si>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</si>
  <si>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</si>
  <si>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</si>
  <si>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</si>
  <si>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</si>
  <si>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</si>
  <si>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</si>
  <si>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</si>
  <si>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</si>
  <si>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</si>
  <si>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</si>
  <si>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</si>
  <si>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</si>
  <si>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</si>
  <si>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</si>
  <si>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</si>
  <si>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</si>
  <si>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</si>
  <si>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</si>
  <si>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</si>
  <si>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</si>
  <si>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</si>
  <si>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</si>
  <si>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</si>
  <si>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</si>
  <si>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</si>
  <si>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</si>
  <si>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</si>
  <si>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</si>
  <si>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</si>
  <si>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</si>
  <si>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</si>
  <si>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</si>
  <si>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</si>
  <si>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</si>
  <si>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</si>
  <si>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</si>
  <si>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</si>
  <si>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</si>
  <si>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</si>
  <si>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</si>
  <si>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</si>
  <si>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</si>
  <si>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</si>
  <si>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</si>
  <si>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</si>
  <si>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</si>
  <si>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</si>
  <si>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</si>
  <si>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</si>
  <si>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</si>
  <si>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</si>
  <si>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</si>
  <si>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</si>
  <si>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</si>
  <si>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</si>
  <si>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</si>
  <si>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</si>
  <si>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</si>
  <si>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</si>
  <si>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</si>
  <si>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</si>
  <si>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</si>
  <si>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</si>
  <si>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</si>
  <si>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</si>
  <si>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</si>
  <si>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</si>
  <si>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</si>
  <si>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</si>
  <si>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</si>
  <si>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</si>
  <si>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</si>
  <si>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</si>
  <si>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</si>
  <si>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</si>
  <si>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</si>
  <si>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</si>
  <si>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</si>
  <si>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</si>
  <si>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</si>
  <si>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</si>
  <si>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</si>
  <si>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</si>
  <si>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</si>
  <si>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</si>
  <si>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</si>
  <si>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</si>
  <si>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</si>
  <si>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</si>
  <si>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</si>
  <si>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</si>
  <si>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</si>
  <si>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</si>
  <si>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</si>
  <si>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</si>
  <si>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</si>
  <si>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</si>
  <si>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</si>
  <si>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</si>
  <si>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</si>
  <si>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</si>
  <si>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</si>
  <si>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</si>
  <si>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</si>
  <si>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</si>
  <si>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</si>
  <si>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</si>
  <si>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</si>
  <si>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</si>
  <si>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</si>
  <si>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</si>
  <si>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</si>
  <si>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</si>
  <si>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</si>
  <si>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</si>
  <si>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</si>
  <si>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</si>
  <si>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</si>
  <si>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</si>
  <si>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</si>
  <si>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</si>
  <si>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</si>
  <si>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</si>
  <si>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</si>
  <si>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</si>
  <si>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</si>
  <si>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</si>
  <si>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</si>
  <si>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</si>
  <si>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</si>
  <si>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</si>
  <si>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</si>
  <si>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</si>
  <si>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</si>
  <si>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</si>
  <si>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</si>
  <si>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</si>
  <si>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</si>
  <si>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</si>
  <si>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</si>
  <si>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</si>
  <si>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</si>
  <si>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</si>
  <si>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</si>
  <si>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</si>
  <si>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</si>
  <si>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</si>
  <si>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</si>
  <si>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</si>
  <si>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</si>
  <si>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</si>
  <si>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</si>
  <si>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</si>
  <si>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</si>
  <si>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</si>
  <si>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</si>
  <si>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</si>
  <si>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</si>
  <si>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</si>
  <si>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</si>
  <si>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</si>
  <si>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</si>
  <si>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</si>
  <si>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</si>
  <si>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</si>
  <si>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</si>
  <si>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</si>
  <si>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</si>
  <si>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</si>
  <si>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</si>
  <si>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</si>
  <si>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</si>
  <si>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</si>
  <si>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</si>
  <si>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</si>
  <si>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</si>
  <si>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</si>
  <si>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</si>
  <si>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</si>
  <si>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</si>
  <si>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</si>
  <si>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</si>
  <si>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</si>
  <si>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</si>
  <si>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</si>
  <si>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</si>
  <si>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</si>
  <si>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</si>
  <si>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</si>
  <si>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</si>
  <si>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</si>
  <si>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</si>
  <si>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</si>
  <si>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</si>
  <si>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</si>
  <si>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</si>
  <si>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</si>
  <si>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</si>
  <si>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</si>
  <si>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</si>
  <si>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</si>
  <si>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</si>
  <si>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</si>
  <si>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</si>
  <si>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</si>
  <si>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</si>
  <si>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</si>
  <si>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</si>
  <si>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</si>
  <si>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</si>
  <si>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</si>
  <si>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</si>
  <si>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</si>
  <si>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</si>
  <si>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</si>
  <si>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</si>
  <si>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</si>
  <si>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</si>
  <si>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</si>
  <si>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</si>
  <si>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</si>
  <si>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</si>
  <si>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</si>
  <si>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</si>
  <si>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</si>
  <si>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</si>
  <si>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</si>
  <si>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</si>
  <si>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</si>
  <si>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</si>
  <si>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</si>
  <si>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</si>
  <si>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</si>
  <si>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</si>
  <si>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</si>
  <si>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</si>
  <si>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</si>
  <si>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</si>
  <si>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</si>
  <si>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</si>
  <si>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</si>
  <si>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</si>
  <si>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</si>
  <si>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</si>
  <si>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</si>
  <si>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</si>
  <si>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</si>
  <si>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</si>
  <si>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</si>
  <si>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</si>
  <si>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</si>
  <si>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</si>
  <si>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</si>
  <si>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</si>
  <si>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</si>
  <si>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</si>
  <si>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</si>
  <si>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</si>
  <si>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</si>
  <si>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</si>
  <si>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</si>
  <si>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</si>
  <si>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</si>
  <si>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</si>
  <si>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</si>
  <si>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</si>
  <si>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</si>
  <si>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</si>
  <si>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</si>
  <si>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</si>
  <si>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</si>
  <si>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</si>
  <si>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</si>
  <si>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</si>
  <si>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</si>
  <si>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</si>
  <si>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</si>
  <si>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</si>
  <si>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</si>
  <si>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</si>
  <si>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</si>
  <si>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</si>
  <si>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</si>
  <si>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</si>
  <si>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</si>
  <si>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</si>
  <si>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</si>
  <si>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</si>
  <si>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</si>
  <si>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</si>
  <si>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</si>
  <si>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</si>
  <si>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</si>
  <si>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</si>
  <si>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</si>
  <si>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</si>
  <si>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</si>
  <si>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</si>
  <si>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</si>
  <si>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</si>
  <si>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</si>
  <si>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</si>
  <si>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</si>
  <si>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</si>
  <si>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</si>
  <si>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</si>
  <si>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</si>
  <si>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</si>
  <si>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</si>
  <si>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</si>
  <si>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</si>
  <si>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</si>
  <si>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</si>
  <si>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</si>
  <si>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</si>
  <si>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</si>
  <si>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</si>
  <si>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</si>
  <si>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</si>
  <si>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</si>
  <si>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</si>
  <si>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</si>
  <si>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</si>
  <si>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</si>
  <si>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</si>
  <si>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</si>
  <si>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</si>
  <si>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</si>
  <si>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</si>
  <si>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</si>
  <si>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</si>
  <si>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</si>
  <si>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</si>
  <si>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</si>
  <si>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</si>
  <si>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</si>
  <si>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</si>
  <si>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</si>
  <si>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</si>
  <si>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</si>
  <si>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</si>
  <si>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</si>
  <si>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</si>
  <si>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</si>
  <si>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</si>
  <si>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</si>
  <si>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</si>
  <si>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</si>
  <si>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</si>
  <si>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</si>
  <si>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</si>
  <si>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</si>
  <si>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</si>
  <si>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</si>
  <si>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</si>
  <si>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</si>
  <si>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</si>
  <si>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</si>
  <si>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</si>
  <si>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</si>
  <si>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</si>
  <si>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</si>
  <si>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</si>
  <si>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</si>
  <si>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</si>
  <si>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</si>
  <si>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</si>
  <si>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</si>
  <si>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</si>
  <si>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</si>
  <si>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</si>
  <si>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</si>
  <si>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</si>
  <si>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</si>
  <si>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</si>
  <si>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</si>
  <si>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</si>
  <si>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</si>
  <si>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</si>
  <si>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</si>
  <si>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</si>
  <si>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</si>
  <si>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</si>
  <si>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</si>
  <si>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</si>
  <si>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</si>
  <si>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</si>
  <si>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</si>
  <si>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</si>
  <si>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</si>
  <si>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</si>
  <si>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</si>
  <si>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</si>
  <si>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</si>
  <si>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</si>
  <si>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</si>
  <si>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</si>
  <si>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</si>
  <si>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</si>
  <si>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</si>
  <si>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</si>
  <si>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</si>
  <si>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</si>
  <si>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</si>
  <si>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</si>
  <si>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</si>
  <si>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</si>
  <si>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</si>
  <si>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</si>
  <si>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</si>
  <si>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</si>
  <si>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</si>
  <si>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</si>
  <si>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</si>
  <si>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</si>
  <si>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</si>
  <si>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</si>
  <si>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</si>
  <si>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</si>
  <si>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</si>
  <si>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</si>
  <si>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</si>
  <si>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</si>
  <si>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</si>
  <si>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</si>
  <si>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</si>
  <si>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</si>
  <si>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</si>
  <si>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</si>
  <si>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</si>
  <si>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</si>
  <si>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</si>
  <si>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</si>
  <si>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</si>
  <si>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</si>
  <si>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</si>
  <si>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</si>
  <si>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</si>
  <si>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</si>
  <si>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</si>
  <si>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</si>
  <si>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</si>
  <si>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</si>
  <si>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</si>
  <si>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</si>
  <si>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</si>
  <si>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</si>
  <si>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</si>
  <si>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</si>
  <si>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</si>
  <si>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</si>
  <si>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</si>
  <si>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</si>
  <si>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</si>
  <si>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</si>
  <si>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</si>
  <si>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</si>
  <si>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</si>
  <si>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</si>
  <si>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</si>
  <si>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</si>
  <si>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</si>
  <si>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</si>
  <si>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</si>
  <si>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</si>
  <si>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</si>
  <si>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</si>
  <si>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</si>
  <si>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</si>
  <si>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</si>
  <si>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</si>
  <si>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</si>
  <si>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</si>
  <si>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</si>
  <si>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</si>
  <si>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</si>
  <si>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</si>
  <si>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</si>
  <si>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</si>
  <si>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</si>
  <si>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</si>
  <si>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</si>
  <si>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</si>
  <si>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</si>
  <si>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</si>
  <si>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</si>
  <si>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</si>
  <si>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</si>
  <si>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</si>
  <si>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</si>
  <si>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</si>
  <si>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</si>
  <si>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</si>
  <si>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</si>
  <si>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</si>
  <si>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</si>
  <si>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</si>
  <si>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</si>
  <si>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</si>
  <si>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</si>
  <si>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</si>
  <si>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</si>
  <si>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</si>
  <si>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</si>
  <si>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</si>
  <si>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</si>
  <si>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</si>
  <si>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</si>
  <si>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</si>
  <si>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</si>
  <si>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</si>
  <si>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</si>
  <si>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</si>
  <si>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</si>
  <si>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</si>
  <si>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</si>
  <si>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</si>
  <si>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</si>
  <si>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</si>
  <si>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</si>
  <si>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</si>
  <si>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</si>
  <si>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</si>
  <si>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</si>
  <si>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</si>
  <si>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</si>
  <si>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</si>
  <si>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</si>
  <si>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</si>
  <si>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</si>
  <si>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</si>
  <si>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</si>
  <si>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</si>
  <si>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</si>
  <si>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</si>
  <si>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</si>
  <si>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</si>
  <si>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</si>
  <si>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</si>
  <si>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</si>
  <si>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</si>
  <si>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</si>
  <si>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</si>
  <si>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</si>
  <si>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</si>
  <si>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</si>
  <si>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</si>
  <si>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</si>
  <si>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</si>
  <si>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</si>
  <si>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</si>
  <si>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</si>
  <si>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</si>
  <si>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</si>
  <si>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</si>
  <si>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</si>
  <si>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</si>
  <si>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</si>
  <si>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</si>
  <si>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</si>
  <si>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</si>
  <si>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</si>
  <si>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</si>
  <si>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</si>
  <si>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</si>
  <si>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</si>
  <si>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</si>
  <si>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</si>
  <si>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</si>
  <si>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</si>
  <si>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</si>
  <si>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</si>
  <si>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</si>
  <si>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</si>
  <si>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</si>
  <si>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</si>
  <si>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</si>
  <si>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</si>
  <si>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</si>
  <si>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</si>
  <si>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</si>
  <si>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</si>
  <si>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</si>
  <si>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</si>
  <si>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</si>
  <si>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</si>
  <si>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</si>
  <si>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</si>
  <si>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</si>
  <si>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</si>
  <si>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</si>
  <si>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</si>
  <si>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</si>
  <si>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</si>
  <si>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</si>
  <si>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</si>
  <si>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</si>
  <si>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</si>
  <si>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</si>
  <si>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</si>
  <si>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</si>
  <si>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</si>
  <si>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</si>
  <si>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</si>
  <si>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</si>
  <si>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</si>
  <si>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</si>
  <si>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</si>
  <si>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</si>
  <si>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</si>
  <si>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</si>
  <si>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</si>
  <si>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</si>
  <si>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</si>
  <si>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</si>
  <si>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</si>
  <si>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</si>
  <si>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</si>
  <si>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</si>
  <si>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</si>
  <si>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</si>
  <si>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</si>
  <si>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</si>
  <si>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</si>
  <si>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</si>
  <si>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</si>
  <si>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</si>
  <si>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</si>
  <si>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</si>
  <si>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</si>
  <si>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</si>
  <si>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</si>
  <si>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</si>
  <si>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</si>
  <si>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</si>
  <si>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</si>
  <si>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</si>
  <si>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</si>
  <si>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</si>
  <si>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</si>
  <si>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</si>
  <si>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</si>
  <si>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</si>
  <si>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</si>
  <si>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</si>
  <si>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</si>
  <si>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</si>
  <si>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</si>
  <si>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</si>
  <si>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</si>
  <si>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</si>
  <si>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</si>
  <si>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</si>
  <si>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</si>
  <si>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</si>
  <si>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</si>
  <si>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</si>
  <si>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</si>
  <si>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</si>
  <si>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</si>
  <si>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</si>
  <si>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</si>
  <si>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</si>
  <si>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</si>
  <si>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</si>
  <si>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</si>
  <si>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</si>
  <si>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</si>
  <si>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</si>
  <si>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</si>
  <si>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</si>
  <si>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</si>
  <si>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</si>
  <si>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</si>
  <si>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</si>
  <si>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</si>
  <si>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</si>
  <si>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</si>
  <si>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</si>
  <si>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</si>
  <si>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</si>
  <si>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</si>
  <si>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</si>
  <si>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</si>
  <si>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</si>
  <si>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</si>
  <si>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</si>
  <si>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</si>
  <si>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</si>
  <si>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</si>
  <si>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</si>
  <si>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</si>
  <si>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</si>
  <si>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</si>
  <si>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</si>
  <si>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</si>
  <si>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</si>
  <si>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</si>
  <si>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</si>
  <si>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</si>
  <si>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</si>
  <si>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</si>
  <si>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</si>
  <si>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</si>
  <si>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</si>
  <si>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</si>
  <si>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</si>
  <si>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</si>
  <si>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</si>
  <si>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</si>
  <si>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</si>
  <si>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</si>
  <si>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</si>
  <si>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</si>
  <si>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</si>
  <si>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</si>
  <si>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</si>
  <si>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</si>
  <si>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</si>
  <si>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</si>
  <si>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</si>
  <si>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</si>
  <si>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</si>
  <si>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</si>
  <si>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</si>
  <si>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</si>
  <si>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</si>
  <si>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</si>
  <si>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</si>
  <si>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</si>
  <si>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</si>
  <si>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</si>
  <si>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</si>
  <si>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</si>
  <si>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</si>
  <si>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</si>
  <si>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</si>
  <si>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</si>
  <si>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</si>
  <si>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</si>
  <si>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</si>
  <si>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</si>
  <si>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</si>
  <si>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</si>
  <si>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</si>
  <si>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</si>
  <si>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</si>
  <si>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</si>
  <si>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</si>
  <si>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</si>
  <si>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</si>
  <si>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</si>
  <si>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</si>
  <si>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</si>
  <si>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</si>
  <si>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</si>
  <si>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</si>
  <si>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</si>
  <si>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</si>
  <si>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</si>
  <si>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</si>
  <si>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</si>
  <si>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</si>
  <si>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</si>
  <si>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</si>
  <si>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</si>
  <si>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</si>
  <si>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</si>
  <si>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</si>
  <si>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</si>
  <si>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</si>
  <si>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</si>
  <si>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</si>
  <si>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</si>
  <si>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</si>
  <si>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</si>
  <si>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</si>
  <si>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</si>
  <si>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</si>
  <si>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</si>
  <si>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</si>
  <si>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</si>
  <si>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</si>
  <si>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</si>
  <si>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</si>
  <si>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</si>
  <si>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</si>
  <si>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</si>
  <si>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</si>
  <si>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</si>
  <si>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</si>
  <si>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</si>
  <si>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</si>
  <si>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</si>
  <si>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</si>
  <si>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</si>
  <si>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</si>
  <si>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</si>
  <si>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</si>
  <si>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</si>
  <si>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</si>
  <si>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</si>
  <si>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</si>
  <si>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</si>
  <si>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</si>
  <si>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</si>
  <si>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</si>
  <si>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</si>
  <si>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</si>
  <si>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</si>
  <si>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</si>
  <si>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</si>
  <si>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</si>
  <si>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</si>
  <si>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</si>
  <si>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</si>
  <si>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</si>
  <si>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</si>
  <si>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</si>
  <si>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</si>
  <si>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</si>
  <si>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</si>
  <si>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</si>
  <si>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</si>
  <si>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</si>
  <si>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</si>
  <si>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</si>
  <si>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</si>
  <si>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</si>
  <si>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</si>
  <si>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</si>
  <si>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</si>
  <si>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</si>
  <si>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</si>
  <si>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</si>
  <si>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</si>
  <si>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</si>
  <si>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</si>
  <si>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</si>
  <si>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</si>
  <si>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</si>
  <si>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</si>
  <si>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</si>
  <si>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</si>
  <si>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</si>
  <si>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</si>
  <si>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</si>
  <si>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</si>
  <si>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</si>
  <si>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</si>
  <si>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</si>
  <si>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</si>
  <si>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</si>
  <si>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</si>
  <si>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</si>
  <si>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</si>
  <si>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</si>
  <si>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</si>
  <si>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</si>
  <si>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</si>
  <si>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</si>
  <si>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</si>
  <si>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</si>
  <si>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</si>
  <si>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</si>
  <si>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</si>
  <si>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</si>
  <si>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</si>
  <si>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</si>
  <si>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</si>
  <si>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</si>
  <si>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</si>
  <si>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</si>
  <si>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</si>
  <si>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</si>
  <si>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</si>
  <si>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</si>
  <si>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</si>
  <si>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</si>
  <si>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</si>
  <si>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</si>
  <si>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</si>
  <si>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</si>
  <si>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</si>
  <si>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</si>
  <si>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</si>
  <si>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</si>
  <si>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</si>
  <si>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</si>
  <si>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</si>
  <si>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</si>
  <si>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</si>
  <si>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</si>
  <si>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</si>
  <si>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</si>
  <si>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</si>
  <si>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</si>
  <si>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</si>
  <si>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</si>
  <si>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</si>
  <si>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</si>
  <si>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</si>
  <si>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</si>
  <si>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</si>
  <si>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</si>
  <si>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</si>
  <si>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</si>
  <si>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</si>
  <si>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</si>
  <si>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</si>
  <si>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</si>
  <si>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</si>
  <si>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</si>
  <si>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</si>
  <si>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</si>
  <si>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</si>
  <si>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</si>
  <si>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</si>
  <si>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</si>
  <si>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</si>
  <si>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</si>
  <si>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</si>
  <si>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</si>
  <si>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</si>
  <si>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</si>
  <si>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</si>
  <si>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</si>
  <si>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</si>
  <si>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</si>
  <si>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</si>
  <si>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</si>
  <si>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</si>
  <si>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</si>
  <si>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</si>
  <si>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</si>
  <si>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</si>
  <si>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</si>
  <si>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</si>
  <si>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</si>
  <si>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</si>
  <si>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</si>
  <si>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</si>
  <si>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</si>
  <si>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</si>
  <si>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</si>
  <si>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</si>
  <si>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</si>
  <si>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</si>
  <si>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</si>
  <si>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</si>
  <si>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</si>
  <si>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</si>
  <si>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</si>
  <si>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</si>
  <si>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</si>
  <si>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</si>
  <si>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</si>
  <si>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</si>
  <si>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</si>
  <si>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</si>
  <si>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</si>
  <si>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</si>
  <si>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</si>
  <si>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</si>
  <si>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</si>
  <si>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</si>
  <si>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</si>
  <si>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</si>
  <si>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</si>
  <si>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</si>
  <si>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</si>
  <si>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</si>
  <si>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</si>
  <si>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</si>
  <si>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</si>
  <si>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</si>
  <si>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</si>
  <si>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</si>
  <si>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</si>
  <si>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</si>
  <si>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</si>
  <si>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</si>
  <si>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</si>
  <si>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</si>
  <si>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</si>
  <si>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</si>
  <si>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</si>
  <si>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</si>
  <si>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</si>
  <si>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</si>
  <si>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</si>
  <si>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</si>
  <si>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</si>
  <si>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</si>
  <si>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</si>
  <si>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</si>
  <si>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</si>
  <si>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</si>
  <si>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</si>
  <si>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</si>
  <si>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</si>
  <si>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</si>
  <si>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</si>
  <si>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</si>
  <si>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</si>
  <si>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</si>
  <si>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</si>
  <si>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</si>
  <si>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</si>
  <si>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</si>
  <si>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</si>
  <si>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</si>
  <si>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</si>
  <si>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</si>
  <si>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</si>
  <si>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</si>
  <si>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</si>
  <si>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</si>
  <si>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</si>
  <si>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</si>
  <si>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</si>
  <si>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</si>
  <si>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</si>
  <si>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</si>
  <si>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</si>
  <si>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</si>
  <si>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</si>
  <si>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</si>
  <si>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</si>
  <si>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</si>
  <si>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</si>
  <si>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</si>
  <si>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</si>
  <si>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</si>
  <si>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</si>
  <si>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</si>
  <si>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</si>
  <si>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</si>
  <si>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</si>
  <si>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</si>
  <si>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</si>
  <si>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</si>
  <si>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</si>
  <si>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</si>
  <si>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</si>
  <si>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</si>
  <si>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</si>
  <si>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</si>
  <si>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</si>
  <si>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</si>
  <si>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</si>
  <si>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</si>
  <si>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</si>
  <si>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</si>
  <si>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</si>
  <si>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</si>
  <si>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</si>
  <si>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</si>
  <si>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</si>
  <si>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</si>
  <si>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</si>
  <si>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</si>
  <si>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</si>
  <si>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</si>
  <si>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</si>
  <si>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</si>
  <si>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</si>
  <si>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</si>
  <si>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</si>
  <si>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</si>
  <si>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</si>
  <si>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</si>
  <si>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</si>
  <si>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</si>
  <si>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</si>
  <si>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</si>
  <si>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</si>
  <si>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</si>
  <si>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</si>
  <si>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</si>
  <si>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</si>
  <si>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</si>
  <si>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</si>
  <si>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</si>
  <si>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</si>
  <si>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</si>
  <si>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</si>
  <si>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</si>
  <si>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</si>
  <si>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</si>
  <si>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</si>
  <si>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</si>
  <si>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</si>
  <si>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</si>
  <si>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</si>
  <si>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</si>
  <si>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</si>
  <si>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</si>
  <si>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</si>
  <si>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</si>
  <si>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</si>
  <si>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</si>
  <si>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</si>
  <si>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</si>
  <si>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</si>
  <si>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</si>
  <si>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</si>
  <si>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</si>
  <si>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</si>
  <si>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</si>
  <si>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</si>
  <si>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</si>
  <si>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</si>
  <si>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</si>
  <si>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</si>
  <si>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</si>
  <si>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</si>
  <si>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</si>
  <si>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</si>
  <si>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</si>
  <si>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</si>
  <si>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</si>
  <si>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</si>
  <si>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</si>
  <si>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</si>
  <si>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</si>
  <si>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</si>
  <si>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</si>
  <si>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</si>
  <si>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</si>
  <si>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</si>
  <si>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</si>
  <si>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</si>
  <si>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</si>
  <si>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</si>
  <si>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</si>
  <si>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</si>
  <si>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</si>
  <si>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</si>
  <si>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</si>
  <si>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</si>
  <si>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</si>
  <si>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</si>
  <si>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</si>
  <si>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</si>
  <si>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</si>
  <si>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</si>
  <si>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</si>
  <si>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</si>
  <si>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</si>
  <si>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</si>
  <si>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</si>
  <si>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</si>
  <si>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</si>
  <si>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</si>
  <si>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</si>
  <si>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</si>
  <si>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</si>
  <si>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</si>
  <si>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</si>
  <si>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</si>
  <si>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</si>
  <si>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</si>
  <si>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</si>
  <si>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</si>
  <si>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</si>
  <si>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</si>
  <si>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</si>
  <si>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</si>
  <si>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</si>
  <si>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</si>
  <si>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</si>
  <si>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</si>
  <si>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</si>
  <si>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</si>
  <si>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</si>
  <si>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</si>
  <si>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</si>
  <si>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</si>
  <si>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</si>
  <si>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</si>
  <si>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</si>
  <si>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</si>
  <si>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</si>
  <si>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</si>
  <si>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</si>
  <si>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</si>
  <si>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</si>
  <si>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</si>
  <si>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</si>
  <si>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</si>
  <si>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</si>
  <si>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</si>
  <si>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</si>
  <si>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</si>
  <si>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</si>
  <si>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</si>
  <si>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</si>
  <si>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</si>
  <si>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</si>
  <si>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</si>
  <si>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</si>
  <si>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</si>
  <si>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</si>
  <si>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</si>
  <si>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</si>
  <si>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</si>
  <si>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</si>
  <si>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</si>
  <si>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</si>
  <si>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</si>
  <si>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</si>
  <si>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</si>
  <si>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</si>
  <si>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</si>
  <si>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</si>
  <si>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</si>
  <si>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</si>
  <si>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</si>
  <si>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</si>
  <si>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</si>
  <si>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</si>
  <si>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</si>
  <si>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</si>
  <si>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</si>
  <si>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</si>
  <si>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</si>
  <si>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</si>
  <si>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</si>
  <si>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</si>
  <si>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</si>
  <si>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</si>
  <si>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</si>
  <si>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</si>
  <si>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</si>
  <si>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</si>
  <si>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</si>
  <si>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</si>
  <si>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</si>
  <si>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</si>
  <si>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</si>
  <si>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</si>
  <si>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</si>
  <si>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</si>
  <si>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</si>
  <si>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</si>
  <si>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</si>
  <si>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</si>
  <si>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</si>
  <si>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</si>
  <si>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</si>
  <si>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</si>
  <si>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</si>
  <si>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</si>
  <si>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</si>
  <si>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</si>
  <si>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</si>
  <si>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</si>
  <si>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</si>
  <si>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</si>
  <si>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</si>
  <si>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</si>
  <si>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</si>
  <si>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</si>
  <si>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</si>
  <si>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</si>
  <si>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</si>
  <si>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</si>
  <si>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</si>
  <si>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</si>
  <si>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</si>
  <si>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</si>
  <si>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</si>
  <si>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</si>
  <si>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</si>
  <si>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</si>
  <si>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</si>
  <si>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</si>
  <si>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</si>
  <si>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</si>
  <si>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</si>
  <si>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</si>
  <si>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</si>
  <si>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</si>
  <si>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</si>
  <si>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</si>
  <si>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</si>
  <si>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</si>
  <si>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</si>
  <si>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</si>
  <si>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</si>
  <si>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</si>
  <si>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</si>
  <si>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</si>
  <si>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</si>
  <si>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</si>
  <si>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</si>
  <si>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</si>
  <si>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</si>
  <si>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</si>
  <si>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</si>
  <si>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</si>
  <si>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</si>
  <si>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</si>
  <si>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</si>
  <si>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</si>
  <si>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</si>
  <si>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</si>
  <si>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</si>
  <si>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</si>
  <si>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</si>
  <si>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</si>
  <si>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</si>
  <si>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</si>
  <si>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</si>
  <si>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</si>
  <si>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</si>
  <si>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</si>
  <si>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</si>
  <si>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</si>
  <si>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</si>
  <si>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</si>
  <si>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</si>
  <si>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</si>
  <si>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</si>
  <si>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</si>
  <si>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</si>
  <si>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</si>
  <si>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</si>
  <si>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</si>
  <si>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</si>
  <si>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</si>
  <si>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</si>
  <si>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</si>
  <si>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</si>
  <si>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</si>
  <si>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</si>
  <si>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</si>
  <si>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</si>
  <si>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</si>
  <si>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</si>
  <si>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</si>
  <si>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</si>
  <si>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</si>
  <si>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</si>
  <si>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</si>
  <si>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</si>
  <si>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</si>
  <si>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</si>
  <si>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</si>
  <si>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</si>
  <si>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</si>
  <si>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</si>
  <si>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</si>
  <si>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</si>
  <si>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</si>
  <si>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</si>
  <si>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</si>
  <si>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</si>
  <si>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</si>
  <si>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</si>
  <si>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</si>
  <si>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</si>
  <si>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</si>
  <si>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</si>
  <si>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</si>
  <si>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</si>
  <si>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</si>
  <si>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</si>
  <si>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</si>
  <si>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</si>
  <si>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</si>
  <si>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</si>
  <si>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</si>
  <si>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</si>
  <si>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</si>
  <si>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</si>
  <si>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</si>
  <si>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</si>
  <si>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</si>
  <si>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</si>
  <si>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</si>
  <si>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</si>
  <si>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</si>
  <si>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</si>
  <si>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</si>
  <si>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</si>
  <si>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</si>
  <si>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</si>
  <si>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</si>
  <si>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</si>
  <si>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</si>
  <si>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</si>
  <si>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</si>
  <si>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</si>
  <si>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</si>
  <si>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</si>
  <si>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</si>
  <si>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</si>
  <si>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</si>
  <si>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</si>
  <si>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</si>
  <si>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</si>
  <si>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</si>
  <si>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</si>
  <si>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</si>
  <si>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</si>
  <si>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</si>
  <si>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</si>
  <si>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</si>
  <si>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</si>
  <si>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</si>
  <si>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</si>
  <si>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</si>
  <si>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</si>
  <si>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</si>
  <si>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</si>
  <si>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</si>
  <si>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</si>
  <si>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</si>
  <si>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</si>
  <si>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</si>
  <si>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</si>
  <si>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</si>
  <si>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</si>
  <si>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</si>
  <si>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</si>
  <si>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</si>
  <si>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</si>
  <si>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</si>
  <si>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</si>
  <si>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</si>
  <si>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</si>
  <si>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</si>
  <si>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</si>
  <si>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</si>
  <si>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</si>
  <si>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</si>
  <si>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</si>
  <si>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</si>
  <si>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</si>
  <si>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</si>
  <si>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</si>
  <si>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</si>
  <si>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</si>
  <si>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</si>
  <si>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</si>
  <si>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</si>
  <si>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</si>
  <si>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</si>
  <si>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</si>
  <si>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</si>
  <si>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</si>
  <si>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</si>
  <si>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</si>
  <si>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</si>
  <si>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</si>
  <si>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</si>
  <si>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</si>
  <si>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</si>
  <si>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</si>
  <si>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</si>
  <si>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</si>
  <si>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</si>
  <si>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</si>
  <si>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</si>
  <si>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</si>
  <si>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</si>
  <si>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</si>
  <si>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</si>
  <si>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</si>
  <si>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</si>
  <si>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</si>
  <si>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</si>
  <si>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</si>
  <si>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</si>
  <si>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</si>
  <si>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</si>
  <si>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</si>
  <si>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</si>
  <si>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</si>
  <si>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</si>
  <si>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</si>
  <si>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</si>
  <si>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</si>
  <si>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</si>
  <si>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</si>
  <si>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</si>
  <si>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</si>
  <si>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</si>
  <si>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</si>
  <si>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</si>
  <si>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</si>
  <si>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</si>
  <si>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</si>
  <si>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</si>
  <si>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</si>
  <si>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</si>
  <si>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</si>
  <si>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</si>
  <si>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</si>
  <si>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</si>
  <si>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</si>
  <si>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</si>
  <si>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</si>
  <si>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</si>
  <si>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</si>
  <si>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</si>
  <si>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</si>
  <si>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</si>
  <si>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</si>
  <si>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</si>
  <si>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</si>
  <si>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</si>
  <si>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</si>
  <si>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</si>
  <si>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</si>
  <si>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</si>
  <si>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</si>
  <si>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</si>
  <si>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</si>
  <si>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</si>
  <si>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</si>
  <si>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</si>
  <si>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</si>
  <si>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</si>
  <si>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</si>
  <si>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</si>
  <si>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</si>
  <si>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</si>
  <si>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</si>
  <si>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</si>
  <si>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</si>
  <si>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</si>
  <si>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</si>
  <si>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</si>
  <si>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</si>
  <si>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</si>
  <si>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</si>
  <si>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</si>
  <si>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</si>
  <si>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</si>
  <si>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</si>
  <si>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</si>
  <si>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</si>
  <si>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</si>
  <si>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</si>
  <si>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</si>
  <si>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</si>
  <si>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</si>
  <si>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</si>
  <si>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</si>
  <si>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</si>
  <si>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</si>
  <si>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</si>
  <si>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</si>
  <si>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</si>
  <si>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</si>
  <si>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</si>
  <si>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</si>
  <si>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</si>
  <si>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</si>
  <si>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</si>
  <si>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</si>
  <si>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</si>
  <si>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</si>
  <si>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</si>
  <si>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</si>
  <si>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</si>
  <si>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</si>
  <si>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</si>
  <si>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</si>
  <si>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</si>
  <si>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</si>
  <si>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</si>
  <si>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</si>
  <si>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</si>
  <si>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</si>
  <si>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</si>
  <si>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</si>
  <si>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</si>
  <si>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</si>
  <si>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</si>
  <si>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</si>
  <si>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</si>
  <si>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</si>
  <si>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</si>
  <si>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</si>
  <si>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</si>
  <si>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</si>
  <si>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</si>
  <si>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</si>
  <si>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</si>
  <si>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</si>
  <si>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</si>
  <si>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</si>
  <si>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</si>
  <si>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</si>
  <si>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</si>
  <si>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</si>
  <si>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</si>
  <si>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</si>
  <si>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</si>
  <si>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</si>
  <si>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</si>
  <si>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</si>
  <si>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</si>
  <si>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</si>
  <si>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</si>
  <si>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</si>
  <si>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</si>
  <si>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</si>
  <si>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</si>
  <si>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</si>
  <si>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</si>
  <si>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</si>
  <si>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</si>
  <si>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</si>
  <si>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</si>
  <si>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</si>
  <si>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</si>
  <si>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</si>
  <si>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</si>
  <si>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</si>
  <si>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</si>
  <si>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</si>
  <si>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</si>
  <si>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</si>
  <si>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</si>
  <si>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</si>
  <si>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</si>
  <si>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</si>
  <si>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</si>
  <si>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</si>
  <si>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</si>
  <si>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</si>
  <si>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</si>
  <si>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</si>
  <si>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</si>
  <si>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</si>
  <si>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</si>
  <si>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</si>
  <si>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</si>
  <si>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</si>
  <si>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</si>
  <si>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</si>
  <si>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</si>
  <si>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</si>
  <si>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</si>
  <si>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</si>
  <si>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</si>
  <si>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</si>
  <si>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</si>
  <si>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</si>
  <si>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</si>
  <si>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</si>
  <si>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</si>
  <si>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</si>
  <si>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</si>
  <si>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</si>
  <si>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</si>
  <si>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</si>
  <si>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</si>
  <si>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</si>
  <si>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</si>
  <si>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</si>
  <si>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</si>
  <si>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</si>
  <si>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</si>
  <si>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</si>
  <si>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</si>
  <si>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</si>
  <si>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</si>
  <si>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</si>
  <si>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</si>
  <si>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</si>
  <si>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</si>
  <si>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</si>
  <si>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</si>
  <si>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</si>
  <si>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</si>
  <si>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</si>
  <si>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</si>
  <si>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</si>
  <si>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</si>
  <si>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</si>
  <si>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</si>
  <si>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</si>
  <si>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</si>
  <si>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</si>
  <si>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</si>
  <si>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</si>
  <si>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</si>
  <si>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</si>
  <si>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</si>
  <si>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</si>
  <si>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</si>
  <si>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</si>
  <si>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</si>
  <si>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</si>
  <si>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</si>
  <si>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</si>
  <si>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</si>
  <si>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</si>
  <si>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</si>
  <si>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</si>
  <si>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</si>
  <si>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</si>
  <si>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</si>
  <si>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</si>
  <si>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</si>
  <si>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</si>
  <si>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</si>
  <si>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</si>
  <si>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</si>
  <si>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</si>
  <si>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</si>
  <si>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</si>
  <si>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</si>
  <si>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</si>
  <si>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</si>
  <si>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</si>
  <si>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</si>
  <si>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</si>
  <si>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</si>
  <si>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</si>
  <si>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</si>
  <si>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</si>
  <si>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</si>
  <si>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</si>
  <si>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</si>
  <si>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</si>
  <si>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</si>
  <si>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</si>
  <si>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</si>
  <si>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</si>
  <si>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</si>
  <si>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</si>
  <si>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</si>
  <si>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</si>
  <si>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</si>
  <si>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</si>
  <si>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</si>
  <si>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</si>
  <si>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</si>
  <si>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</si>
  <si>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</si>
  <si>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</si>
  <si>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</si>
  <si>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</si>
  <si>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</si>
  <si>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</si>
  <si>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</si>
  <si>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</si>
  <si>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</si>
  <si>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</si>
  <si>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</si>
  <si>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</si>
  <si>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</si>
  <si>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</si>
  <si>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</si>
  <si>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</si>
  <si>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</si>
  <si>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</si>
  <si>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</si>
  <si>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</si>
  <si>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</si>
  <si>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</si>
  <si>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</si>
  <si>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</si>
  <si>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</si>
  <si>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</si>
  <si>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</si>
  <si>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</si>
  <si>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</si>
  <si>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</si>
  <si>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</si>
  <si>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</si>
  <si>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</si>
  <si>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</si>
  <si>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</si>
  <si>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</si>
  <si>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</si>
  <si>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</si>
  <si>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</si>
  <si>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</si>
  <si>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</si>
  <si>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</si>
  <si>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</si>
  <si>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</si>
  <si>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</si>
  <si>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</si>
  <si>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</si>
  <si>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</si>
  <si>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</si>
  <si>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</si>
  <si>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</si>
  <si>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</si>
  <si>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</si>
  <si>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</si>
  <si>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</si>
  <si>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</si>
  <si>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</si>
  <si>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</si>
  <si>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</si>
  <si>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</si>
  <si>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</si>
  <si>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</si>
  <si>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</si>
  <si>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</si>
  <si>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</si>
  <si>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</si>
  <si>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</si>
  <si>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</si>
  <si>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</si>
  <si>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</si>
  <si>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</si>
  <si>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</si>
  <si>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</si>
  <si>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</si>
  <si>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</si>
  <si>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</si>
  <si>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</si>
  <si>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</si>
  <si>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</si>
  <si>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</si>
  <si>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</si>
  <si>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</si>
  <si>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</si>
  <si>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</si>
  <si>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</si>
  <si>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</si>
  <si>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</si>
  <si>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</si>
  <si>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</si>
  <si>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</si>
  <si>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</si>
  <si>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</si>
  <si>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</si>
  <si>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</si>
  <si>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</si>
  <si>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</si>
  <si>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</si>
  <si>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</si>
  <si>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</si>
  <si>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</si>
  <si>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</si>
  <si>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</si>
  <si>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</si>
  <si>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</si>
  <si>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</si>
  <si>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</si>
  <si>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</si>
  <si>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</si>
  <si>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</si>
  <si>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</si>
  <si>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</si>
  <si>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</si>
  <si>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</si>
  <si>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</si>
  <si>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</si>
  <si>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</si>
  <si>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</si>
  <si>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</si>
  <si>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</si>
  <si>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</si>
  <si>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</si>
  <si>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</si>
  <si>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</si>
  <si>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</si>
  <si>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</si>
  <si>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</si>
  <si>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</si>
  <si>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</si>
  <si>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</si>
  <si>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</si>
  <si>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</si>
  <si>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</si>
  <si>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</si>
  <si>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</si>
  <si>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</si>
  <si>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</si>
  <si>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</si>
  <si>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</si>
  <si>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</si>
  <si>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</si>
  <si>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</si>
  <si>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</si>
  <si>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</si>
  <si>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</si>
  <si>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</si>
  <si>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</si>
  <si>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</si>
  <si>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</si>
  <si>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</si>
  <si>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</si>
  <si>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</si>
  <si>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</si>
  <si>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</si>
  <si>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</si>
  <si>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</si>
  <si>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</si>
  <si>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</si>
  <si>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</si>
  <si>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</si>
  <si>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</si>
  <si>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</si>
  <si>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</si>
  <si>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</si>
  <si>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</si>
  <si>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</si>
  <si>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</si>
  <si>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</si>
  <si>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</si>
  <si>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</si>
  <si>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</si>
  <si>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</si>
  <si>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</si>
  <si>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</si>
  <si>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</si>
  <si>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</si>
  <si>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</si>
  <si>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</si>
  <si>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</si>
  <si>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</si>
  <si>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</si>
  <si>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</si>
  <si>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</si>
  <si>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</si>
  <si>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</si>
  <si>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</si>
  <si>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</si>
  <si>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</si>
  <si>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</si>
  <si>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</si>
  <si>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</si>
  <si>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</si>
  <si>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</si>
  <si>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</si>
  <si>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</si>
  <si>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</si>
  <si>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</si>
  <si>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</si>
  <si>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</si>
  <si>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</si>
  <si>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</si>
  <si>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</si>
  <si>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</si>
  <si>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</si>
  <si>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</si>
  <si>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</si>
  <si>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</si>
  <si>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</si>
  <si>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</si>
  <si>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</si>
  <si>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</si>
  <si>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</si>
  <si>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</si>
  <si>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</si>
  <si>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</si>
  <si>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</si>
  <si>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</si>
  <si>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</si>
  <si>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</si>
  <si>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</si>
  <si>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</si>
  <si>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</si>
  <si>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</si>
  <si>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</si>
  <si>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</si>
  <si>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</si>
  <si>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</si>
  <si>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</si>
  <si>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</si>
  <si>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</si>
  <si>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</si>
  <si>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</si>
  <si>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</si>
  <si>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</si>
  <si>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</si>
  <si>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</si>
  <si>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</si>
  <si>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</si>
  <si>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</si>
  <si>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</si>
  <si>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</si>
  <si>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</si>
  <si>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</si>
  <si>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</si>
  <si>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</si>
  <si>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</si>
  <si>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</si>
  <si>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</si>
  <si>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</si>
  <si>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</si>
  <si>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</si>
  <si>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</si>
  <si>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</si>
  <si>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</si>
  <si>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</si>
  <si>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</si>
  <si>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</si>
  <si>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</si>
  <si>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</si>
  <si>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</si>
  <si>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</si>
  <si>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</si>
  <si>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</si>
  <si>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</si>
  <si>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</si>
  <si>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</si>
  <si>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</si>
  <si>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</si>
  <si>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</si>
  <si>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</si>
  <si>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</si>
  <si>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</si>
  <si>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</si>
  <si>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</si>
  <si>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</si>
  <si>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</si>
  <si>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</si>
  <si>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</si>
  <si>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</si>
  <si>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</si>
  <si>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</si>
  <si>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</si>
  <si>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</si>
  <si>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</si>
  <si>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</si>
  <si>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</si>
  <si>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</si>
  <si>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</si>
  <si>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</si>
  <si>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</si>
  <si>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</si>
  <si>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</si>
  <si>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</si>
  <si>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</si>
  <si>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</si>
  <si>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</si>
  <si>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</si>
  <si>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</si>
  <si>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</si>
  <si>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</si>
  <si>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</si>
  <si>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</si>
  <si>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</si>
  <si>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</si>
  <si>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</si>
  <si>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</si>
  <si>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</si>
  <si>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</si>
  <si>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</si>
  <si>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</si>
  <si>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</si>
  <si>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</si>
  <si>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</si>
  <si>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</si>
  <si>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</si>
  <si>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</si>
  <si>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</si>
  <si>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</si>
  <si>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</si>
  <si>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</si>
  <si>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</si>
  <si>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</si>
  <si>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</si>
  <si>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</si>
  <si>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</si>
  <si>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</si>
  <si>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</si>
  <si>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</si>
  <si>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</si>
  <si>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</si>
  <si>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</si>
  <si>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</si>
  <si>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</si>
  <si>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</si>
  <si>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</si>
  <si>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</si>
  <si>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</si>
  <si>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</si>
  <si>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</si>
  <si>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</si>
  <si>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</si>
  <si>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</si>
  <si>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</si>
  <si>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</si>
  <si>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</si>
  <si>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</si>
  <si>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</si>
  <si>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</si>
  <si>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</si>
  <si>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</si>
  <si>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</si>
  <si>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</si>
  <si>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</si>
  <si>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</si>
  <si>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</si>
  <si>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</si>
  <si>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</si>
  <si>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</si>
  <si>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</si>
  <si>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</si>
  <si>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</si>
  <si>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</si>
  <si>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</si>
  <si>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</si>
  <si>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</si>
  <si>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</si>
  <si>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</si>
  <si>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</si>
  <si>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</si>
  <si>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</si>
  <si>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</si>
  <si>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</si>
  <si>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</si>
  <si>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</si>
  <si>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</si>
  <si>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</si>
  <si>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</si>
  <si>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</si>
  <si>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</si>
  <si>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</si>
  <si>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</si>
  <si>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</si>
  <si>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</si>
  <si>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</si>
  <si>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</si>
  <si>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</si>
  <si>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</si>
  <si>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</si>
  <si>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</si>
  <si>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</si>
  <si>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</si>
  <si>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</si>
  <si>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</si>
  <si>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</si>
  <si>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</si>
  <si>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</si>
  <si>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</si>
  <si>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</si>
  <si>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</si>
  <si>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</si>
  <si>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</si>
  <si>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</si>
  <si>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</si>
  <si>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</si>
  <si>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</si>
  <si>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</si>
  <si>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</si>
  <si>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</si>
  <si>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</si>
  <si>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</si>
  <si>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</si>
  <si>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</si>
  <si>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</si>
  <si>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</si>
  <si>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</si>
  <si>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</si>
  <si>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</si>
  <si>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</si>
  <si>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</si>
  <si>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</si>
  <si>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</si>
  <si>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</si>
  <si>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</si>
  <si>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</si>
  <si>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</si>
  <si>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</si>
  <si>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</si>
  <si>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</si>
  <si>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</si>
  <si>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</si>
  <si>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</si>
  <si>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</si>
  <si>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</si>
  <si>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</si>
  <si>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</si>
  <si>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</si>
  <si>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</si>
  <si>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</si>
  <si>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</si>
  <si>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</si>
  <si>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</si>
  <si>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</si>
  <si>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</si>
  <si>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</si>
  <si>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</si>
  <si>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</si>
  <si>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</si>
  <si>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</si>
  <si>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</si>
  <si>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</si>
  <si>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</si>
  <si>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</si>
  <si>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</si>
  <si>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</si>
  <si>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</si>
  <si>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</si>
  <si>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</si>
  <si>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</si>
  <si>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</si>
  <si>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</si>
  <si>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</si>
  <si>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</si>
  <si>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</si>
  <si>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</si>
  <si>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</si>
  <si>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</si>
  <si>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</si>
  <si>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</si>
  <si>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</si>
  <si>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</si>
  <si>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</si>
  <si>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</si>
  <si>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</si>
  <si>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</si>
  <si>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</si>
  <si>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</si>
  <si>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</si>
  <si>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</si>
  <si>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</si>
  <si>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</si>
  <si>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</si>
  <si>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</si>
  <si>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</si>
  <si>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</si>
  <si>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</si>
  <si>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</si>
  <si>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</si>
  <si>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</si>
  <si>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</si>
  <si>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</si>
  <si>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</si>
  <si>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</si>
  <si>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</si>
  <si>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</si>
  <si>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</si>
  <si>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</si>
  <si>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</si>
  <si>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</si>
  <si>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</si>
  <si>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</si>
  <si>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</si>
  <si>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</si>
  <si>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</si>
  <si>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</si>
  <si>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</si>
  <si>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</si>
  <si>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</si>
  <si>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</si>
  <si>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</si>
  <si>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</si>
  <si>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</si>
  <si>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</si>
  <si>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</si>
  <si>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</si>
  <si>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</si>
  <si>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</si>
  <si>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</si>
  <si>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</si>
  <si>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</si>
  <si>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</si>
  <si>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</si>
  <si>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</si>
  <si>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</si>
  <si>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</si>
  <si>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</si>
  <si>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</si>
  <si>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</si>
  <si>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</si>
  <si>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</si>
  <si>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</si>
  <si>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</si>
  <si>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</si>
  <si>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</si>
  <si>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</si>
  <si>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</si>
  <si>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</si>
  <si>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</si>
  <si>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</si>
  <si>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</si>
  <si>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</si>
  <si>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</si>
  <si>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</si>
  <si>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</si>
  <si>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</si>
  <si>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</si>
  <si>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</si>
  <si>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</si>
  <si>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</si>
  <si>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</si>
  <si>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</si>
  <si>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</si>
  <si>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</si>
  <si>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</si>
  <si>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</si>
  <si>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</si>
  <si>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</si>
  <si>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</si>
  <si>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</si>
  <si>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</si>
  <si>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</si>
  <si>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</si>
  <si>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</si>
  <si>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</si>
  <si>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</si>
  <si>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</si>
  <si>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</si>
  <si>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</si>
  <si>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</si>
  <si>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</si>
  <si>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</si>
  <si>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</si>
  <si>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</si>
  <si>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</si>
  <si>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</si>
  <si>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</si>
  <si>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</si>
  <si>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</si>
  <si>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</si>
  <si>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</si>
  <si>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</si>
  <si>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</si>
  <si>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</si>
  <si>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</si>
  <si>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</si>
  <si>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</si>
  <si>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</si>
  <si>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</si>
  <si>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</si>
  <si>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</si>
  <si>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</si>
  <si>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</si>
  <si>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</si>
  <si>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</si>
  <si>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</si>
  <si>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</si>
  <si>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</si>
  <si>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</si>
  <si>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</si>
  <si>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</si>
  <si>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</si>
  <si>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</si>
  <si>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</si>
  <si>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</si>
  <si>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</si>
  <si>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</si>
  <si>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</si>
  <si>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</si>
  <si>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</si>
  <si>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</si>
  <si>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</si>
  <si>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</si>
  <si>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</si>
  <si>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</si>
  <si>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</si>
  <si>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</si>
  <si>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</si>
  <si>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</si>
  <si>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</si>
  <si>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</si>
  <si>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</si>
  <si>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</si>
  <si>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</si>
  <si>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</si>
  <si>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</si>
  <si>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</si>
  <si>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</si>
  <si>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</si>
  <si>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</si>
  <si>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</si>
  <si>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</si>
  <si>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</si>
  <si>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</si>
  <si>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</si>
  <si>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</si>
  <si>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</si>
  <si>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</si>
  <si>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</si>
  <si>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</si>
  <si>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</si>
  <si>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</si>
  <si>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</si>
  <si>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</si>
  <si>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</si>
  <si>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</si>
  <si>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</si>
  <si>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</si>
  <si>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</si>
  <si>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</si>
  <si>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</si>
  <si>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</si>
  <si>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</si>
  <si>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</si>
  <si>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</si>
  <si>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</si>
  <si>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</si>
  <si>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</si>
  <si>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</si>
  <si>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</si>
  <si>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</si>
  <si>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</si>
  <si>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</si>
  <si>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</si>
  <si>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</si>
  <si>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</si>
  <si>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</si>
  <si>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</si>
  <si>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</si>
  <si>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</si>
  <si>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</si>
  <si>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</si>
  <si>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</si>
  <si>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</si>
  <si>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</si>
  <si>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</si>
  <si>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</si>
  <si>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</si>
  <si>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</si>
  <si>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</si>
  <si>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</si>
  <si>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</si>
  <si>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</si>
  <si>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</si>
  <si>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</si>
  <si>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</si>
  <si>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</si>
  <si>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</si>
  <si>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</si>
  <si>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</si>
  <si>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</si>
  <si>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</si>
  <si>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</si>
  <si>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</si>
  <si>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</si>
  <si>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</si>
  <si>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</si>
  <si>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</si>
  <si>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</si>
  <si>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</si>
  <si>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</si>
  <si>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</si>
  <si>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</si>
  <si>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</si>
  <si>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</si>
  <si>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</si>
  <si>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</si>
  <si>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</si>
  <si>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</si>
  <si>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</si>
  <si>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</si>
  <si>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</si>
  <si>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</si>
  <si>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</si>
  <si>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</si>
  <si>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</si>
  <si>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</si>
  <si>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</si>
  <si>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</si>
  <si>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</si>
  <si>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</si>
  <si>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</si>
  <si>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</si>
  <si>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</si>
  <si>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</si>
  <si>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</si>
  <si>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</si>
  <si>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</si>
  <si>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</si>
  <si>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</si>
  <si>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</si>
  <si>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</si>
  <si>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</si>
  <si>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</si>
  <si>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</si>
  <si>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</si>
  <si>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</si>
  <si>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</si>
  <si>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</si>
  <si>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</si>
  <si>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</si>
  <si>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</si>
  <si>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</si>
  <si>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</si>
  <si>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</si>
  <si>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</si>
  <si>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</si>
  <si>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</si>
  <si>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</si>
  <si>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</si>
  <si>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</si>
  <si>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</si>
  <si>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</si>
  <si>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</si>
  <si>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</si>
  <si>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</si>
  <si>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</si>
  <si>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</si>
  <si>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</si>
  <si>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</si>
  <si>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</si>
  <si>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</si>
  <si>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</si>
  <si>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</si>
  <si>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</si>
  <si>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</si>
  <si>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</si>
  <si>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</si>
  <si>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</si>
  <si>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</si>
  <si>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</si>
  <si>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</si>
  <si>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</si>
  <si>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</si>
  <si>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</si>
  <si>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</si>
  <si>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</si>
  <si>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</si>
  <si>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</si>
  <si>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</si>
  <si>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</si>
  <si>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</si>
  <si>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</si>
  <si>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</si>
  <si>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</si>
  <si>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</si>
  <si>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</si>
  <si>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</si>
  <si>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</si>
  <si>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</si>
  <si>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</si>
  <si>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</si>
  <si>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</si>
  <si>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</si>
  <si>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</si>
  <si>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</si>
  <si>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</si>
  <si>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</si>
  <si>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</si>
  <si>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</si>
  <si>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</si>
  <si>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</si>
  <si>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</si>
  <si>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</si>
  <si>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</si>
  <si>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</si>
  <si>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</si>
  <si>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</si>
  <si>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</si>
  <si>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</si>
  <si>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</si>
  <si>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</si>
  <si>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</si>
  <si>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</si>
  <si>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</si>
  <si>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</si>
  <si>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</si>
  <si>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</si>
  <si>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</si>
  <si>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</si>
  <si>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</si>
  <si>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</si>
  <si>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</si>
  <si>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</si>
  <si>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</si>
  <si>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</si>
  <si>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</si>
  <si>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</si>
  <si>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</si>
  <si>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</si>
  <si>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</si>
  <si>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</si>
  <si>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</si>
  <si>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</si>
  <si>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</si>
  <si>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</si>
  <si>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</si>
  <si>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</si>
  <si>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</si>
  <si>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</si>
  <si>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</si>
  <si>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</si>
  <si>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</si>
  <si>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</si>
  <si>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</si>
  <si>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</si>
  <si>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</si>
  <si>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</si>
  <si>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</si>
  <si>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</si>
  <si>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</si>
  <si>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</si>
  <si>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</si>
  <si>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</si>
  <si>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</si>
  <si>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</si>
  <si>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</si>
  <si>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</si>
  <si>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</si>
  <si>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</si>
  <si>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</si>
  <si>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</si>
  <si>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</si>
  <si>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</si>
  <si>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</si>
  <si>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</si>
  <si>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</si>
  <si>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</si>
  <si>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</si>
  <si>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</si>
  <si>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</si>
  <si>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</si>
  <si>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</si>
  <si>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</si>
  <si>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</si>
  <si>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</si>
  <si>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</si>
  <si>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</si>
  <si>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</si>
  <si>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</si>
  <si>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</si>
  <si>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</si>
  <si>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</si>
  <si>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</si>
  <si>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</si>
  <si>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</si>
  <si>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</si>
  <si>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</si>
  <si>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</si>
  <si>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</si>
  <si>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</si>
  <si>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</si>
  <si>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</si>
  <si>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</si>
  <si>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</si>
  <si>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</si>
  <si>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</si>
  <si>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</si>
  <si>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</si>
  <si>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</si>
  <si>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</si>
  <si>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</si>
  <si>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</si>
  <si>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</si>
  <si>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</si>
  <si>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</si>
  <si>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</si>
  <si>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</si>
  <si>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</si>
  <si>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</si>
  <si>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</si>
  <si>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</si>
  <si>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</si>
  <si>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</si>
  <si>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</si>
  <si>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</si>
  <si>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</si>
  <si>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</si>
  <si>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</si>
  <si>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</si>
  <si>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</si>
  <si>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</si>
  <si>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</si>
  <si>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</si>
  <si>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</si>
  <si>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</si>
  <si>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</si>
  <si>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</si>
  <si>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</si>
  <si>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</si>
  <si>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</si>
  <si>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</si>
  <si>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</si>
  <si>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</si>
  <si>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</si>
  <si>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</si>
  <si>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</si>
  <si>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</si>
  <si>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</si>
  <si>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</si>
  <si>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</si>
  <si>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</si>
  <si>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</si>
  <si>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</si>
  <si>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</si>
  <si>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</si>
  <si>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</si>
  <si>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</si>
  <si>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</si>
  <si>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</si>
  <si>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</si>
  <si>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</si>
  <si>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</si>
  <si>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</si>
  <si>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</si>
  <si>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</si>
  <si>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</si>
  <si>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</si>
  <si>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</si>
  <si>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</si>
  <si>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</si>
  <si>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</si>
  <si>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</si>
  <si>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</si>
  <si>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</si>
  <si>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</si>
  <si>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</si>
  <si>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</si>
  <si>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</si>
  <si>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</si>
  <si>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</si>
  <si>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</si>
  <si>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</si>
  <si>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</si>
  <si>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</si>
  <si>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</si>
  <si>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</si>
  <si>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</si>
  <si>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</si>
  <si>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</si>
  <si>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</si>
  <si>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</si>
  <si>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</si>
  <si>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</si>
  <si>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</si>
  <si>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</si>
  <si>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</si>
  <si>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</si>
  <si>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</si>
  <si>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</si>
  <si>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</si>
  <si>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</si>
  <si>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</si>
  <si>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</si>
  <si>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</si>
  <si>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</si>
  <si>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</si>
  <si>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</si>
  <si>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</si>
  <si>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</si>
  <si>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</si>
  <si>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</si>
  <si>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</si>
  <si>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</si>
  <si>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</si>
  <si>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</si>
  <si>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</si>
  <si>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</si>
  <si>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</si>
  <si>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</si>
  <si>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</si>
  <si>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</si>
  <si>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</si>
  <si>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</si>
  <si>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</si>
  <si>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</si>
  <si>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</si>
  <si>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</si>
  <si>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</si>
  <si>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</si>
  <si>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</si>
  <si>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</si>
  <si>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</si>
  <si>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</si>
  <si>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</si>
  <si>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</si>
  <si>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</si>
  <si>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</si>
  <si>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</si>
  <si>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</si>
  <si>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</si>
  <si>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</si>
  <si>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</si>
  <si>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</si>
  <si>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</si>
  <si>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</si>
  <si>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</si>
  <si>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</si>
  <si>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</si>
  <si>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</si>
  <si>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</si>
  <si>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</si>
  <si>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</si>
  <si>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</si>
  <si>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</si>
  <si>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</si>
  <si>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</si>
  <si>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</si>
  <si>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</si>
  <si>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</si>
  <si>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</si>
  <si>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</si>
  <si>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</si>
  <si>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</si>
  <si>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</si>
  <si>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</si>
  <si>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</si>
  <si>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</si>
  <si>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</si>
  <si>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</si>
  <si>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</si>
  <si>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</si>
  <si>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</si>
  <si>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</si>
  <si>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</si>
  <si>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</si>
  <si>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</si>
  <si>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</si>
  <si>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</si>
  <si>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</si>
  <si>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</si>
  <si>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</si>
  <si>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</si>
  <si>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</si>
  <si>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</si>
  <si>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</si>
  <si>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</si>
  <si>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</si>
  <si>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</si>
  <si>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</si>
  <si>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</si>
  <si>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</si>
  <si>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</si>
  <si>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</si>
  <si>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</si>
  <si>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</si>
  <si>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</si>
  <si>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</si>
  <si>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</si>
  <si>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</si>
  <si>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</si>
  <si>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</si>
  <si>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</si>
  <si>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</si>
  <si>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</si>
  <si>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</si>
  <si>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</si>
  <si>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</si>
  <si>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</si>
  <si>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</si>
  <si>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</si>
  <si>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</si>
  <si>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</si>
  <si>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</si>
  <si>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</si>
  <si>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</si>
  <si>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</si>
  <si>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</si>
  <si>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</si>
  <si>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</si>
  <si>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</si>
  <si>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</si>
  <si>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</si>
  <si>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</si>
  <si>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</si>
  <si>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</si>
  <si>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</si>
  <si>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</si>
  <si>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</si>
  <si>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</si>
  <si>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</si>
  <si>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</si>
  <si>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</si>
  <si>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</si>
  <si>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</si>
  <si>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</si>
  <si>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</si>
  <si>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</si>
  <si>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</si>
  <si>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</si>
  <si>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</si>
  <si>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</si>
  <si>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</si>
  <si>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</si>
  <si>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</si>
  <si>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</si>
  <si>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</si>
  <si>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</si>
  <si>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</si>
  <si>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</si>
  <si>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</si>
  <si>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</si>
  <si>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</si>
  <si>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</si>
  <si>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</si>
  <si>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</si>
  <si>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</si>
  <si>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</si>
  <si>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</si>
  <si>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</si>
  <si>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</si>
  <si>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</si>
  <si>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</si>
  <si>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</si>
  <si>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</si>
  <si>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</si>
  <si>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</si>
  <si>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</si>
  <si>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</si>
  <si>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</si>
  <si>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</si>
  <si>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</si>
  <si>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</si>
  <si>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</si>
  <si>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</si>
  <si>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</si>
  <si>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</si>
  <si>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</si>
  <si>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</si>
  <si>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</si>
  <si>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</si>
  <si>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</si>
  <si>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</si>
  <si>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</si>
  <si>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</si>
  <si>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</si>
  <si>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</si>
  <si>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</si>
  <si>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</si>
  <si>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</si>
  <si>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</si>
  <si>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</si>
  <si>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</si>
  <si>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</si>
  <si>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</si>
  <si>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</si>
  <si>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</si>
  <si>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</si>
  <si>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</si>
  <si>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</si>
  <si>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</si>
  <si>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</si>
  <si>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</si>
  <si>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</si>
  <si>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</si>
  <si>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</si>
  <si>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</si>
  <si>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</si>
  <si>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</si>
  <si>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</si>
  <si>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</si>
  <si>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</si>
  <si>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</si>
  <si>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</si>
  <si>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</si>
  <si>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</si>
  <si>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</si>
  <si>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</si>
  <si>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</si>
  <si>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</si>
  <si>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</si>
  <si>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</si>
  <si>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</si>
  <si>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</si>
  <si>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</si>
  <si>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</si>
  <si>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</si>
  <si>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</si>
  <si>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</si>
  <si>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</si>
  <si>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</si>
  <si>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</si>
  <si>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</si>
  <si>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</si>
  <si>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</si>
  <si>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</si>
  <si>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</si>
  <si>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</si>
  <si>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</si>
  <si>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</si>
  <si>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</si>
  <si>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</si>
  <si>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</si>
  <si>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</si>
  <si>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</si>
  <si>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</si>
  <si>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</si>
  <si>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</si>
  <si>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</si>
  <si>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</si>
  <si>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</si>
  <si>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</si>
  <si>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</si>
  <si>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</si>
  <si>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</si>
  <si>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</si>
  <si>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</si>
  <si>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</si>
  <si>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</si>
  <si>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</si>
  <si>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</si>
  <si>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</si>
  <si>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</si>
  <si>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</si>
  <si>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</si>
  <si>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</si>
  <si>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</si>
  <si>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</si>
  <si>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</si>
  <si>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</si>
  <si>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</si>
  <si>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</si>
  <si>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</si>
  <si>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</si>
  <si>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</si>
  <si>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</si>
  <si>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</si>
  <si>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</si>
  <si>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</si>
  <si>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</si>
  <si>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</si>
  <si>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</si>
  <si>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</si>
  <si>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</si>
  <si>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</si>
  <si>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</si>
  <si>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</si>
  <si>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</si>
  <si>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</si>
  <si>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</si>
  <si>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</si>
  <si>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</si>
  <si>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</si>
  <si>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</si>
  <si>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</si>
  <si>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</si>
  <si>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</si>
  <si>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</si>
  <si>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</si>
  <si>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</si>
  <si>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</si>
  <si>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</si>
  <si>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</si>
  <si>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</si>
  <si>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</si>
  <si>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</si>
  <si>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</si>
  <si>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</si>
  <si>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</si>
  <si>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</si>
  <si>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</si>
  <si>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</si>
  <si>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</si>
  <si>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</si>
  <si>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</si>
  <si>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</si>
  <si>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</si>
  <si>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</si>
  <si>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</si>
  <si>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</si>
  <si>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</si>
  <si>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</si>
  <si>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</si>
  <si>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</si>
  <si>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</si>
  <si>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</si>
  <si>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</si>
  <si>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</si>
  <si>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</si>
  <si>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</si>
  <si>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</si>
  <si>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</si>
  <si>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</si>
  <si>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</si>
  <si>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</si>
  <si>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</si>
  <si>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</si>
  <si>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</si>
  <si>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</si>
  <si>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</si>
  <si>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</si>
  <si>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</si>
  <si>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</si>
  <si>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</si>
  <si>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</si>
  <si>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</si>
  <si>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</si>
  <si>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</si>
  <si>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</si>
  <si>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</si>
  <si>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</si>
  <si>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</si>
  <si>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</si>
  <si>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</si>
  <si>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</si>
  <si>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</si>
  <si>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</si>
  <si>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</si>
  <si>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</si>
  <si>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</si>
  <si>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</si>
  <si>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</si>
  <si>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</si>
  <si>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</si>
  <si>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</si>
  <si>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</si>
  <si>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</si>
  <si>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</si>
  <si>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</si>
  <si>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</si>
  <si>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</si>
  <si>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</si>
  <si>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</si>
  <si>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</si>
  <si>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</si>
  <si>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</si>
  <si>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</si>
  <si>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</si>
  <si>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穿甲法球[*]</t>
  </si>
  <si>
    <t>Enable?</t>
  </si>
  <si>
    <t>N</t>
  </si>
  <si>
    <t>Shock Ammunition</t>
  </si>
  <si>
    <t>Explosive</t>
  </si>
  <si>
    <t>Rapid Fire Enhancement</t>
  </si>
  <si>
    <t>precision</t>
  </si>
  <si>
    <t>Rifle Enhancement</t>
  </si>
  <si>
    <t>Unbridled Fury</t>
  </si>
  <si>
    <t>Surge Shield</t>
  </si>
  <si>
    <t>Firepower Enhancement+</t>
  </si>
  <si>
    <t>Shield Enhancement</t>
  </si>
  <si>
    <t>Shield Enhancement+</t>
  </si>
  <si>
    <t>Movement Speed Enhancement</t>
  </si>
  <si>
    <t>Evasion Reduction+</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</si>
  <si>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</si>
  <si>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</si>
  <si>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</si>
  <si>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</si>
  <si>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</si>
  <si>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</si>
  <si>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</si>
  <si>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</si>
  <si>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</si>
  <si>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</si>
  <si>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</si>
  <si>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</si>
  <si>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</si>
  <si>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</si>
  <si>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</si>
  <si>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</si>
  <si>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</si>
  <si>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</si>
  <si>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</si>
  <si>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</si>
  <si>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</si>
  <si>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</si>
  <si>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</si>
  <si>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</si>
  <si>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</si>
  <si>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</si>
  <si>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</si>
  <si>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</si>
  <si>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</si>
  <si>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</si>
  <si>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</si>
  <si>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</si>
  <si>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</si>
  <si>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</si>
  <si>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</si>
  <si>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</si>
  <si>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</si>
  <si>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</si>
  <si>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</si>
  <si>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</si>
  <si>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</si>
  <si>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</si>
  <si>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</si>
  <si>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</si>
  <si>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</si>
  <si>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</si>
  <si>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</si>
  <si>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</si>
  <si>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</si>
  <si>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</si>
  <si>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</si>
  <si>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</si>
  <si>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</si>
  <si>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</si>
  <si>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</si>
  <si>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</si>
  <si>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</si>
  <si>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</si>
  <si>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</si>
  <si>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</si>
  <si>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</si>
  <si>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</si>
  <si>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</si>
  <si>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</si>
  <si>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</si>
  <si>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</si>
  <si>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</si>
  <si>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</si>
  <si>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</si>
  <si>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</si>
  <si>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</si>
  <si>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</si>
  <si>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</si>
  <si>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</si>
  <si>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</si>
  <si>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</si>
  <si>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</si>
  <si>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</si>
  <si>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</si>
  <si>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</si>
  <si>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</si>
  <si>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</si>
  <si>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</si>
  <si>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</si>
  <si>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</si>
  <si>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</si>
  <si>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</si>
  <si>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</si>
  <si>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</si>
  <si>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</si>
  <si>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</si>
  <si>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</si>
  <si>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</si>
  <si>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</si>
  <si>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</si>
  <si>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</si>
  <si>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</si>
  <si>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</si>
  <si>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</si>
  <si>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</si>
  <si>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</si>
  <si>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</si>
  <si>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</si>
  <si>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</si>
  <si>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</si>
  <si>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</si>
  <si>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</si>
  <si>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</si>
  <si>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</si>
  <si>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</si>
  <si>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</si>
  <si>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</si>
  <si>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</si>
  <si>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</si>
  <si>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</si>
  <si>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</si>
  <si>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</si>
  <si>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</si>
  <si>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</si>
  <si>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</si>
  <si>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</si>
  <si>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</si>
  <si>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</si>
  <si>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</si>
  <si>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</si>
  <si>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</si>
  <si>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</si>
  <si>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</si>
  <si>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</si>
  <si>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</si>
  <si>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</si>
  <si>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</si>
  <si>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</si>
  <si>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</si>
  <si>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</si>
  <si>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</si>
  <si>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</si>
  <si>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</si>
  <si>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</si>
  <si>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</si>
  <si>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</si>
  <si>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</si>
  <si>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</si>
  <si>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</si>
  <si>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</si>
  <si>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</si>
  <si>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</si>
  <si>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</si>
  <si>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</si>
  <si>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</si>
  <si>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</si>
  <si>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</si>
  <si>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</si>
  <si>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</si>
  <si>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</si>
  <si>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</si>
  <si>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</si>
  <si>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</si>
  <si>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</si>
  <si>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</si>
  <si>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</si>
  <si>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</si>
  <si>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</si>
  <si>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</si>
  <si>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</si>
  <si>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</si>
  <si>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</si>
  <si>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</si>
  <si>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</si>
  <si>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</si>
  <si>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</si>
  <si>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</si>
  <si>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</si>
  <si>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</si>
  <si>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</si>
  <si>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</si>
  <si>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</si>
  <si>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</si>
  <si>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</si>
  <si>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</si>
  <si>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</si>
  <si>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</si>
  <si>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</si>
  <si>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</si>
  <si>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</si>
  <si>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</si>
  <si>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</si>
  <si>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</si>
  <si>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</si>
  <si>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</si>
  <si>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</si>
  <si>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</si>
  <si>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</si>
  <si>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</si>
  <si>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</si>
  <si>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</si>
  <si>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</si>
  <si>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</si>
  <si>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</si>
  <si>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</si>
  <si>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</si>
  <si>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</si>
  <si>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</si>
  <si>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</si>
  <si>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</si>
  <si>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</si>
  <si>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</si>
  <si>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</si>
  <si>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</si>
  <si>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</si>
  <si>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</si>
  <si>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</si>
  <si>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</si>
  <si>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</si>
  <si>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</si>
  <si>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</si>
  <si>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</si>
  <si>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</si>
  <si>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</si>
  <si>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</si>
  <si>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</si>
  <si>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</si>
  <si>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</si>
  <si>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</si>
  <si>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</si>
  <si>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</si>
  <si>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</si>
  <si>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</si>
  <si>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</si>
  <si>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</si>
  <si>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</si>
  <si>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</si>
  <si>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</si>
  <si>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</si>
  <si>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</si>
  <si>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</si>
  <si>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</si>
  <si>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</si>
  <si>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</si>
  <si>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</si>
  <si>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</si>
  <si>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</si>
  <si>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</si>
  <si>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</si>
  <si>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</si>
  <si>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</si>
  <si>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</si>
  <si>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</si>
  <si>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</si>
  <si>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</si>
  <si>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</si>
  <si>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</si>
  <si>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</si>
  <si>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</si>
  <si>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</si>
  <si>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</si>
  <si>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</si>
  <si>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</si>
  <si>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</si>
  <si>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</si>
  <si>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</si>
  <si>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</si>
  <si>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</si>
  <si>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</si>
  <si>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</si>
  <si>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</si>
  <si>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</si>
  <si>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</si>
  <si>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</si>
  <si>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</si>
  <si>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</si>
  <si>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</si>
  <si>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</si>
  <si>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</si>
  <si>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</si>
  <si>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</si>
  <si>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</si>
  <si>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</si>
  <si>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</si>
  <si>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</si>
  <si>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</si>
  <si>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</si>
  <si>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</si>
  <si>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</si>
  <si>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</si>
  <si>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</si>
  <si>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</si>
  <si>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</si>
  <si>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</si>
  <si>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</si>
  <si>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</si>
  <si>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</si>
  <si>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</si>
  <si>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</si>
  <si>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</si>
  <si>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</si>
  <si>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</si>
  <si>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</si>
  <si>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</si>
  <si>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</si>
  <si>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</si>
  <si>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</si>
  <si>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</si>
  <si>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</si>
  <si>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</si>
  <si>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</si>
  <si>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</si>
  <si>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</si>
  <si>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</si>
  <si>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</si>
  <si>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</si>
  <si>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</si>
  <si>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</si>
  <si>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</si>
  <si>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</si>
  <si>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</si>
  <si>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</si>
  <si>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</si>
  <si>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</si>
  <si>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</si>
  <si>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</si>
  <si>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</si>
  <si>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</si>
  <si>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</si>
  <si>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</si>
  <si>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</si>
  <si>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</si>
  <si>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</si>
  <si>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</si>
  <si>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</si>
  <si>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</si>
  <si>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</si>
  <si>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</si>
  <si>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</si>
  <si>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</si>
  <si>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</si>
  <si>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</si>
  <si>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</si>
  <si>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</si>
  <si>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</si>
  <si>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</si>
  <si>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</si>
  <si>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</si>
  <si>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</si>
  <si>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</si>
  <si>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</si>
  <si>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</si>
  <si>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</si>
  <si>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</si>
  <si>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</si>
  <si>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</si>
  <si>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</si>
  <si>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</si>
  <si>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</si>
  <si>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</si>
  <si>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</si>
  <si>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</si>
  <si>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</si>
  <si>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</si>
  <si>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</si>
  <si>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</si>
  <si>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</si>
  <si>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</si>
  <si>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</si>
  <si>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</si>
  <si>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</si>
  <si>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</si>
  <si>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</si>
  <si>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</si>
  <si>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</si>
  <si>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</si>
  <si>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</si>
  <si>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</si>
  <si>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</si>
  <si>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</si>
  <si>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</si>
  <si>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</si>
  <si>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</si>
  <si>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</si>
  <si>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</si>
  <si>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</si>
  <si>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</si>
  <si>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</si>
  <si>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</si>
  <si>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</si>
  <si>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</si>
  <si>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</si>
  <si>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</si>
  <si>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</si>
  <si>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</si>
  <si>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</si>
  <si>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</si>
  <si>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</si>
  <si>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</si>
  <si>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</si>
  <si>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</si>
  <si>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</si>
  <si>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</si>
  <si>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</si>
  <si>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</si>
  <si>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</si>
  <si>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</si>
  <si>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</si>
  <si>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</si>
  <si>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</si>
  <si>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</si>
  <si>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</si>
  <si>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</si>
  <si>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</si>
  <si>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</si>
  <si>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</si>
  <si>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</si>
  <si>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</si>
  <si>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</si>
  <si>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</si>
  <si>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</si>
  <si>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</si>
  <si>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</si>
  <si>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</si>
  <si>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</si>
  <si>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</si>
  <si>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</si>
  <si>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</si>
  <si>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</si>
  <si>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</si>
  <si>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</si>
  <si>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</si>
  <si>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</si>
  <si>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</si>
  <si>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</si>
  <si>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</si>
  <si>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</si>
  <si>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</si>
  <si>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</si>
  <si>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</si>
  <si>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</si>
  <si>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</si>
  <si>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</si>
  <si>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</si>
  <si>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</si>
  <si>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</si>
  <si>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</si>
  <si>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</si>
  <si>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</si>
  <si>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</si>
  <si>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</si>
  <si>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</si>
  <si>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</si>
  <si>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</si>
  <si>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</si>
  <si>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</si>
  <si>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</si>
  <si>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</si>
  <si>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</si>
  <si>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</si>
  <si>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</si>
  <si>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</si>
  <si>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</si>
  <si>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</si>
  <si>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</si>
  <si>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</si>
  <si>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</si>
  <si>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</si>
  <si>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</si>
  <si>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</si>
  <si>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</si>
  <si>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</si>
  <si>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</si>
  <si>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</si>
  <si>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</si>
  <si>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</si>
  <si>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</si>
  <si>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</si>
  <si>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</si>
  <si>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</si>
  <si>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</si>
  <si>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</si>
  <si>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</si>
  <si>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</si>
  <si>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</si>
  <si>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</si>
  <si>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</si>
  <si>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</si>
  <si>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</si>
  <si>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</si>
  <si>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</si>
  <si>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</si>
  <si>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</si>
  <si>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</si>
  <si>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</si>
  <si>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</si>
  <si>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</si>
  <si>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</si>
  <si>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</si>
  <si>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</si>
  <si>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</si>
  <si>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</si>
  <si>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</si>
  <si>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</si>
  <si>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</si>
  <si>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</si>
  <si>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</si>
  <si>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</si>
  <si>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</si>
  <si>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</si>
  <si>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</si>
  <si>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</si>
  <si>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</si>
  <si>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</si>
  <si>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</si>
  <si>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</si>
  <si>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</si>
  <si>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</si>
  <si>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</si>
  <si>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</si>
  <si>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</si>
  <si>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</si>
  <si>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</si>
  <si>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</si>
  <si>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</si>
  <si>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</si>
  <si>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</si>
  <si>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</si>
  <si>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</si>
  <si>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</si>
  <si>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</si>
  <si>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</si>
  <si>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</si>
  <si>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</si>
  <si>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</si>
  <si>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</si>
  <si>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</si>
  <si>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</si>
  <si>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</si>
  <si>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</si>
  <si>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</si>
  <si>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</si>
  <si>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</si>
  <si>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</si>
  <si>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</si>
  <si>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</si>
  <si>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</si>
  <si>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</si>
  <si>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</si>
  <si>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</si>
  <si>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</si>
  <si>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</si>
  <si>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</si>
  <si>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</si>
  <si>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</si>
  <si>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</si>
  <si>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</si>
  <si>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</si>
  <si>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</si>
  <si>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</si>
  <si>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</si>
  <si>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</si>
  <si>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</si>
  <si>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</si>
  <si>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</si>
  <si>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</si>
  <si>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</si>
  <si>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</si>
  <si>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</si>
  <si>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</si>
  <si>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</si>
  <si>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</si>
  <si>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</si>
  <si>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</si>
  <si>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</si>
  <si>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</si>
  <si>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</si>
  <si>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</si>
  <si>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</si>
  <si>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</si>
  <si>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</si>
  <si>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</si>
  <si>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</si>
  <si>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</si>
  <si>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</si>
  <si>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</si>
  <si>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</si>
  <si>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</si>
  <si>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</si>
  <si>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</si>
  <si>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</si>
  <si>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</si>
  <si>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</si>
  <si>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</si>
  <si>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</si>
  <si>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</si>
  <si>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</si>
  <si>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</si>
  <si>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</si>
  <si>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</si>
  <si>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</si>
  <si>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</si>
  <si>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</si>
  <si>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</si>
  <si>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</si>
  <si>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</si>
  <si>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</si>
  <si>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</si>
  <si>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</si>
  <si>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</si>
  <si>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</si>
  <si>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</si>
  <si>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</si>
  <si>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</si>
  <si>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</si>
  <si>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</si>
  <si>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</si>
  <si>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</si>
  <si>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</si>
  <si>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</si>
  <si>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</si>
  <si>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</si>
  <si>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</si>
  <si>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</si>
  <si>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</si>
  <si>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</si>
  <si>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</si>
  <si>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</si>
  <si>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</si>
  <si>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</si>
  <si>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</si>
  <si>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</si>
  <si>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</si>
  <si>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</si>
  <si>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</si>
  <si>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</si>
  <si>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</si>
  <si>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</si>
  <si>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</si>
  <si>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</si>
  <si>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</si>
  <si>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</si>
  <si>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</si>
  <si>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</si>
  <si>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</si>
  <si>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</si>
  <si>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</si>
  <si>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</si>
  <si>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</si>
  <si>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</si>
  <si>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</si>
  <si>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</si>
  <si>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</si>
  <si>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</si>
  <si>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</si>
  <si>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</si>
  <si>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</si>
  <si>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</si>
  <si>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</si>
  <si>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</si>
  <si>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</si>
  <si>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</si>
  <si>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</si>
  <si>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</si>
  <si>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</si>
  <si>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</si>
  <si>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</si>
  <si>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</si>
  <si>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</si>
  <si>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</si>
  <si>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</si>
  <si>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</si>
  <si>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</si>
  <si>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</si>
  <si>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</si>
  <si>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</si>
  <si>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</si>
  <si>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</si>
  <si>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</si>
  <si>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</si>
  <si>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</si>
  <si>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</si>
  <si>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</si>
  <si>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</si>
  <si>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</si>
  <si>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</si>
  <si>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</si>
  <si>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</si>
  <si>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</si>
  <si>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</si>
  <si>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</si>
  <si>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</si>
  <si>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</si>
  <si>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</si>
  <si>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</si>
  <si>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</si>
  <si>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</si>
  <si>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</si>
  <si>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</si>
  <si>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</si>
  <si>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</si>
  <si>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</si>
  <si>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</si>
  <si>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</si>
  <si>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</si>
  <si>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</si>
  <si>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</si>
  <si>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</si>
  <si>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</si>
  <si>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</si>
  <si>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</si>
  <si>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</si>
  <si>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</si>
  <si>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</si>
  <si>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</si>
  <si>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</si>
  <si>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</si>
  <si>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</si>
  <si>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</si>
  <si>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</si>
  <si>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</si>
  <si>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</si>
  <si>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</si>
  <si>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</si>
  <si>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</si>
  <si>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</si>
  <si>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</si>
  <si>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</si>
  <si>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</si>
  <si>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</si>
  <si>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</si>
  <si>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</si>
  <si>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</si>
  <si>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</si>
  <si>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</si>
  <si>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</si>
  <si>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</si>
  <si>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</si>
  <si>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</si>
  <si>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</si>
  <si>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</si>
  <si>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</si>
  <si>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</si>
  <si>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</si>
  <si>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</si>
  <si>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</si>
  <si>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</si>
  <si>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</si>
  <si>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</si>
  <si>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</si>
  <si>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</si>
  <si>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</si>
  <si>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</si>
  <si>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</si>
  <si>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</si>
  <si>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</si>
  <si>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</si>
  <si>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</si>
  <si>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</si>
  <si>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</si>
  <si>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</si>
  <si>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</si>
  <si>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</si>
  <si>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</si>
  <si>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</si>
  <si>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</si>
  <si>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</si>
  <si>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</si>
  <si>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</si>
  <si>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</si>
  <si>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</si>
  <si>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</si>
  <si>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</si>
  <si>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</si>
  <si>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</si>
  <si>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</si>
  <si>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</si>
  <si>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</si>
  <si>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</si>
  <si>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</si>
  <si>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</si>
  <si>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</si>
  <si>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</si>
  <si>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</si>
  <si>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</si>
  <si>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</si>
  <si>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</si>
  <si>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</si>
  <si>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</si>
  <si>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</si>
  <si>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</si>
  <si>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</si>
  <si>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</si>
  <si>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</si>
  <si>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</si>
  <si>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</si>
  <si>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</si>
  <si>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</si>
  <si>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</si>
  <si>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</si>
  <si>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</si>
  <si>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</si>
  <si>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</si>
  <si>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</si>
  <si>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</si>
  <si>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</si>
  <si>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</si>
  <si>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</si>
  <si>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</si>
  <si>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</si>
  <si>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</si>
  <si>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</si>
  <si>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</si>
  <si>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</si>
  <si>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</si>
  <si>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</si>
  <si>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</si>
  <si>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</si>
  <si>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</si>
  <si>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</si>
  <si>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</si>
  <si>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</si>
  <si>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</si>
  <si>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</si>
  <si>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</si>
  <si>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</si>
  <si>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</si>
  <si>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</si>
  <si>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</si>
  <si>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</si>
  <si>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</si>
  <si>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</si>
  <si>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</si>
  <si>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</si>
  <si>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</si>
  <si>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</si>
  <si>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</si>
  <si>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</si>
  <si>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</si>
  <si>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</si>
  <si>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</si>
  <si>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</si>
  <si>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</si>
  <si>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</si>
  <si>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</si>
  <si>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</si>
  <si>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</si>
  <si>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</si>
  <si>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</si>
  <si>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</si>
  <si>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</si>
  <si>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</si>
  <si>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</si>
  <si>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</si>
  <si>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</si>
  <si>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</si>
  <si>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</si>
  <si>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</si>
  <si>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</si>
  <si>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</si>
  <si>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</si>
  <si>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</si>
  <si>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</si>
  <si>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</si>
  <si>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</si>
  <si>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</si>
  <si>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</si>
  <si>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</si>
  <si>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</si>
  <si>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</si>
  <si>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</si>
  <si>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</si>
  <si>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</si>
  <si>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</si>
  <si>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</si>
  <si>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</si>
  <si>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</si>
  <si>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</si>
  <si>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</si>
  <si>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</si>
  <si>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</si>
  <si>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</si>
  <si>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</si>
  <si>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</si>
  <si>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</si>
  <si>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</si>
  <si>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</si>
  <si>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</si>
  <si>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</si>
  <si>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</si>
  <si>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</si>
  <si>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</si>
  <si>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</si>
  <si>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</si>
  <si>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</si>
  <si>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</si>
  <si>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</si>
  <si>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</si>
  <si>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</si>
  <si>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</si>
  <si>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</si>
  <si>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</si>
  <si>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</si>
  <si>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</si>
  <si>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</si>
  <si>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</si>
  <si>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</si>
  <si>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</si>
  <si>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</si>
  <si>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</si>
  <si>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</si>
  <si>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</si>
  <si>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</si>
  <si>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</si>
  <si>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</si>
  <si>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</si>
  <si>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</si>
  <si>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</si>
  <si>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</si>
  <si>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</si>
  <si>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</si>
  <si>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</si>
  <si>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</si>
  <si>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</si>
  <si>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</si>
  <si>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</si>
  <si>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</si>
  <si>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</si>
  <si>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</si>
  <si>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</si>
  <si>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</si>
  <si>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</si>
  <si>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</si>
  <si>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</si>
  <si>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</si>
  <si>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</si>
  <si>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</si>
  <si>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</si>
  <si>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</si>
  <si>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</si>
  <si>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</si>
  <si>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</si>
  <si>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</si>
  <si>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</si>
  <si>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</si>
  <si>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</si>
  <si>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</si>
  <si>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</si>
  <si>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</si>
  <si>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</si>
  <si>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</si>
  <si>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</si>
  <si>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</si>
  <si>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</si>
  <si>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</si>
  <si>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</si>
  <si>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</si>
  <si>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</si>
  <si>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</si>
  <si>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</si>
  <si>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</si>
  <si>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</si>
  <si>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</si>
  <si>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</si>
  <si>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</si>
  <si>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</si>
  <si>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</si>
  <si>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</si>
  <si>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</si>
  <si>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</si>
  <si>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</si>
  <si>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</si>
  <si>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</si>
  <si>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</si>
  <si>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</si>
  <si>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</si>
  <si>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</si>
  <si>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</si>
  <si>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</si>
  <si>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</si>
  <si>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</si>
  <si>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</si>
  <si>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</si>
  <si>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</si>
  <si>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</si>
  <si>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</si>
  <si>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</si>
  <si>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</si>
  <si>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</si>
  <si>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</si>
  <si>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</si>
  <si>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</si>
  <si>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</si>
  <si>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</si>
  <si>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</si>
  <si>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</si>
  <si>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</si>
  <si>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</si>
  <si>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</si>
  <si>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</si>
  <si>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</si>
  <si>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</si>
  <si>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</si>
  <si>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</si>
  <si>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</si>
  <si>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</si>
  <si>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</si>
  <si>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</si>
  <si>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</si>
  <si>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</si>
  <si>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</si>
  <si>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</si>
  <si>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</si>
  <si>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</si>
  <si>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</si>
  <si>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</si>
  <si>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</si>
  <si>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</si>
  <si>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</si>
  <si>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</si>
  <si>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</si>
  <si>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</si>
  <si>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</si>
  <si>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</si>
  <si>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</si>
  <si>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</si>
  <si>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</si>
  <si>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</si>
  <si>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</si>
  <si>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</si>
  <si>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</si>
  <si>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</si>
  <si>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</si>
  <si>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</si>
  <si>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</si>
  <si>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</si>
  <si>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</si>
  <si>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</si>
  <si>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</si>
  <si>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</si>
  <si>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</si>
  <si>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</si>
  <si>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</si>
  <si>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</si>
  <si>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</si>
  <si>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</si>
  <si>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</si>
  <si>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</si>
  <si>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</si>
  <si>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</si>
  <si>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</si>
  <si>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</si>
  <si>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</si>
  <si>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</si>
  <si>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</si>
  <si>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</si>
  <si>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</si>
  <si>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</si>
  <si>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</si>
  <si>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</si>
  <si>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</si>
  <si>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</si>
  <si>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</si>
  <si>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</si>
  <si>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</si>
  <si>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</si>
  <si>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</si>
  <si>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</si>
  <si>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</si>
  <si>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</si>
  <si>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</si>
  <si>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</si>
  <si>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</si>
  <si>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</si>
  <si>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</si>
  <si>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</si>
  <si>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</si>
  <si>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</si>
  <si>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</si>
  <si>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</si>
  <si>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</si>
  <si>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</si>
  <si>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</si>
  <si>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</si>
  <si>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</si>
  <si>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</si>
  <si>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</si>
  <si>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</si>
  <si>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</si>
  <si>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</si>
  <si>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</si>
  <si>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</si>
  <si>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</si>
  <si>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</si>
  <si>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</si>
  <si>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</si>
  <si>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</si>
  <si>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</si>
  <si>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</si>
  <si>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</si>
  <si>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</si>
  <si>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</si>
  <si>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</si>
  <si>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</si>
  <si>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</si>
  <si>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</si>
  <si>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</si>
  <si>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</si>
  <si>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</si>
  <si>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</si>
  <si>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</si>
  <si>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</si>
  <si>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</si>
  <si>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</si>
  <si>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</si>
  <si>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</si>
  <si>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</si>
  <si>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</si>
  <si>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</si>
  <si>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</si>
  <si>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</si>
  <si>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</si>
  <si>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</si>
  <si>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</si>
  <si>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</si>
  <si>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</si>
  <si>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</si>
  <si>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</si>
  <si>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</si>
  <si>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</si>
  <si>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</si>
  <si>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</si>
  <si>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</si>
  <si>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</si>
  <si>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</si>
  <si>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</si>
  <si>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</si>
  <si>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</si>
  <si>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</si>
  <si>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</si>
  <si>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</si>
  <si>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</si>
  <si>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</si>
  <si>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</si>
  <si>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</si>
  <si>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</si>
  <si>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</si>
  <si>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</si>
  <si>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</si>
  <si>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</si>
  <si>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</si>
  <si>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</si>
  <si>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</si>
  <si>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</si>
  <si>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</si>
  <si>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</si>
  <si>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</si>
  <si>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</si>
  <si>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</si>
  <si>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</si>
  <si>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</si>
  <si>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</si>
  <si>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</si>
  <si>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</si>
  <si>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</si>
  <si>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</si>
  <si>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</si>
  <si>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</si>
  <si>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</si>
  <si>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</si>
  <si>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</si>
  <si>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</si>
  <si>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</si>
  <si>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</si>
  <si>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</si>
  <si>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</si>
  <si>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</si>
  <si>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</si>
  <si>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</si>
  <si>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</si>
  <si>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</si>
  <si>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</si>
  <si>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</si>
  <si>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</si>
  <si>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</si>
  <si>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</si>
  <si>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</si>
  <si>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</si>
  <si>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</si>
  <si>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</si>
  <si>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</si>
  <si>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</si>
  <si>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</si>
  <si>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</si>
  <si>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</si>
  <si>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</si>
  <si>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</si>
  <si>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</si>
  <si>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</si>
  <si>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</si>
  <si>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</si>
  <si>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</si>
  <si>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</si>
  <si>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</si>
  <si>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</si>
  <si>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</si>
  <si>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</si>
  <si>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</si>
  <si>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</si>
  <si>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</si>
  <si>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</si>
  <si>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</si>
  <si>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</si>
  <si>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</si>
  <si>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</si>
  <si>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</si>
  <si>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</si>
  <si>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</si>
  <si>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</si>
  <si>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</si>
  <si>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</si>
  <si>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</si>
  <si>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</si>
  <si>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</si>
  <si>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</si>
  <si>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</si>
  <si>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</si>
  <si>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</si>
  <si>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</si>
  <si>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</si>
  <si>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</si>
  <si>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</si>
  <si>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</si>
  <si>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</si>
  <si>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</si>
  <si>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</si>
  <si>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</si>
  <si>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</si>
  <si>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</si>
  <si>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</si>
  <si>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</si>
  <si>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</si>
  <si>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</si>
  <si>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</si>
  <si>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</si>
  <si>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</si>
  <si>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</si>
  <si>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</si>
  <si>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</si>
  <si>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</si>
  <si>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</si>
  <si>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</si>
  <si>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</si>
  <si>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</si>
  <si>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</si>
  <si>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</si>
  <si>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</si>
  <si>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</si>
  <si>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</si>
  <si>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</si>
  <si>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</si>
  <si>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</si>
  <si>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</si>
  <si>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</si>
  <si>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</si>
  <si>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</si>
  <si>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</si>
  <si>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</si>
  <si>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</si>
  <si>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</si>
  <si>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</si>
  <si>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</si>
  <si>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t>equip-10000432</t>
  </si>
  <si>
    <t>equip-20000432</t>
  </si>
  <si>
    <t>128</t>
  </si>
  <si>
    <t>equip-30000432</t>
  </si>
  <si>
    <t>1004001</t>
  </si>
  <si>
    <t>gun-10020267</t>
  </si>
  <si>
    <t>MP41Mod</t>
  </si>
  <si>
    <t>gun-40020267</t>
  </si>
  <si>
    <t>gun-50020267</t>
  </si>
  <si>
    <t>gun-60020267</t>
  </si>
  <si>
    <t>992534</t>
  </si>
  <si>
    <t>1,15;4,15</t>
  </si>
  <si>
    <t>equip-10000433</t>
  </si>
  <si>
    <t>equip-20000433</t>
  </si>
  <si>
    <t>equip-30000433</t>
  </si>
  <si>
    <t>1004102</t>
  </si>
  <si>
    <t>equip-10000434</t>
  </si>
  <si>
    <t>equip-20000434</t>
  </si>
  <si>
    <t>equip-30000434</t>
  </si>
  <si>
    <t>1004202</t>
  </si>
  <si>
    <t>equip-10000435</t>
  </si>
  <si>
    <t>equip-20000435</t>
  </si>
  <si>
    <t>267,20267</t>
  </si>
  <si>
    <t>equip-30000435</t>
  </si>
  <si>
    <t>equip-10000436</t>
  </si>
  <si>
    <t>equip-20000436</t>
  </si>
  <si>
    <t>272</t>
  </si>
  <si>
    <t>equip-30000436</t>
  </si>
  <si>
    <t>pow:1000,critical_percent:500</t>
  </si>
  <si>
    <t>equip-10000437</t>
  </si>
  <si>
    <t>equip-20000437</t>
  </si>
  <si>
    <t>316</t>
  </si>
  <si>
    <t>equip-30000437</t>
  </si>
  <si>
    <t>1004301</t>
  </si>
  <si>
    <t>ZB26GZ</t>
  </si>
  <si>
    <t>DefenderGZ</t>
  </si>
  <si>
    <t>let
    Source = Json.Document(Web.Contents("https://raw.githubusercontent.com/randomqwerty/GFLData/main/kr/stc/gun.json")),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</si>
  <si>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let
    Source = Json.Document(Web.Contents("https://raw.githubusercontent.com/randomqwerty/GFLData/main/kr/stc/equip.json")),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</si>
  <si>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let
    Source = Json.Document(Web.Contents("https://raw.githubusercontent.com/randomqwerty/GFLData/main/kr/stc/sangvis.json")),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</si>
  <si>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let
    Source = Json.Document(Web.Contents("https://raw.githubusercontent.com/randomqwerty/GFLData/main/kr/stc/sangvis_resolution.json")),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</si>
  <si>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equip-10000438</t>
  </si>
  <si>
    <t>equip-20000438</t>
  </si>
  <si>
    <t>335</t>
  </si>
  <si>
    <t>equip-30000438</t>
  </si>
  <si>
    <t>1004701</t>
  </si>
  <si>
    <t>equip-10000439</t>
  </si>
  <si>
    <t>equip-20000439</t>
  </si>
  <si>
    <t>equip-30000439</t>
  </si>
  <si>
    <t>dodge:500,critical_percent:1000</t>
  </si>
  <si>
    <t>1004802</t>
  </si>
  <si>
    <t>equip-10000440</t>
  </si>
  <si>
    <t>equip-20000440</t>
  </si>
  <si>
    <t>20013</t>
  </si>
  <si>
    <t>equip-30000440</t>
  </si>
  <si>
    <t>1004902</t>
  </si>
  <si>
    <t>equip-10000441</t>
  </si>
  <si>
    <t>equip-20000441</t>
  </si>
  <si>
    <t>equip-30000441</t>
  </si>
  <si>
    <t>1005001</t>
  </si>
  <si>
    <t>ThompsonGZ</t>
  </si>
  <si>
    <t>Type92modGZ</t>
  </si>
  <si>
    <t>equip-10000442</t>
  </si>
  <si>
    <t>equip-20000442</t>
  </si>
  <si>
    <t>equip-30000442</t>
  </si>
  <si>
    <t>1005202</t>
  </si>
  <si>
    <t>equip-10000443</t>
  </si>
  <si>
    <t>equip-20000443</t>
  </si>
  <si>
    <t>20037</t>
  </si>
  <si>
    <t>equip-30000443</t>
  </si>
  <si>
    <t>critical_harm_rate:700,rate:700</t>
  </si>
  <si>
    <t>1005302</t>
  </si>
  <si>
    <t>equip-10000444</t>
  </si>
  <si>
    <t>equip-20000444</t>
  </si>
  <si>
    <t>121</t>
  </si>
  <si>
    <t>equip-30000444</t>
  </si>
  <si>
    <t>1005101</t>
  </si>
  <si>
    <t>MDRGZ</t>
  </si>
  <si>
    <t>M14ModGZ</t>
  </si>
  <si>
    <t>equip-10000445</t>
  </si>
  <si>
    <t>equip-20000445</t>
  </si>
  <si>
    <t>equip-30000445</t>
  </si>
  <si>
    <t>1005402</t>
  </si>
  <si>
    <t>equip-10000446</t>
  </si>
  <si>
    <t>equip-20000446</t>
  </si>
  <si>
    <t>20199</t>
  </si>
  <si>
    <t>equip-30000446</t>
  </si>
  <si>
    <t>1005502</t>
  </si>
  <si>
    <t>equip-10000447</t>
  </si>
  <si>
    <t>equip-20000447</t>
  </si>
  <si>
    <t>21,25</t>
  </si>
  <si>
    <t>equip-30000447</t>
  </si>
  <si>
    <t>1005601</t>
  </si>
  <si>
    <t>FP6GZ</t>
  </si>
  <si>
    <t>Type80ModGZ</t>
  </si>
  <si>
    <t>equip-10000448</t>
  </si>
  <si>
    <t>equip-20000448</t>
  </si>
  <si>
    <t>equip-30000448</t>
  </si>
  <si>
    <t>1006102,759034</t>
  </si>
  <si>
    <t>equip-10000449</t>
  </si>
  <si>
    <t>equip-20000449</t>
  </si>
  <si>
    <t>20031</t>
  </si>
  <si>
    <t>equip-30000449</t>
  </si>
  <si>
    <t>1006202,759034</t>
  </si>
  <si>
    <r>
      <t xml:space="preserve">GFL KR Battle Sim - JSON Creator </t>
    </r>
    <r>
      <rPr>
        <b/>
        <sz val="12"/>
        <rFont val="Calibri"/>
        <family val="2"/>
        <scheme val="minor"/>
      </rPr>
      <t>(last updated April 19, 2025)</t>
    </r>
  </si>
  <si>
    <t>GrizzlyGZ</t>
  </si>
  <si>
    <t>M38ModGZ</t>
  </si>
  <si>
    <t>Repair Disabled</t>
  </si>
  <si>
    <t>Your units cannot regenerate any HP by using regenerative skills on the battlefield.</t>
  </si>
  <si>
    <t>Summon a group of fully-Linked targets with a total HP of 1000 every 10 seconds.</t>
  </si>
  <si>
    <t>Critical Damage +50%.</t>
  </si>
  <si>
    <t>Powerless</t>
  </si>
  <si>
    <t>Critical Rate +50%, Critical Damage -50% for all allies.</t>
  </si>
  <si>
    <t>Tooth and Nail</t>
  </si>
  <si>
    <t>Damage -50% for all allies, Vulnerability +100% for all enemies.</t>
  </si>
  <si>
    <t>Disintegrate</t>
  </si>
  <si>
    <t>Armor Penetration +200.</t>
  </si>
  <si>
    <t>In the Same Boat</t>
  </si>
  <si>
    <t>Damage -20% for all friendly units except the leader.</t>
  </si>
  <si>
    <t>Incendiary Strike II</t>
  </si>
  <si>
    <t xml:space="preserve">At the start of the battle, create an incendiary zone on the second row of your echelon, dealing 50 points of damage that scales with Dummy-Links every 0.33 seconds, lasting for 10 seconds. </t>
  </si>
  <si>
    <t>Giant Whack</t>
  </si>
  <si>
    <t>Deal damage to the units with the highest HP on both sides every 10 seconds. Said damage equals 10% of the target's maximum HP.</t>
  </si>
  <si>
    <t>Increase your front-row units' evasion and armor by 6% after every 3 seconds, stacking up to 10 times.
&lt;color=#CF8000&gt;This effect lasts 1 turn.&lt;/color&gt;</t>
  </si>
  <si>
    <t>Initial cooldowns of your units are reduced by 50%.
&lt;color=#CF8000&gt;This effect lasts 1 turn.&lt;/color&gt;</t>
  </si>
  <si>
    <t>After every 6 seconds, throw an incendiary projectile at the enemy unit with the highest HP, dealing 60 points of damage per 0.33 seconds for 15 seconds in a 3x3 area.
&lt;color=#CF8000&gt;This effect lasts 1 turn.&lt;/color&gt;</t>
  </si>
  <si>
    <t>After every 10 seconds, your units' shields that have lost 30% of their HP regenerate for 6 seconds.
&lt;color=#CF8000&gt;This effect lasts 1 turn.&lt;/color&gt;</t>
  </si>
  <si>
    <t>After every 10 seconds, place a powerful debuff on a random enemy that reduces their stats (damage, rate of fire, accuracy, evasion, armor) by 50%.
&lt;color=#CF8000&gt;This effect lasts 1 turn.&lt;/color&gt;</t>
  </si>
  <si>
    <t>Your unit with the highest HP gains a 9999-point force field at the start of the battle for 5 seconds.
&lt;color=#CF8000&gt;This effect lasts 1 turn.&lt;/color&gt;</t>
  </si>
  <si>
    <t>In this battle, damage and evasion of all your units increase by 3% every 4 seconds, stacking up to 10 times.
&lt;color=#CF8000&gt;This effect lasts 1 turn.&lt;/color&gt;</t>
  </si>
  <si>
    <t>Your unit with the highest HP gains an additional 30% damage intake reduction.
&lt;color=#CF8000&gt;This effect lasts 1 turn.&lt;/color&gt;</t>
  </si>
  <si>
    <t>Rate of fire of all your units increases by 30%.
&lt;color=#CF8000&gt;This effect lasts 1 turn.&lt;/color&gt;</t>
  </si>
  <si>
    <t>Opening Freeze</t>
  </si>
  <si>
    <t>Stun all enemies for 5 seconds at the start of the battle.
&lt;color=#CF8000&gt;This effect lasts 1 turn.&lt;/color&gt;</t>
  </si>
  <si>
    <t>Ground of Assault</t>
  </si>
  <si>
    <t>Inflict 20% vulnerability on all enemies at the start of the battle.
&lt;color=#CF8000&gt;This effect lasts 1 turn.&lt;/color&gt;</t>
  </si>
  <si>
    <t>Support Coverage</t>
  </si>
  <si>
    <t>After every 5 seconds, deal 3000 points of damage and 1000 points of shield damage.
&lt;color=#CF8000&gt;This effect lasts 1 turn.&lt;/color&gt;</t>
  </si>
  <si>
    <t>Sniper Support</t>
  </si>
  <si>
    <t>Activate [Snipe] every 6 seconds, dealing 18,000 points of damage that ignores armor to the enemy unit which poses the highest threat.</t>
  </si>
  <si>
    <t>Sniper Enhancement</t>
  </si>
  <si>
    <t>[Snipe] Damage +50%.</t>
  </si>
  <si>
    <t>Spot Cleaning</t>
  </si>
  <si>
    <t>[Snipe] Damage to elite units +100%.</t>
  </si>
  <si>
    <t>Complimentary Bombardment</t>
  </si>
  <si>
    <t>[Snipe] triggers an extra [Bombardment], dealing 6,000 points of damage that scales with Dummy-Links and ignores armor to enemy units within a small radius. CD: 3 seconds.</t>
  </si>
  <si>
    <t>Mind's Eye</t>
  </si>
  <si>
    <t>[Snipe] grants all T-Dolls [Precision].</t>
  </si>
  <si>
    <t>Armor-Piercing Bullet</t>
  </si>
  <si>
    <t>[Snipe] inflicts [Broken Armor] on targets.</t>
  </si>
  <si>
    <t>Artillery Support</t>
  </si>
  <si>
    <t>Activate [Bombardment] every 6 seconds, dealing 6,000 points of damage that scales with Dummy-Links and ignores armor to enemy units within a small radius.</t>
  </si>
  <si>
    <t>Artillery Enhancement</t>
  </si>
  <si>
    <t>[Bombardment] Damage +50%.</t>
  </si>
  <si>
    <t>Cluster Bombardment</t>
  </si>
  <si>
    <t>[Bombardment] damage to enemy units with no Dummy-Links +50%.</t>
  </si>
  <si>
    <t>Complimentary Airstrike</t>
  </si>
  <si>
    <t>[Bombardment] triggers an extra [Airstrike], dealing 2,000 points of damage that scales with Dummy-Links and ignores armor to all enemy units. CD: 3 seconds.</t>
  </si>
  <si>
    <t>Valiant</t>
  </si>
  <si>
    <t>[Bombardment] grants all T-Dolls [Focus].</t>
  </si>
  <si>
    <t>[Bombardment] inflicts [Shock] on targets.</t>
  </si>
  <si>
    <t>Airstrike Support</t>
  </si>
  <si>
    <t>Activate [Airstrike] every 6 seconds, dealing 2,000 points of damage that scales with Dummy-Links and ignores armor to all enemy units.</t>
  </si>
  <si>
    <t>Airstrike Enhancement</t>
  </si>
  <si>
    <t>[Airstrike] Damage +50%.</t>
  </si>
  <si>
    <t>Carpet Bombing</t>
  </si>
  <si>
    <t>[Airstrike] damage to non-elite enemy units +100%.</t>
  </si>
  <si>
    <t>Complimentary Snipe</t>
  </si>
  <si>
    <t>[Airstrike] triggers an extra [Snipe], dealing 18,000 points of damage that ignores armor to the enemy unit which poses the highest threat. CD: 3 seconds.</t>
  </si>
  <si>
    <t>Bloodlust</t>
  </si>
  <si>
    <t>[Airstrike] grants all T-Dolls [Affinity].</t>
  </si>
  <si>
    <t>Raining Fire</t>
  </si>
  <si>
    <t>[Bombardment] inflicts [Ignition] on targets.</t>
  </si>
  <si>
    <t>Broken Armor</t>
  </si>
  <si>
    <t>At the start of the battle, inflict 1 stack of [Broken Armor] to all enemies, then inflict 1 stack of [Broken Armor] to the enemy units with the highest HP and highest armor every 6 seconds.</t>
  </si>
  <si>
    <t>Fragile</t>
  </si>
  <si>
    <t>[Broken Armor] can stack up to 3 times.</t>
  </si>
  <si>
    <t>Broken Armor Enhancement</t>
  </si>
  <si>
    <t>[Broken Armor]'s duration increases to 12 seconds.</t>
  </si>
  <si>
    <t>Shock</t>
  </si>
  <si>
    <t>At the start of the battle, inflict 1 stack of [Shock] to all enemies, then inflict 1 stack of [Shock] to the enemy unit with the highest damage and the farthest enemy unit every 6 seconds.</t>
  </si>
  <si>
    <t>[Shock] can stack up to 3 times.</t>
  </si>
  <si>
    <t>Shock Enhancement</t>
  </si>
  <si>
    <t>[Shock]'s duration increases to 12 seconds.</t>
  </si>
  <si>
    <t>Ignition</t>
  </si>
  <si>
    <t>At the start of the battle, inflict 1 stack of [Ignition] to all enemies, then inflict 1 stack of [Ignition] to the enemy units with the highest and lowest HP every 6 seconds.</t>
  </si>
  <si>
    <t>Inflammable</t>
  </si>
  <si>
    <t>[Ignition] can stack up to 3 times.</t>
  </si>
  <si>
    <t>Ignition Enhancement</t>
  </si>
  <si>
    <t>[Ignition]'s duration increases to 12 seconds.</t>
  </si>
  <si>
    <t>Focus</t>
  </si>
  <si>
    <t>Grant a stack of [Focus] to the T-Dolls with the highest damage output and lowest HP every 6 seconds.</t>
  </si>
  <si>
    <t>Focus Enhancement</t>
  </si>
  <si>
    <t>[Focus]'s effectiveness increases to 100%.</t>
  </si>
  <si>
    <t>Inner Peace</t>
  </si>
  <si>
    <t>[Focus] can stack up to 3 times.</t>
  </si>
  <si>
    <t>Rapid Fire</t>
  </si>
  <si>
    <t>Grant a stack of [Rapid Fire] to the T-Dolls with the highest damage output and lowest HP every 6 seconds.</t>
  </si>
  <si>
    <t>[Rapid Fire]'s effectiveness increases to 100%.</t>
  </si>
  <si>
    <t>Restrictions Lifted</t>
  </si>
  <si>
    <t>If a target has 2 stacks of [Rapid Fire] after being granted [Rapid Fire], she receives an additional stack of [Focus].</t>
  </si>
  <si>
    <t>Grant a stack of [Precision] to the T-Dolls with the highest damage output and lowest HP every 6 seconds.</t>
  </si>
  <si>
    <t>Precision Enhancement</t>
  </si>
  <si>
    <t>[Precision]'s effectiveness increases to 50%.</t>
  </si>
  <si>
    <t>Mystic Eyes of Death Perception</t>
  </si>
  <si>
    <t>If a target has 2 stacks of [Precision] after being granted [Precision], she receives an additional stack of [Affinity].</t>
  </si>
  <si>
    <t>Affinity</t>
  </si>
  <si>
    <t>Grant a stack of [Affinity] to the T-Dolls with the highest damage output and lowest HP every 6 seconds.</t>
  </si>
  <si>
    <t>Affinity Enhancement</t>
  </si>
  <si>
    <t>[Affinity]'s effectiveness increases to 50%.</t>
  </si>
  <si>
    <t>Auto Calibration</t>
  </si>
  <si>
    <t>If a target has no [Precision] when being granted [Affinity], she receives an additional stack of [Precision].</t>
  </si>
  <si>
    <t>Enhancement</t>
  </si>
  <si>
    <t>Grant a stack of [Enhancement] to the T-Dolls with the highest damage output and lowest HP every 6 seconds.</t>
  </si>
  <si>
    <t>Enhancement Increase</t>
  </si>
  <si>
    <t>[Enhancement]'s effectiveness increases to 40%.</t>
  </si>
  <si>
    <t>Patience</t>
  </si>
  <si>
    <t>Grant a stack of [Patience] to the T-Dolls with the highest HP and highest armor every 6 seconds.</t>
  </si>
  <si>
    <t>Patience Increase</t>
  </si>
  <si>
    <t>[Patience]'s effectiveness increases to 50%.</t>
  </si>
  <si>
    <t>Assault Rifle Focus</t>
  </si>
  <si>
    <t>If there are 2 or more ARs on the field, grant 1 stack of [Focus] to all ARs every 6 seconds starting from the third second.</t>
  </si>
  <si>
    <t>Assault Rifle Precision</t>
  </si>
  <si>
    <t>If there are 2 or more ARs on the field, grant 1 stack of [Precision] to all ARs every 6 seconds starting from the third second.</t>
  </si>
  <si>
    <t>Assault Rifle Enhancement</t>
  </si>
  <si>
    <t>If there are 2 or more ARs on the field, grant 1 stack of [Enhancement] to all ARs every 6 seconds starting from the third second.</t>
  </si>
  <si>
    <t>Bombardment Squad</t>
  </si>
  <si>
    <t>If there are 2 or more ARs on the field, activate [Bombardment] once every 6 seconds starting from the third second, dealing 6,000 points of damage that scales with Dummy-Links and ignores armor to enemy units within a small radius.</t>
  </si>
  <si>
    <t>Submachine Gun Affinity</t>
  </si>
  <si>
    <t>If there are 2 or more SMGs on the field, grant 1 stack of [Affinity] to all SMGs every 6 seconds starting from the third second.</t>
  </si>
  <si>
    <t>Submachine Gun Enhancement</t>
  </si>
  <si>
    <t>If there are 2 or more SMGs on the field, grant 1 stack of [Enhancement] to all SMGs every 6 seconds starting from the third second.</t>
  </si>
  <si>
    <t>Submachine Gun Patience</t>
  </si>
  <si>
    <t>If there are 2 or more SMGs on the field, grant 1 stack of [Patience] to all SMGs every 6 seconds starting from the third second.</t>
  </si>
  <si>
    <t>Incendiary Grenade</t>
  </si>
  <si>
    <t>If there are 1 or more SMGs on the field, inflict 1 stack of [Ignition] to 3 random enemy units every 6 seconds starting from the third second.</t>
  </si>
  <si>
    <t>Rifle Rapid Fire</t>
  </si>
  <si>
    <t>If there are 2 or more RFs on the field, grant 1 stack of [Rapid Fire] to all RFs every 6 seconds starting from the third second.</t>
  </si>
  <si>
    <t>Rifle Affinity</t>
  </si>
  <si>
    <t>If there are 2 or more RFs on the field, grant 1 stack of [Affinity] to all RFs every 6 seconds starting from the third second.</t>
  </si>
  <si>
    <t>If there are 2 or more RFs on the field, grant 1 stack of [Enhancement] to all RFs every 6 seconds starting from the third second.</t>
  </si>
  <si>
    <t>Sniping Team</t>
  </si>
  <si>
    <t>If there are 2 or more RFs on the field, activate [Snipe] once every 6 seconds starting from the third second, dealing 18,000 points of damage that ignores armor to the enemy unit which poses the highest threat.</t>
  </si>
  <si>
    <t>Handgun Focus</t>
  </si>
  <si>
    <t>If there are 2 or more HGs on the field, grant 1 stack of [Focus] to all HGs every 6 seconds starting from the third second.</t>
  </si>
  <si>
    <t>Handgun Rapid Fire</t>
  </si>
  <si>
    <t>If there are 2 or more HGs on the field, grant 1 stack of [Rapid Fire] to all HGs every 6 seconds starting from the third second.</t>
  </si>
  <si>
    <t>Handgun Precision</t>
  </si>
  <si>
    <t>If there are 2 or more HGs on the field, grant 1 stack of [Precision] to all HGs every 6 seconds starting from the third second.</t>
  </si>
  <si>
    <t>Handgun Affinity</t>
  </si>
  <si>
    <t>If there are 2 or more HGs on the field, grant 1 stack of [Affinity] to all HGs every 6 seconds starting from the third second.</t>
  </si>
  <si>
    <t>Machine Gun Precision</t>
  </si>
  <si>
    <t>If there are 2 or more MGs on the field, grant 1 stack of [Precision] to all MGs every 6 seconds starting from the third second.</t>
  </si>
  <si>
    <t>Machine Gun Affinity</t>
  </si>
  <si>
    <t>If there are 2 or more MGs on the field, grant 1 stack of [Affinity] to all MGs every 6 seconds starting from the third second.</t>
  </si>
  <si>
    <t>Machine Gun Enhancement</t>
  </si>
  <si>
    <t>If there are 2 or more MGs on the field, grant 1 stack of [Enhancement] to all MGs every 6 seconds starting from the third second.</t>
  </si>
  <si>
    <t>Airstrike Team</t>
  </si>
  <si>
    <t>If there are 2 or more MGs on the field, activate [Airstrike] once every 6 seconds starting from the third second, dealing 2,000 points of damage that scales with Dummy-Links and ignores armor to all enemy units.</t>
  </si>
  <si>
    <t>Shotgun Focus</t>
  </si>
  <si>
    <t>If there are 2 or more SGs on the field, grant 1 stack of [Focus] to all SGs every 6 seconds starting from the third second.</t>
  </si>
  <si>
    <t>Shotgun Patience</t>
  </si>
  <si>
    <t>If there are 2 or more SGs on the field, grant 1 stack of [Patience] to all SGs every 6 seconds starting from the third second.</t>
  </si>
  <si>
    <t>Broken Armor Strike</t>
  </si>
  <si>
    <t>If there are 1 or more SGs on the field, inflict 1 stack of [Broken Armor] to 3 random enemy units every 6 seconds starting from the third second.</t>
  </si>
  <si>
    <t>Shock Strike</t>
  </si>
  <si>
    <t>If there are 1 or more SGs on the field, inflict 1 stack of [Shock] to 3 random enemy units every 6 seconds starting from the third second.</t>
  </si>
  <si>
    <t>Bullet Mania</t>
  </si>
  <si>
    <t>Battle Efficiency skill effect and duration increases significantly.</t>
  </si>
  <si>
    <t>Hero in the Making</t>
  </si>
  <si>
    <t>While Battle Efficiency is in effect, grant all T-Dolls 1 stack of [Focus] every 6 seconds.</t>
  </si>
  <si>
    <t>Unlimited Rage skill effect and duration increases significantly.</t>
  </si>
  <si>
    <t>Bloodthirsty Fury</t>
  </si>
  <si>
    <t>While Unlimited Rage is in effect, grant all T-Dolls 1 stack of [Affinity] every 6 seconds.</t>
  </si>
  <si>
    <t>Mechanical Barrier</t>
  </si>
  <si>
    <t>Riot Control skill effect and duration increases significantly.</t>
  </si>
  <si>
    <t>Multi-Sided Defense</t>
  </si>
  <si>
    <t>While Riot Control is in effect, grant SGs 1 stack of [Patience] every 6 seconds.</t>
  </si>
  <si>
    <t>Deflection Shield</t>
  </si>
  <si>
    <t>Energy Shield is enhanced and takes 10% less damage within its duration.</t>
  </si>
  <si>
    <t>While Energy Shield is in effect, increase evasion of T-Dolls with shields by 20% every 5 seconds until the shields disappear, then grant unshielded T-Dolls a shield with 5% of their maximum HP.</t>
  </si>
  <si>
    <t>Stasis Field</t>
  </si>
  <si>
    <t>Temporary Armor also grants 10% damage intake reduction to T-Dolls on the front row for 60 seconds.</t>
  </si>
  <si>
    <t>Protective Shell</t>
  </si>
  <si>
    <t>Temporary Armor also grants T-Dolls on the front row a shield with 20% of the maximum HP.</t>
  </si>
  <si>
    <t>Synergistic Taunt</t>
  </si>
  <si>
    <t>Taunt Target summons an additional target with 30% damage intake reduction.</t>
  </si>
  <si>
    <t>Unexpected Surprise</t>
  </si>
  <si>
    <t xml:space="preserve">Targets trigger [Bombardment] upon death, dealing 6,000 points of damage that scales with Dummy-Links and ignores armor to enemy units within a small radius. </t>
  </si>
  <si>
    <t>Sniper Guidance</t>
  </si>
  <si>
    <t>[Snipe] activates at a higher frequency.</t>
  </si>
  <si>
    <t>Rub Salt in the Wound</t>
  </si>
  <si>
    <t>[Snipe] damage to targets with [Broken Armor] +50%.</t>
  </si>
  <si>
    <t>Bombardment Guidance</t>
  </si>
  <si>
    <t>[Bombardment] activates at a higher frequency.</t>
  </si>
  <si>
    <t>Kick a Man When He's Down</t>
  </si>
  <si>
    <t>[Bombardment] damage to targets with [Shock] +50%.</t>
  </si>
  <si>
    <t>Airstrike Guidance</t>
  </si>
  <si>
    <t>[Airstrike] activates at a higher frequency.</t>
  </si>
  <si>
    <t>Loot a Burning House</t>
  </si>
  <si>
    <t>[Airstrike] damage to targets with [Ignition] +50%.</t>
  </si>
  <si>
    <t>Firepower Enhancement</t>
  </si>
  <si>
    <t>Increase damage by 15% for the whole echelon.</t>
  </si>
  <si>
    <t>Increase damage by 30% for the whole echelon.</t>
  </si>
  <si>
    <t>Rate of Fire Enhancement</t>
  </si>
  <si>
    <t>Increase rate of fire by 15% for the whole echelon.</t>
  </si>
  <si>
    <t>Rate of Fire Enhancement+</t>
  </si>
  <si>
    <t>Increase rate of fire by 30% for the whole echelon.</t>
  </si>
  <si>
    <t>Armor-Piercing Enhancement</t>
  </si>
  <si>
    <t>Increase armor-piercing by 100 points for the whole echelon.</t>
  </si>
  <si>
    <t>Armor-Piercing Enhancement+</t>
  </si>
  <si>
    <t>Increase armor-piercing by 200 points for the whole echelon.</t>
  </si>
  <si>
    <t>Increase shields by 100 points for the whole echelon.</t>
  </si>
  <si>
    <t>Increase shields by 200 points for the whole echelon.</t>
  </si>
  <si>
    <t>Critical Damage Enhancement</t>
  </si>
  <si>
    <t>Increase critical damage by 25% for the whole echelon.</t>
  </si>
  <si>
    <t>Critical Damage Enhancement+</t>
  </si>
  <si>
    <t>Increase critical damage by 50% for the whole echelon.</t>
  </si>
  <si>
    <t>Evasion Enhancement</t>
  </si>
  <si>
    <t>Increase evasion by 25% for the whole echelon.</t>
  </si>
  <si>
    <t>Evasion Enhancement+</t>
  </si>
  <si>
    <t>Increase evasion by 50% for the whole echelon.</t>
  </si>
  <si>
    <t>Night Vision Enhancement</t>
  </si>
  <si>
    <t>Increase night vision by 25% for the whole echelon.</t>
  </si>
  <si>
    <t>Night Vision Enhancement+</t>
  </si>
  <si>
    <t>Increase night vision by 50% for the whole echelon.</t>
  </si>
  <si>
    <t>Accuracy Enhancement</t>
  </si>
  <si>
    <t>Increase accuracy by 100% for the whole echelon.</t>
  </si>
  <si>
    <t>Accuracy Enhancement+</t>
  </si>
  <si>
    <t>Increase accuracy by 200% for the whole echelon.</t>
  </si>
  <si>
    <t>Increase movement speed by 100% for the whole echelon.</t>
  </si>
  <si>
    <t>Movement Speed Enhancement+</t>
  </si>
  <si>
    <t>Increase movement speed by 200% for the whole echelon.</t>
  </si>
  <si>
    <t>Firepower Reduction</t>
  </si>
  <si>
    <t>Reduce damage by 15% for the whole echelon.</t>
  </si>
  <si>
    <t>Firepower Reduction+</t>
  </si>
  <si>
    <t>Reduce damage by 30% for the whole echelon.</t>
  </si>
  <si>
    <t>Evasion Reduction</t>
  </si>
  <si>
    <t>Reduce evasion by 50% for the whole echelon.</t>
  </si>
  <si>
    <t>Reduce evasion by 70% for the whole echelon.</t>
  </si>
  <si>
    <t>Accuracy Reduction</t>
  </si>
  <si>
    <t>Reduce accuracy by 15% for the whole echelon.</t>
  </si>
  <si>
    <t>Reduce accuracy by 30% for the whole echelon.</t>
  </si>
  <si>
    <t>Weak and Dizzy</t>
  </si>
  <si>
    <t>Daze all enemies for 2 seconds every 10 seconds during battle.</t>
  </si>
  <si>
    <t>Burst Fire</t>
  </si>
  <si>
    <t>Deal 10,000 points of damage to the enemy unit with the lowest HP every 8 seconds during battle.</t>
  </si>
  <si>
    <t>Cracked Shield</t>
  </si>
  <si>
    <t>Clear all enemy shields every 10 seconds during battle.</t>
  </si>
  <si>
    <t>Coordinated Provocation</t>
  </si>
  <si>
    <t>Summon a group of fully-Linked targets with a total HP of 1000 at the start of the battle.</t>
  </si>
  <si>
    <t>Flower of Paralysis</t>
  </si>
  <si>
    <t>Paralyze all enemies for 4 seconds at the start of the battle.</t>
  </si>
  <si>
    <t>Armor-Piercing Power</t>
  </si>
  <si>
    <t>Your units' attacks deal an additional instance of 200-point damage when they pierce through armor.</t>
  </si>
  <si>
    <t>Rapid Skills</t>
  </si>
  <si>
    <t>Your units' skill cooldowns are reduced by 20% with every use.</t>
  </si>
  <si>
    <t>Shield Critical Hits</t>
  </si>
  <si>
    <t>Critical rate of your shielded units increases by 100%.</t>
  </si>
  <si>
    <t>Shield Critical Hits-1</t>
  </si>
  <si>
    <t>Critical rate of your shielded units is by 100%-1.</t>
  </si>
  <si>
    <t>Shield Critical Hits-2</t>
  </si>
  <si>
    <t>Critical rate of your shielded units is by 100%-2.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</si>
</sst>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8795</v>
      </c>
    </row>
    <row r="2" spans="1:5" x14ac:dyDescent="0.3">
      <c r="A2" s="134" t="s">
        <v>853</v>
      </c>
    </row>
    <row r="3" spans="1:5" x14ac:dyDescent="0.3">
      <c r="A3" s="134" t="s">
        <v>5632</v>
      </c>
    </row>
    <row r="4" spans="1:5" x14ac:dyDescent="0.3">
      <c r="A4" s="134" t="s">
        <v>7530</v>
      </c>
    </row>
    <row r="5" spans="1:5" x14ac:dyDescent="0.3">
      <c r="A5" s="134" t="s">
        <v>6512</v>
      </c>
      <c r="B5" s="135" t="s">
        <v>925</v>
      </c>
    </row>
    <row r="7" spans="1:5" x14ac:dyDescent="0.3">
      <c r="A7" s="136" t="s">
        <v>1042</v>
      </c>
      <c r="B7" s="140" t="s">
        <v>1742</v>
      </c>
      <c r="D7" s="136" t="s">
        <v>1698</v>
      </c>
      <c r="E7" s="187" t="s">
        <v>7671</v>
      </c>
    </row>
    <row r="8" spans="1:5" x14ac:dyDescent="0.3">
      <c r="A8" s="137" t="s">
        <v>6511</v>
      </c>
      <c r="B8" s="138" t="s">
        <v>8513</v>
      </c>
      <c r="D8" s="137" t="s">
        <v>847</v>
      </c>
      <c r="E8" s="138">
        <v>220000</v>
      </c>
    </row>
    <row r="9" spans="1:5" x14ac:dyDescent="0.3">
      <c r="A9" s="137" t="s">
        <v>6510</v>
      </c>
      <c r="B9" s="138" t="s">
        <v>955</v>
      </c>
      <c r="D9" s="137" t="s">
        <v>7312</v>
      </c>
      <c r="E9" s="138">
        <v>100</v>
      </c>
    </row>
    <row r="10" spans="1:5" x14ac:dyDescent="0.3">
      <c r="A10" s="137" t="s">
        <v>1699</v>
      </c>
      <c r="B10" s="138">
        <v>1</v>
      </c>
      <c r="D10" s="137" t="s">
        <v>848</v>
      </c>
      <c r="E10" s="138" t="b">
        <v>1</v>
      </c>
    </row>
    <row r="11" spans="1:5" x14ac:dyDescent="0.3">
      <c r="A11" s="137" t="s">
        <v>6509</v>
      </c>
      <c r="B11" s="138">
        <v>1234</v>
      </c>
      <c r="D11" s="137" t="s">
        <v>849</v>
      </c>
      <c r="E11" s="138" t="b">
        <v>1</v>
      </c>
    </row>
    <row r="12" spans="1:5" x14ac:dyDescent="0.3">
      <c r="A12" s="137" t="s">
        <v>7708</v>
      </c>
      <c r="B12" s="138" t="s">
        <v>7758</v>
      </c>
    </row>
    <row r="14" spans="1:5" ht="18" x14ac:dyDescent="0.35">
      <c r="A14" s="141" t="s">
        <v>1040</v>
      </c>
      <c r="B14" s="142"/>
    </row>
    <row r="15" spans="1:5" outlineLevel="1" x14ac:dyDescent="0.3">
      <c r="A15" s="139"/>
      <c r="B15" s="142"/>
    </row>
    <row r="16" spans="1:5" outlineLevel="1" x14ac:dyDescent="0.3">
      <c r="A16" s="139" t="s">
        <v>958</v>
      </c>
      <c r="B16" s="279" t="s">
        <v>6856</v>
      </c>
      <c r="C16" s="280"/>
    </row>
    <row r="17" spans="1:29" outlineLevel="1" x14ac:dyDescent="0.3">
      <c r="A17" s="139"/>
      <c r="B17" s="142"/>
    </row>
    <row r="18" spans="1:29" outlineLevel="1" x14ac:dyDescent="0.3">
      <c r="A18" s="143" t="s">
        <v>7723</v>
      </c>
      <c r="B18" s="143"/>
      <c r="C18" s="143"/>
      <c r="D18" s="143"/>
      <c r="E18" s="143"/>
      <c r="F18" s="143"/>
      <c r="G18" s="143"/>
      <c r="H18" s="143"/>
      <c r="I18" s="143"/>
      <c r="J18" s="143"/>
      <c r="L18" s="143" t="s">
        <v>6443</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6364</v>
      </c>
      <c r="U25" s="161" t="s">
        <v>6368</v>
      </c>
      <c r="V25" s="161">
        <v>10</v>
      </c>
      <c r="W25" s="162">
        <v>1</v>
      </c>
      <c r="Y25" s="160"/>
      <c r="Z25" s="161"/>
      <c r="AA25" s="161"/>
      <c r="AB25" s="161"/>
      <c r="AC25" s="138"/>
    </row>
    <row r="26" spans="1:29" outlineLevel="1" x14ac:dyDescent="0.3"/>
    <row r="27" spans="1:29" outlineLevel="1" x14ac:dyDescent="0.3">
      <c r="A27" s="143" t="s">
        <v>7722</v>
      </c>
      <c r="B27" s="143"/>
      <c r="C27" s="143"/>
      <c r="D27" s="143"/>
      <c r="E27" s="143"/>
      <c r="F27" s="143"/>
      <c r="H27" s="143" t="s">
        <v>945</v>
      </c>
      <c r="I27" s="143"/>
      <c r="J27" s="143"/>
      <c r="L27" s="139" t="s">
        <v>6445</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7724</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5670</v>
      </c>
      <c r="C54" s="280"/>
    </row>
    <row r="55" spans="1:29" outlineLevel="1" x14ac:dyDescent="0.3">
      <c r="A55" s="139"/>
      <c r="B55" s="142"/>
    </row>
    <row r="56" spans="1:29" ht="15" customHeight="1" outlineLevel="1" x14ac:dyDescent="0.35">
      <c r="A56" s="139" t="s">
        <v>7725</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5666</v>
      </c>
      <c r="Q57" s="167" t="s">
        <v>1105</v>
      </c>
    </row>
    <row r="58" spans="1:29" outlineLevel="1" x14ac:dyDescent="0.3">
      <c r="A58" s="148" t="s">
        <v>1030</v>
      </c>
      <c r="B58" s="149" t="s">
        <v>1073</v>
      </c>
      <c r="C58" s="155" t="s">
        <v>8</v>
      </c>
      <c r="D58" s="155" t="s">
        <v>18</v>
      </c>
      <c r="E58" s="155" t="s">
        <v>6869</v>
      </c>
      <c r="F58" s="155" t="s">
        <v>6870</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7709</v>
      </c>
      <c r="B70" s="142"/>
    </row>
    <row r="71" spans="1:19" outlineLevel="1" x14ac:dyDescent="0.3">
      <c r="A71" s="139" t="s">
        <v>7740</v>
      </c>
    </row>
    <row r="72" spans="1:19" outlineLevel="1" x14ac:dyDescent="0.3">
      <c r="A72" s="143" t="s">
        <v>7741</v>
      </c>
    </row>
    <row r="73" spans="1:19" outlineLevel="1" x14ac:dyDescent="0.3">
      <c r="A73" s="242" t="s">
        <v>7710</v>
      </c>
      <c r="B73" s="167"/>
      <c r="C73" s="146" t="s">
        <v>7710</v>
      </c>
      <c r="D73" s="248" t="s">
        <v>7713</v>
      </c>
      <c r="E73" s="241"/>
      <c r="F73" s="248" t="s">
        <v>7714</v>
      </c>
      <c r="G73" s="241"/>
      <c r="H73" s="248" t="s">
        <v>7715</v>
      </c>
      <c r="I73" s="241"/>
      <c r="J73" s="248" t="s">
        <v>7716</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7711</v>
      </c>
      <c r="B75" s="180"/>
      <c r="C75" s="154">
        <v>15</v>
      </c>
      <c r="D75" s="152">
        <v>100</v>
      </c>
      <c r="E75" s="154">
        <v>5</v>
      </c>
      <c r="F75" s="152">
        <v>100</v>
      </c>
      <c r="G75" s="154">
        <v>5</v>
      </c>
      <c r="H75" s="152">
        <v>100</v>
      </c>
      <c r="I75" s="154">
        <v>5</v>
      </c>
      <c r="J75" s="152" t="s">
        <v>7742</v>
      </c>
      <c r="K75" s="153">
        <v>100</v>
      </c>
      <c r="L75" s="153">
        <v>5</v>
      </c>
      <c r="M75" s="154">
        <v>5</v>
      </c>
    </row>
    <row r="76" spans="1:19" outlineLevel="1" x14ac:dyDescent="0.3">
      <c r="A76" s="148" t="s">
        <v>7712</v>
      </c>
      <c r="B76" s="177"/>
      <c r="C76" s="138">
        <v>15</v>
      </c>
      <c r="D76" s="160">
        <v>100</v>
      </c>
      <c r="E76" s="138">
        <v>5</v>
      </c>
      <c r="F76" s="245"/>
      <c r="G76" s="246" t="s">
        <v>7717</v>
      </c>
      <c r="H76" s="245"/>
      <c r="I76" s="246" t="s">
        <v>7717</v>
      </c>
      <c r="J76" s="245" t="s">
        <v>7717</v>
      </c>
      <c r="K76" s="247" t="s">
        <v>7717</v>
      </c>
      <c r="L76" s="247" t="s">
        <v>7717</v>
      </c>
      <c r="M76" s="246" t="s">
        <v>7717</v>
      </c>
    </row>
    <row r="77" spans="1:19" outlineLevel="1" x14ac:dyDescent="0.3"/>
    <row r="78" spans="1:19" outlineLevel="1" x14ac:dyDescent="0.3">
      <c r="A78" s="139" t="s">
        <v>7726</v>
      </c>
      <c r="K78" s="258"/>
      <c r="M78" s="135"/>
    </row>
    <row r="79" spans="1:19" outlineLevel="1" x14ac:dyDescent="0.3">
      <c r="A79" s="139" t="s">
        <v>7790</v>
      </c>
    </row>
    <row r="80" spans="1:19" outlineLevel="1" x14ac:dyDescent="0.3">
      <c r="A80" s="242" t="s">
        <v>7711</v>
      </c>
      <c r="B80" s="240" t="s">
        <v>7718</v>
      </c>
      <c r="C80" s="241"/>
      <c r="D80" s="240" t="s">
        <v>8191</v>
      </c>
      <c r="E80" s="241"/>
      <c r="F80" s="240" t="s">
        <v>8190</v>
      </c>
      <c r="G80" s="241"/>
      <c r="H80" s="240" t="s">
        <v>7719</v>
      </c>
      <c r="I80" s="241"/>
      <c r="J80" s="240" t="s">
        <v>7720</v>
      </c>
      <c r="K80" s="241"/>
      <c r="L80" s="240" t="s">
        <v>8329</v>
      </c>
      <c r="M80" s="241"/>
      <c r="N80" s="240" t="s">
        <v>8330</v>
      </c>
      <c r="O80" s="241"/>
      <c r="P80" s="240" t="s">
        <v>8331</v>
      </c>
      <c r="Q80" s="241"/>
      <c r="R80" s="240" t="s">
        <v>8332</v>
      </c>
      <c r="S80" s="241"/>
    </row>
    <row r="81" spans="1:19" outlineLevel="1" x14ac:dyDescent="0.3">
      <c r="A81" s="148" t="s">
        <v>7778</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7774</v>
      </c>
      <c r="B82" s="271" t="s">
        <v>7759</v>
      </c>
      <c r="C82" s="272">
        <v>10</v>
      </c>
      <c r="D82" s="271" t="s">
        <v>8299</v>
      </c>
      <c r="E82" s="272">
        <v>10</v>
      </c>
      <c r="F82" s="271" t="s">
        <v>7766</v>
      </c>
      <c r="G82" s="272">
        <v>10</v>
      </c>
      <c r="H82" s="271" t="s">
        <v>8316</v>
      </c>
      <c r="I82" s="272">
        <v>10</v>
      </c>
      <c r="J82" s="271" t="s">
        <v>7770</v>
      </c>
      <c r="K82" s="272">
        <v>10</v>
      </c>
      <c r="L82" s="271" t="s">
        <v>7760</v>
      </c>
      <c r="M82" s="272">
        <v>10</v>
      </c>
      <c r="N82" s="271" t="s">
        <v>637</v>
      </c>
      <c r="O82" s="272">
        <v>10</v>
      </c>
      <c r="P82" s="271" t="s">
        <v>8324</v>
      </c>
      <c r="Q82" s="272">
        <v>10</v>
      </c>
      <c r="R82" s="271" t="s">
        <v>639</v>
      </c>
      <c r="S82" s="272">
        <v>10</v>
      </c>
    </row>
    <row r="83" spans="1:19" s="221" customFormat="1" outlineLevel="1" x14ac:dyDescent="0.3">
      <c r="A83" s="122" t="s">
        <v>7775</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7776</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7777</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7712</v>
      </c>
      <c r="B87" s="240" t="s">
        <v>8190</v>
      </c>
      <c r="C87" s="241"/>
      <c r="D87" s="240" t="s">
        <v>7719</v>
      </c>
      <c r="E87" s="241"/>
      <c r="F87" s="240" t="s">
        <v>7719</v>
      </c>
      <c r="G87" s="241"/>
      <c r="H87" s="240" t="s">
        <v>8191</v>
      </c>
      <c r="I87" s="241"/>
      <c r="J87" s="240" t="s">
        <v>7720</v>
      </c>
      <c r="K87" s="241"/>
      <c r="L87" s="240" t="s">
        <v>8329</v>
      </c>
      <c r="M87" s="241"/>
      <c r="N87" s="240" t="s">
        <v>8330</v>
      </c>
      <c r="O87" s="241"/>
      <c r="P87" s="240" t="s">
        <v>8331</v>
      </c>
      <c r="Q87" s="241"/>
      <c r="R87" s="240" t="s">
        <v>8332</v>
      </c>
      <c r="S87" s="241"/>
    </row>
    <row r="88" spans="1:19" s="221" customFormat="1" outlineLevel="1" x14ac:dyDescent="0.3">
      <c r="A88" s="148" t="s">
        <v>7778</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7774</v>
      </c>
      <c r="B89" s="265" t="s">
        <v>7759</v>
      </c>
      <c r="C89" s="138">
        <v>10</v>
      </c>
      <c r="D89" s="266" t="s">
        <v>8316</v>
      </c>
      <c r="E89" s="138">
        <v>10</v>
      </c>
      <c r="F89" s="266" t="s">
        <v>8319</v>
      </c>
      <c r="G89" s="138">
        <v>10</v>
      </c>
      <c r="H89" s="266" t="s">
        <v>8299</v>
      </c>
      <c r="I89" s="138">
        <v>10</v>
      </c>
      <c r="J89" s="266" t="s">
        <v>7770</v>
      </c>
      <c r="K89" s="138">
        <v>10</v>
      </c>
      <c r="L89" s="266" t="s">
        <v>7760</v>
      </c>
      <c r="M89" s="138">
        <v>10</v>
      </c>
      <c r="N89" s="266" t="s">
        <v>637</v>
      </c>
      <c r="O89" s="138">
        <v>10</v>
      </c>
      <c r="P89" s="266" t="s">
        <v>8324</v>
      </c>
      <c r="Q89" s="138">
        <v>10</v>
      </c>
      <c r="R89" s="266" t="s">
        <v>639</v>
      </c>
      <c r="S89" s="138">
        <v>10</v>
      </c>
    </row>
    <row r="90" spans="1:19" s="221" customFormat="1" outlineLevel="1" x14ac:dyDescent="0.3">
      <c r="A90" s="122" t="s">
        <v>7775</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7776</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7777</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7822</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7949</v>
      </c>
      <c r="E97" s="145"/>
      <c r="F97" s="146"/>
      <c r="G97" s="147" t="s">
        <v>768</v>
      </c>
      <c r="H97" s="145"/>
      <c r="I97" s="146"/>
      <c r="J97" s="147" t="s">
        <v>7824</v>
      </c>
      <c r="K97" s="145"/>
      <c r="L97" s="145"/>
      <c r="M97" s="145"/>
      <c r="N97" s="145"/>
      <c r="O97" s="145"/>
      <c r="P97" s="145"/>
      <c r="Q97" s="145"/>
      <c r="R97" s="145"/>
      <c r="S97" s="146"/>
    </row>
    <row r="98" spans="1:19" outlineLevel="1" x14ac:dyDescent="0.3">
      <c r="A98" s="151" t="s">
        <v>852</v>
      </c>
      <c r="B98" s="151" t="s">
        <v>855</v>
      </c>
      <c r="C98" s="150" t="s">
        <v>8</v>
      </c>
      <c r="D98" s="149" t="s">
        <v>18</v>
      </c>
      <c r="E98" s="149" t="s">
        <v>6869</v>
      </c>
      <c r="F98" s="150" t="s">
        <v>7950</v>
      </c>
      <c r="G98" s="149">
        <v>1</v>
      </c>
      <c r="H98" s="149">
        <v>2</v>
      </c>
      <c r="I98" s="150">
        <v>3</v>
      </c>
      <c r="J98" s="151" t="s">
        <v>7825</v>
      </c>
      <c r="K98" s="149" t="s">
        <v>7826</v>
      </c>
      <c r="L98" s="149" t="s">
        <v>7827</v>
      </c>
      <c r="M98" s="149" t="s">
        <v>7828</v>
      </c>
      <c r="N98" s="149" t="s">
        <v>7829</v>
      </c>
      <c r="O98" s="149" t="s">
        <v>7830</v>
      </c>
      <c r="P98" s="149" t="s">
        <v>7831</v>
      </c>
      <c r="Q98" s="149" t="s">
        <v>7832</v>
      </c>
      <c r="R98" s="149" t="s">
        <v>7833</v>
      </c>
      <c r="S98" s="150" t="s">
        <v>7834</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6760</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7798</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8520</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7468</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6869</v>
      </c>
      <c r="F114" s="149" t="s">
        <v>6870</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6918</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7823</v>
      </c>
    </row>
    <row r="124" spans="1:16" outlineLevel="1" x14ac:dyDescent="0.3">
      <c r="A124" s="143" t="s">
        <v>8016</v>
      </c>
      <c r="B124" s="143"/>
      <c r="C124" s="143"/>
      <c r="E124" s="183"/>
    </row>
    <row r="125" spans="1:16" outlineLevel="1" x14ac:dyDescent="0.3">
      <c r="A125" s="173" t="s">
        <v>8014</v>
      </c>
      <c r="B125" s="165" t="s">
        <v>782</v>
      </c>
      <c r="C125" s="166" t="s">
        <v>768</v>
      </c>
      <c r="D125" s="165" t="s">
        <v>6586</v>
      </c>
      <c r="E125" s="166" t="s">
        <v>768</v>
      </c>
      <c r="F125" s="165" t="s">
        <v>7090</v>
      </c>
      <c r="G125" s="166" t="s">
        <v>1766</v>
      </c>
      <c r="H125" s="165" t="s">
        <v>8015</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93"/>
  <sheetViews>
    <sheetView workbookViewId="0">
      <pane ySplit="1" topLeftCell="A2"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7411</v>
      </c>
      <c r="B1" s="10" t="s">
        <v>699</v>
      </c>
      <c r="C1" s="10" t="s">
        <v>8</v>
      </c>
      <c r="D1" s="10" t="s">
        <v>700</v>
      </c>
      <c r="E1" s="10" t="s">
        <v>7425</v>
      </c>
      <c r="F1" s="10" t="s">
        <v>7426</v>
      </c>
      <c r="H1" s="10" t="s">
        <v>7427</v>
      </c>
    </row>
    <row r="2" spans="1:8" x14ac:dyDescent="0.3">
      <c r="A2" t="s">
        <v>7412</v>
      </c>
      <c r="B2">
        <v>1</v>
      </c>
      <c r="C2" t="s">
        <v>8798</v>
      </c>
      <c r="D2" t="s">
        <v>8799</v>
      </c>
      <c r="H2" s="9" t="str">
        <f>IF(A2="Y",B2,"")</f>
        <v/>
      </c>
    </row>
    <row r="3" spans="1:8" x14ac:dyDescent="0.3">
      <c r="A3" t="s">
        <v>7412</v>
      </c>
      <c r="B3">
        <v>2</v>
      </c>
      <c r="C3" t="s">
        <v>7313</v>
      </c>
      <c r="D3" t="s">
        <v>7314</v>
      </c>
      <c r="H3" s="9" t="str">
        <f>IF(A3="N",H2,IF(H2="",B3,H2&amp;";"&amp;B3))</f>
        <v/>
      </c>
    </row>
    <row r="4" spans="1:8" x14ac:dyDescent="0.3">
      <c r="A4" t="s">
        <v>7412</v>
      </c>
      <c r="B4">
        <v>3</v>
      </c>
      <c r="C4" t="s">
        <v>7315</v>
      </c>
      <c r="D4" t="s">
        <v>7316</v>
      </c>
      <c r="H4" s="9" t="str">
        <f t="shared" ref="H4:H67" si="0">IF(A4="N",H3,IF(H3="",B4,H3&amp;";"&amp;B4))</f>
        <v/>
      </c>
    </row>
    <row r="5" spans="1:8" x14ac:dyDescent="0.3">
      <c r="A5" t="s">
        <v>7412</v>
      </c>
      <c r="B5">
        <v>4</v>
      </c>
      <c r="C5" t="s">
        <v>7317</v>
      </c>
      <c r="D5" t="s">
        <v>7318</v>
      </c>
      <c r="H5" s="9" t="str">
        <f t="shared" si="0"/>
        <v/>
      </c>
    </row>
    <row r="6" spans="1:8" x14ac:dyDescent="0.3">
      <c r="A6" t="s">
        <v>7412</v>
      </c>
      <c r="B6">
        <v>5</v>
      </c>
      <c r="C6" t="s">
        <v>7319</v>
      </c>
      <c r="D6" t="s">
        <v>7320</v>
      </c>
      <c r="H6" s="9" t="str">
        <f t="shared" si="0"/>
        <v/>
      </c>
    </row>
    <row r="7" spans="1:8" x14ac:dyDescent="0.3">
      <c r="A7" t="s">
        <v>7412</v>
      </c>
      <c r="B7">
        <v>6</v>
      </c>
      <c r="C7" t="s">
        <v>7321</v>
      </c>
      <c r="D7" t="s">
        <v>7322</v>
      </c>
      <c r="H7" s="9" t="str">
        <f t="shared" si="0"/>
        <v/>
      </c>
    </row>
    <row r="8" spans="1:8" x14ac:dyDescent="0.3">
      <c r="A8" t="s">
        <v>7412</v>
      </c>
      <c r="B8">
        <v>7</v>
      </c>
      <c r="C8" t="s">
        <v>7323</v>
      </c>
      <c r="D8" t="s">
        <v>7324</v>
      </c>
      <c r="H8" s="9" t="str">
        <f t="shared" si="0"/>
        <v/>
      </c>
    </row>
    <row r="9" spans="1:8" x14ac:dyDescent="0.3">
      <c r="A9" t="s">
        <v>7412</v>
      </c>
      <c r="B9">
        <v>8</v>
      </c>
      <c r="C9" t="s">
        <v>7325</v>
      </c>
      <c r="D9" t="s">
        <v>7326</v>
      </c>
      <c r="H9" s="9" t="str">
        <f t="shared" si="0"/>
        <v/>
      </c>
    </row>
    <row r="10" spans="1:8" x14ac:dyDescent="0.3">
      <c r="A10" t="s">
        <v>7412</v>
      </c>
      <c r="B10">
        <v>701</v>
      </c>
      <c r="C10" t="s">
        <v>7327</v>
      </c>
      <c r="D10" t="s">
        <v>7328</v>
      </c>
      <c r="H10" s="9" t="str">
        <f t="shared" si="0"/>
        <v/>
      </c>
    </row>
    <row r="11" spans="1:8" x14ac:dyDescent="0.3">
      <c r="A11" t="s">
        <v>7412</v>
      </c>
      <c r="B11">
        <v>702</v>
      </c>
      <c r="C11" t="s">
        <v>7329</v>
      </c>
      <c r="D11" t="s">
        <v>7330</v>
      </c>
      <c r="H11" s="9" t="str">
        <f t="shared" si="0"/>
        <v/>
      </c>
    </row>
    <row r="12" spans="1:8" x14ac:dyDescent="0.3">
      <c r="A12" t="s">
        <v>7412</v>
      </c>
      <c r="B12">
        <v>703</v>
      </c>
      <c r="C12" t="s">
        <v>7331</v>
      </c>
      <c r="D12" t="s">
        <v>7332</v>
      </c>
      <c r="H12" s="9" t="str">
        <f t="shared" si="0"/>
        <v/>
      </c>
    </row>
    <row r="13" spans="1:8" x14ac:dyDescent="0.3">
      <c r="A13" t="s">
        <v>7412</v>
      </c>
      <c r="B13">
        <v>704</v>
      </c>
      <c r="C13" t="s">
        <v>7333</v>
      </c>
      <c r="D13" t="s">
        <v>7334</v>
      </c>
      <c r="H13" s="9" t="str">
        <f t="shared" si="0"/>
        <v/>
      </c>
    </row>
    <row r="14" spans="1:8" x14ac:dyDescent="0.3">
      <c r="A14" t="s">
        <v>7412</v>
      </c>
      <c r="B14">
        <v>705</v>
      </c>
      <c r="C14" t="s">
        <v>7335</v>
      </c>
      <c r="D14" t="s">
        <v>7336</v>
      </c>
      <c r="H14" s="9" t="str">
        <f t="shared" si="0"/>
        <v/>
      </c>
    </row>
    <row r="15" spans="1:8" x14ac:dyDescent="0.3">
      <c r="A15" t="s">
        <v>7412</v>
      </c>
      <c r="B15">
        <v>706</v>
      </c>
      <c r="C15" t="s">
        <v>7337</v>
      </c>
      <c r="D15" t="s">
        <v>7338</v>
      </c>
      <c r="H15" s="9" t="str">
        <f t="shared" si="0"/>
        <v/>
      </c>
    </row>
    <row r="16" spans="1:8" x14ac:dyDescent="0.3">
      <c r="A16" t="s">
        <v>7412</v>
      </c>
      <c r="B16">
        <v>707</v>
      </c>
      <c r="C16" t="s">
        <v>7339</v>
      </c>
      <c r="D16" t="s">
        <v>7340</v>
      </c>
      <c r="H16" s="9" t="str">
        <f t="shared" si="0"/>
        <v/>
      </c>
    </row>
    <row r="17" spans="1:8" x14ac:dyDescent="0.3">
      <c r="A17" t="s">
        <v>7412</v>
      </c>
      <c r="B17">
        <v>708</v>
      </c>
      <c r="C17" t="s">
        <v>7341</v>
      </c>
      <c r="D17" t="s">
        <v>7342</v>
      </c>
      <c r="H17" s="9" t="str">
        <f t="shared" si="0"/>
        <v/>
      </c>
    </row>
    <row r="18" spans="1:8" x14ac:dyDescent="0.3">
      <c r="A18" t="s">
        <v>7412</v>
      </c>
      <c r="B18">
        <v>709</v>
      </c>
      <c r="C18" t="s">
        <v>7343</v>
      </c>
      <c r="D18" t="s">
        <v>7344</v>
      </c>
      <c r="H18" s="9" t="str">
        <f t="shared" si="0"/>
        <v/>
      </c>
    </row>
    <row r="19" spans="1:8" x14ac:dyDescent="0.3">
      <c r="A19" t="s">
        <v>7412</v>
      </c>
      <c r="B19">
        <v>710</v>
      </c>
      <c r="C19" t="s">
        <v>7345</v>
      </c>
      <c r="D19" t="s">
        <v>7346</v>
      </c>
      <c r="H19" s="9" t="str">
        <f t="shared" si="0"/>
        <v/>
      </c>
    </row>
    <row r="20" spans="1:8" x14ac:dyDescent="0.3">
      <c r="A20" t="s">
        <v>7412</v>
      </c>
      <c r="B20">
        <v>711</v>
      </c>
      <c r="C20" t="s">
        <v>7347</v>
      </c>
      <c r="D20" t="s">
        <v>7348</v>
      </c>
      <c r="H20" s="9" t="str">
        <f t="shared" si="0"/>
        <v/>
      </c>
    </row>
    <row r="21" spans="1:8" x14ac:dyDescent="0.3">
      <c r="A21" t="s">
        <v>7412</v>
      </c>
      <c r="B21">
        <v>712</v>
      </c>
      <c r="C21" t="s">
        <v>7349</v>
      </c>
      <c r="D21" t="s">
        <v>7350</v>
      </c>
      <c r="H21" s="9" t="str">
        <f t="shared" si="0"/>
        <v/>
      </c>
    </row>
    <row r="22" spans="1:8" x14ac:dyDescent="0.3">
      <c r="A22" t="s">
        <v>7412</v>
      </c>
      <c r="B22">
        <v>713</v>
      </c>
      <c r="C22" t="s">
        <v>7351</v>
      </c>
      <c r="D22" t="s">
        <v>7352</v>
      </c>
      <c r="H22" s="9" t="str">
        <f t="shared" si="0"/>
        <v/>
      </c>
    </row>
    <row r="23" spans="1:8" x14ac:dyDescent="0.3">
      <c r="A23" t="s">
        <v>7412</v>
      </c>
      <c r="B23">
        <v>714</v>
      </c>
      <c r="C23" t="s">
        <v>7353</v>
      </c>
      <c r="D23" t="s">
        <v>7354</v>
      </c>
      <c r="H23" s="9" t="str">
        <f t="shared" si="0"/>
        <v/>
      </c>
    </row>
    <row r="24" spans="1:8" x14ac:dyDescent="0.3">
      <c r="A24" t="s">
        <v>7412</v>
      </c>
      <c r="B24">
        <v>715</v>
      </c>
      <c r="C24" t="s">
        <v>7355</v>
      </c>
      <c r="D24" t="s">
        <v>7356</v>
      </c>
      <c r="H24" s="9" t="str">
        <f t="shared" si="0"/>
        <v/>
      </c>
    </row>
    <row r="25" spans="1:8" x14ac:dyDescent="0.3">
      <c r="A25" t="s">
        <v>7412</v>
      </c>
      <c r="B25">
        <v>716</v>
      </c>
      <c r="C25" t="s">
        <v>7357</v>
      </c>
      <c r="D25" t="s">
        <v>7358</v>
      </c>
      <c r="H25" s="9" t="str">
        <f t="shared" si="0"/>
        <v/>
      </c>
    </row>
    <row r="26" spans="1:8" x14ac:dyDescent="0.3">
      <c r="A26" t="s">
        <v>7412</v>
      </c>
      <c r="B26">
        <v>717</v>
      </c>
      <c r="C26" t="s">
        <v>7359</v>
      </c>
      <c r="D26" t="s">
        <v>7360</v>
      </c>
      <c r="H26" s="9" t="str">
        <f t="shared" si="0"/>
        <v/>
      </c>
    </row>
    <row r="27" spans="1:8" x14ac:dyDescent="0.3">
      <c r="A27" t="s">
        <v>7412</v>
      </c>
      <c r="B27">
        <v>718</v>
      </c>
      <c r="C27" t="s">
        <v>7361</v>
      </c>
      <c r="D27" t="s">
        <v>7362</v>
      </c>
      <c r="H27" s="9" t="str">
        <f t="shared" si="0"/>
        <v/>
      </c>
    </row>
    <row r="28" spans="1:8" x14ac:dyDescent="0.3">
      <c r="A28" t="s">
        <v>7412</v>
      </c>
      <c r="B28">
        <v>719</v>
      </c>
      <c r="C28" t="s">
        <v>7363</v>
      </c>
      <c r="D28" t="s">
        <v>7364</v>
      </c>
      <c r="H28" s="9" t="str">
        <f t="shared" si="0"/>
        <v/>
      </c>
    </row>
    <row r="29" spans="1:8" x14ac:dyDescent="0.3">
      <c r="A29" t="s">
        <v>7412</v>
      </c>
      <c r="B29">
        <v>720</v>
      </c>
      <c r="C29" t="s">
        <v>7365</v>
      </c>
      <c r="D29" t="s">
        <v>8800</v>
      </c>
      <c r="H29" s="9" t="str">
        <f t="shared" si="0"/>
        <v/>
      </c>
    </row>
    <row r="30" spans="1:8" x14ac:dyDescent="0.3">
      <c r="A30" t="s">
        <v>7412</v>
      </c>
      <c r="B30">
        <v>721</v>
      </c>
      <c r="C30" t="s">
        <v>7366</v>
      </c>
      <c r="D30" t="s">
        <v>7367</v>
      </c>
      <c r="H30" s="9" t="str">
        <f t="shared" si="0"/>
        <v/>
      </c>
    </row>
    <row r="31" spans="1:8" x14ac:dyDescent="0.3">
      <c r="A31" t="s">
        <v>7412</v>
      </c>
      <c r="B31">
        <v>722</v>
      </c>
      <c r="C31" t="s">
        <v>7368</v>
      </c>
      <c r="D31" t="s">
        <v>7369</v>
      </c>
      <c r="H31" s="9" t="str">
        <f t="shared" si="0"/>
        <v/>
      </c>
    </row>
    <row r="32" spans="1:8" x14ac:dyDescent="0.3">
      <c r="A32" t="s">
        <v>7412</v>
      </c>
      <c r="B32">
        <v>723</v>
      </c>
      <c r="C32" t="s">
        <v>7370</v>
      </c>
      <c r="D32" t="s">
        <v>7371</v>
      </c>
      <c r="H32" s="9" t="str">
        <f t="shared" si="0"/>
        <v/>
      </c>
    </row>
    <row r="33" spans="1:8" x14ac:dyDescent="0.3">
      <c r="A33" t="s">
        <v>7412</v>
      </c>
      <c r="B33">
        <v>724</v>
      </c>
      <c r="C33" t="s">
        <v>7372</v>
      </c>
      <c r="D33" t="s">
        <v>7373</v>
      </c>
      <c r="H33" s="9" t="str">
        <f t="shared" si="0"/>
        <v/>
      </c>
    </row>
    <row r="34" spans="1:8" x14ac:dyDescent="0.3">
      <c r="A34" t="s">
        <v>7412</v>
      </c>
      <c r="B34">
        <v>725</v>
      </c>
      <c r="C34" t="s">
        <v>7374</v>
      </c>
      <c r="D34" t="s">
        <v>7375</v>
      </c>
      <c r="H34" s="9" t="str">
        <f t="shared" si="0"/>
        <v/>
      </c>
    </row>
    <row r="35" spans="1:8" x14ac:dyDescent="0.3">
      <c r="A35" t="s">
        <v>7412</v>
      </c>
      <c r="B35">
        <v>726</v>
      </c>
      <c r="C35" t="s">
        <v>7376</v>
      </c>
      <c r="D35" t="s">
        <v>7377</v>
      </c>
      <c r="H35" s="9" t="str">
        <f t="shared" si="0"/>
        <v/>
      </c>
    </row>
    <row r="36" spans="1:8" x14ac:dyDescent="0.3">
      <c r="A36" t="s">
        <v>7412</v>
      </c>
      <c r="B36">
        <v>727</v>
      </c>
      <c r="C36" t="s">
        <v>7378</v>
      </c>
      <c r="D36" t="s">
        <v>7379</v>
      </c>
      <c r="H36" s="9" t="str">
        <f t="shared" si="0"/>
        <v/>
      </c>
    </row>
    <row r="37" spans="1:8" x14ac:dyDescent="0.3">
      <c r="A37" t="s">
        <v>7412</v>
      </c>
      <c r="B37">
        <v>728</v>
      </c>
      <c r="C37" t="s">
        <v>7380</v>
      </c>
      <c r="D37" t="s">
        <v>7381</v>
      </c>
      <c r="H37" s="9" t="str">
        <f t="shared" si="0"/>
        <v/>
      </c>
    </row>
    <row r="38" spans="1:8" x14ac:dyDescent="0.3">
      <c r="A38" t="s">
        <v>7412</v>
      </c>
      <c r="B38">
        <v>729</v>
      </c>
      <c r="C38" t="s">
        <v>7372</v>
      </c>
      <c r="D38" t="s">
        <v>7382</v>
      </c>
      <c r="H38" s="9" t="str">
        <f t="shared" si="0"/>
        <v/>
      </c>
    </row>
    <row r="39" spans="1:8" x14ac:dyDescent="0.3">
      <c r="A39" t="s">
        <v>7412</v>
      </c>
      <c r="B39">
        <v>730</v>
      </c>
      <c r="C39" t="s">
        <v>7383</v>
      </c>
      <c r="D39" t="s">
        <v>7384</v>
      </c>
      <c r="H39" s="9" t="str">
        <f t="shared" si="0"/>
        <v/>
      </c>
    </row>
    <row r="40" spans="1:8" x14ac:dyDescent="0.3">
      <c r="A40" t="s">
        <v>7412</v>
      </c>
      <c r="B40">
        <v>731</v>
      </c>
      <c r="C40" t="s">
        <v>7385</v>
      </c>
      <c r="D40" t="s">
        <v>7386</v>
      </c>
      <c r="H40" s="9" t="str">
        <f t="shared" si="0"/>
        <v/>
      </c>
    </row>
    <row r="41" spans="1:8" x14ac:dyDescent="0.3">
      <c r="A41" t="s">
        <v>7412</v>
      </c>
      <c r="B41">
        <v>732</v>
      </c>
      <c r="C41" t="s">
        <v>7387</v>
      </c>
      <c r="D41" t="s">
        <v>7388</v>
      </c>
      <c r="H41" s="9" t="str">
        <f t="shared" si="0"/>
        <v/>
      </c>
    </row>
    <row r="42" spans="1:8" x14ac:dyDescent="0.3">
      <c r="A42" t="s">
        <v>7412</v>
      </c>
      <c r="B42">
        <v>733</v>
      </c>
      <c r="C42" t="s">
        <v>7389</v>
      </c>
      <c r="D42" t="s">
        <v>7390</v>
      </c>
      <c r="H42" s="9" t="str">
        <f t="shared" si="0"/>
        <v/>
      </c>
    </row>
    <row r="43" spans="1:8" x14ac:dyDescent="0.3">
      <c r="A43" t="s">
        <v>7412</v>
      </c>
      <c r="B43">
        <v>734</v>
      </c>
      <c r="C43" t="s">
        <v>7391</v>
      </c>
      <c r="D43" t="s">
        <v>7392</v>
      </c>
      <c r="H43" s="9" t="str">
        <f t="shared" si="0"/>
        <v/>
      </c>
    </row>
    <row r="44" spans="1:8" x14ac:dyDescent="0.3">
      <c r="A44" t="s">
        <v>7412</v>
      </c>
      <c r="B44">
        <v>735</v>
      </c>
      <c r="C44" t="s">
        <v>7393</v>
      </c>
      <c r="D44" t="s">
        <v>7394</v>
      </c>
      <c r="H44" s="9" t="str">
        <f t="shared" si="0"/>
        <v/>
      </c>
    </row>
    <row r="45" spans="1:8" x14ac:dyDescent="0.3">
      <c r="A45" t="s">
        <v>7412</v>
      </c>
      <c r="B45">
        <v>736</v>
      </c>
      <c r="C45" t="s">
        <v>7395</v>
      </c>
      <c r="D45" t="s">
        <v>7396</v>
      </c>
      <c r="H45" s="9" t="str">
        <f t="shared" si="0"/>
        <v/>
      </c>
    </row>
    <row r="46" spans="1:8" x14ac:dyDescent="0.3">
      <c r="A46" t="s">
        <v>7412</v>
      </c>
      <c r="B46">
        <v>737</v>
      </c>
      <c r="C46" t="s">
        <v>7397</v>
      </c>
      <c r="D46" t="s">
        <v>7398</v>
      </c>
      <c r="H46" s="9" t="str">
        <f t="shared" si="0"/>
        <v/>
      </c>
    </row>
    <row r="47" spans="1:8" x14ac:dyDescent="0.3">
      <c r="A47" t="s">
        <v>7412</v>
      </c>
      <c r="B47">
        <v>738</v>
      </c>
      <c r="C47" t="s">
        <v>7399</v>
      </c>
      <c r="D47" t="s">
        <v>7400</v>
      </c>
      <c r="H47" s="9" t="str">
        <f t="shared" si="0"/>
        <v/>
      </c>
    </row>
    <row r="48" spans="1:8" x14ac:dyDescent="0.3">
      <c r="A48" t="s">
        <v>7412</v>
      </c>
      <c r="B48">
        <v>739</v>
      </c>
      <c r="C48" t="s">
        <v>7401</v>
      </c>
      <c r="D48" t="s">
        <v>8801</v>
      </c>
      <c r="H48" s="9" t="str">
        <f t="shared" si="0"/>
        <v/>
      </c>
    </row>
    <row r="49" spans="1:8" x14ac:dyDescent="0.3">
      <c r="A49" t="s">
        <v>7412</v>
      </c>
      <c r="B49">
        <v>740</v>
      </c>
      <c r="C49" t="s">
        <v>7402</v>
      </c>
      <c r="D49" t="s">
        <v>7403</v>
      </c>
      <c r="H49" s="9" t="str">
        <f t="shared" si="0"/>
        <v/>
      </c>
    </row>
    <row r="50" spans="1:8" x14ac:dyDescent="0.3">
      <c r="A50" t="s">
        <v>7412</v>
      </c>
      <c r="B50">
        <v>741</v>
      </c>
      <c r="C50" t="s">
        <v>7404</v>
      </c>
      <c r="D50" t="s">
        <v>7405</v>
      </c>
      <c r="H50" s="9" t="str">
        <f t="shared" si="0"/>
        <v/>
      </c>
    </row>
    <row r="51" spans="1:8" x14ac:dyDescent="0.3">
      <c r="A51" t="s">
        <v>7412</v>
      </c>
      <c r="B51">
        <v>742</v>
      </c>
      <c r="C51" t="s">
        <v>7406</v>
      </c>
      <c r="D51" t="s">
        <v>7407</v>
      </c>
      <c r="H51" s="9" t="str">
        <f t="shared" si="0"/>
        <v/>
      </c>
    </row>
    <row r="52" spans="1:8" x14ac:dyDescent="0.3">
      <c r="A52" t="s">
        <v>7412</v>
      </c>
      <c r="B52">
        <v>743</v>
      </c>
      <c r="C52" t="s">
        <v>7408</v>
      </c>
      <c r="D52" t="s">
        <v>7409</v>
      </c>
      <c r="H52" s="9" t="str">
        <f t="shared" si="0"/>
        <v/>
      </c>
    </row>
    <row r="53" spans="1:8" x14ac:dyDescent="0.3">
      <c r="A53" t="s">
        <v>7412</v>
      </c>
      <c r="B53">
        <v>901</v>
      </c>
      <c r="C53" t="s">
        <v>8802</v>
      </c>
      <c r="D53" t="s">
        <v>8803</v>
      </c>
      <c r="H53" s="9" t="str">
        <f t="shared" si="0"/>
        <v/>
      </c>
    </row>
    <row r="54" spans="1:8" x14ac:dyDescent="0.3">
      <c r="A54" t="s">
        <v>7412</v>
      </c>
      <c r="B54">
        <v>902</v>
      </c>
      <c r="C54" t="s">
        <v>8804</v>
      </c>
      <c r="D54" t="s">
        <v>8805</v>
      </c>
      <c r="H54" s="9" t="str">
        <f t="shared" si="0"/>
        <v/>
      </c>
    </row>
    <row r="55" spans="1:8" x14ac:dyDescent="0.3">
      <c r="A55" t="s">
        <v>7412</v>
      </c>
      <c r="B55">
        <v>903</v>
      </c>
      <c r="C55" t="s">
        <v>8806</v>
      </c>
      <c r="D55" t="s">
        <v>8807</v>
      </c>
      <c r="H55" s="9" t="str">
        <f t="shared" si="0"/>
        <v/>
      </c>
    </row>
    <row r="56" spans="1:8" x14ac:dyDescent="0.3">
      <c r="A56" t="s">
        <v>7412</v>
      </c>
      <c r="B56">
        <v>904</v>
      </c>
      <c r="C56" t="s">
        <v>8808</v>
      </c>
      <c r="D56" t="s">
        <v>8809</v>
      </c>
      <c r="H56" s="9" t="str">
        <f t="shared" si="0"/>
        <v/>
      </c>
    </row>
    <row r="57" spans="1:8" x14ac:dyDescent="0.3">
      <c r="A57" t="s">
        <v>7412</v>
      </c>
      <c r="B57">
        <v>905</v>
      </c>
      <c r="C57" t="s">
        <v>8810</v>
      </c>
      <c r="D57" t="s">
        <v>8811</v>
      </c>
      <c r="H57" s="9" t="str">
        <f t="shared" si="0"/>
        <v/>
      </c>
    </row>
    <row r="58" spans="1:8" x14ac:dyDescent="0.3">
      <c r="A58" t="s">
        <v>7412</v>
      </c>
      <c r="B58">
        <v>906</v>
      </c>
      <c r="C58" t="s">
        <v>8812</v>
      </c>
      <c r="D58" t="s">
        <v>8813</v>
      </c>
      <c r="H58" s="9" t="str">
        <f t="shared" si="0"/>
        <v/>
      </c>
    </row>
    <row r="59" spans="1:8" ht="28.8" x14ac:dyDescent="0.3">
      <c r="A59" t="s">
        <v>7412</v>
      </c>
      <c r="B59">
        <v>1101</v>
      </c>
      <c r="C59" t="s">
        <v>7361</v>
      </c>
      <c r="D59" s="216" t="s">
        <v>8814</v>
      </c>
      <c r="H59" s="9" t="str">
        <f t="shared" si="0"/>
        <v/>
      </c>
    </row>
    <row r="60" spans="1:8" ht="28.8" x14ac:dyDescent="0.3">
      <c r="A60" t="s">
        <v>7412</v>
      </c>
      <c r="B60">
        <v>1102</v>
      </c>
      <c r="C60" t="s">
        <v>7333</v>
      </c>
      <c r="D60" s="216" t="s">
        <v>8815</v>
      </c>
      <c r="H60" s="9" t="str">
        <f t="shared" si="0"/>
        <v/>
      </c>
    </row>
    <row r="61" spans="1:8" ht="28.8" x14ac:dyDescent="0.3">
      <c r="A61" t="s">
        <v>7412</v>
      </c>
      <c r="B61">
        <v>1103</v>
      </c>
      <c r="C61" t="s">
        <v>7359</v>
      </c>
      <c r="D61" s="216" t="s">
        <v>8816</v>
      </c>
      <c r="H61" s="9" t="str">
        <f t="shared" si="0"/>
        <v/>
      </c>
    </row>
    <row r="62" spans="1:8" ht="28.8" x14ac:dyDescent="0.3">
      <c r="A62" t="s">
        <v>7412</v>
      </c>
      <c r="B62">
        <v>1104</v>
      </c>
      <c r="C62" t="s">
        <v>7372</v>
      </c>
      <c r="D62" s="216" t="s">
        <v>8817</v>
      </c>
      <c r="H62" s="9" t="str">
        <f t="shared" si="0"/>
        <v/>
      </c>
    </row>
    <row r="63" spans="1:8" ht="28.8" x14ac:dyDescent="0.3">
      <c r="A63" t="s">
        <v>7412</v>
      </c>
      <c r="B63">
        <v>1105</v>
      </c>
      <c r="C63" t="s">
        <v>7374</v>
      </c>
      <c r="D63" s="216" t="s">
        <v>8818</v>
      </c>
      <c r="H63" s="9" t="str">
        <f t="shared" si="0"/>
        <v/>
      </c>
    </row>
    <row r="64" spans="1:8" ht="28.8" x14ac:dyDescent="0.3">
      <c r="A64" t="s">
        <v>7412</v>
      </c>
      <c r="B64">
        <v>1106</v>
      </c>
      <c r="C64" t="s">
        <v>7335</v>
      </c>
      <c r="D64" s="216" t="s">
        <v>8819</v>
      </c>
      <c r="H64" s="9" t="str">
        <f t="shared" si="0"/>
        <v/>
      </c>
    </row>
    <row r="65" spans="1:8" ht="28.8" x14ac:dyDescent="0.3">
      <c r="A65" t="s">
        <v>7412</v>
      </c>
      <c r="B65">
        <v>1107</v>
      </c>
      <c r="C65" t="s">
        <v>7331</v>
      </c>
      <c r="D65" s="216" t="s">
        <v>8820</v>
      </c>
      <c r="H65" s="9" t="str">
        <f t="shared" si="0"/>
        <v/>
      </c>
    </row>
    <row r="66" spans="1:8" ht="28.8" x14ac:dyDescent="0.3">
      <c r="A66" t="s">
        <v>7412</v>
      </c>
      <c r="B66">
        <v>1108</v>
      </c>
      <c r="C66" t="s">
        <v>7355</v>
      </c>
      <c r="D66" s="216" t="s">
        <v>8821</v>
      </c>
      <c r="H66" s="9" t="str">
        <f t="shared" si="0"/>
        <v/>
      </c>
    </row>
    <row r="67" spans="1:8" ht="28.8" x14ac:dyDescent="0.3">
      <c r="A67" t="s">
        <v>7412</v>
      </c>
      <c r="B67">
        <v>1109</v>
      </c>
      <c r="C67" t="s">
        <v>7397</v>
      </c>
      <c r="D67" s="216" t="s">
        <v>8822</v>
      </c>
      <c r="H67" s="9" t="str">
        <f t="shared" si="0"/>
        <v/>
      </c>
    </row>
    <row r="68" spans="1:8" x14ac:dyDescent="0.3">
      <c r="A68" t="s">
        <v>7412</v>
      </c>
      <c r="B68">
        <v>230901</v>
      </c>
      <c r="C68" t="s">
        <v>8823</v>
      </c>
      <c r="D68" t="s">
        <v>8824</v>
      </c>
      <c r="H68" s="9" t="str">
        <f t="shared" ref="H68:H131" si="1">IF(A68="N",H67,IF(H67="",B68,H67&amp;";"&amp;B68))</f>
        <v/>
      </c>
    </row>
    <row r="69" spans="1:8" x14ac:dyDescent="0.3">
      <c r="A69" t="s">
        <v>7412</v>
      </c>
      <c r="B69">
        <v>230902</v>
      </c>
      <c r="C69" t="s">
        <v>8825</v>
      </c>
      <c r="D69" t="s">
        <v>8826</v>
      </c>
      <c r="H69" s="9" t="str">
        <f t="shared" si="1"/>
        <v/>
      </c>
    </row>
    <row r="70" spans="1:8" x14ac:dyDescent="0.3">
      <c r="A70" t="s">
        <v>7412</v>
      </c>
      <c r="B70">
        <v>230903</v>
      </c>
      <c r="C70" t="s">
        <v>8827</v>
      </c>
      <c r="D70" t="s">
        <v>8828</v>
      </c>
      <c r="H70" s="9" t="str">
        <f t="shared" si="1"/>
        <v/>
      </c>
    </row>
    <row r="71" spans="1:8" x14ac:dyDescent="0.3">
      <c r="A71" t="s">
        <v>7412</v>
      </c>
      <c r="B71">
        <v>1133001</v>
      </c>
      <c r="C71" t="s">
        <v>8829</v>
      </c>
      <c r="D71" t="s">
        <v>8830</v>
      </c>
      <c r="H71" s="9" t="str">
        <f t="shared" si="1"/>
        <v/>
      </c>
    </row>
    <row r="72" spans="1:8" x14ac:dyDescent="0.3">
      <c r="A72" t="s">
        <v>7412</v>
      </c>
      <c r="B72">
        <v>1133002</v>
      </c>
      <c r="C72" t="s">
        <v>8831</v>
      </c>
      <c r="D72" t="s">
        <v>8832</v>
      </c>
      <c r="H72" s="9" t="str">
        <f t="shared" si="1"/>
        <v/>
      </c>
    </row>
    <row r="73" spans="1:8" x14ac:dyDescent="0.3">
      <c r="A73" t="s">
        <v>7412</v>
      </c>
      <c r="B73">
        <v>1133003</v>
      </c>
      <c r="C73" t="s">
        <v>8833</v>
      </c>
      <c r="D73" t="s">
        <v>8834</v>
      </c>
      <c r="H73" s="9" t="str">
        <f t="shared" si="1"/>
        <v/>
      </c>
    </row>
    <row r="74" spans="1:8" x14ac:dyDescent="0.3">
      <c r="A74" t="s">
        <v>7412</v>
      </c>
      <c r="B74">
        <v>1133004</v>
      </c>
      <c r="C74" t="s">
        <v>8835</v>
      </c>
      <c r="D74" t="s">
        <v>8836</v>
      </c>
      <c r="H74" s="9" t="str">
        <f t="shared" si="1"/>
        <v/>
      </c>
    </row>
    <row r="75" spans="1:8" x14ac:dyDescent="0.3">
      <c r="A75" t="s">
        <v>7412</v>
      </c>
      <c r="B75">
        <v>1133005</v>
      </c>
      <c r="C75" t="s">
        <v>8837</v>
      </c>
      <c r="D75" t="s">
        <v>8838</v>
      </c>
      <c r="H75" s="9" t="str">
        <f t="shared" si="1"/>
        <v/>
      </c>
    </row>
    <row r="76" spans="1:8" x14ac:dyDescent="0.3">
      <c r="A76" t="s">
        <v>7412</v>
      </c>
      <c r="B76">
        <v>1133006</v>
      </c>
      <c r="C76" t="s">
        <v>8839</v>
      </c>
      <c r="D76" t="s">
        <v>8840</v>
      </c>
      <c r="H76" s="9" t="str">
        <f t="shared" si="1"/>
        <v/>
      </c>
    </row>
    <row r="77" spans="1:8" x14ac:dyDescent="0.3">
      <c r="A77" t="s">
        <v>7412</v>
      </c>
      <c r="B77">
        <v>1133007</v>
      </c>
      <c r="C77" t="s">
        <v>8841</v>
      </c>
      <c r="D77" t="s">
        <v>8842</v>
      </c>
      <c r="H77" s="9" t="str">
        <f t="shared" si="1"/>
        <v/>
      </c>
    </row>
    <row r="78" spans="1:8" x14ac:dyDescent="0.3">
      <c r="A78" t="s">
        <v>7412</v>
      </c>
      <c r="B78">
        <v>1133008</v>
      </c>
      <c r="C78" t="s">
        <v>8843</v>
      </c>
      <c r="D78" t="s">
        <v>8844</v>
      </c>
      <c r="H78" s="9" t="str">
        <f t="shared" si="1"/>
        <v/>
      </c>
    </row>
    <row r="79" spans="1:8" x14ac:dyDescent="0.3">
      <c r="A79" t="s">
        <v>7412</v>
      </c>
      <c r="B79">
        <v>1133009</v>
      </c>
      <c r="C79" t="s">
        <v>8845</v>
      </c>
      <c r="D79" t="s">
        <v>8846</v>
      </c>
      <c r="H79" s="9" t="str">
        <f t="shared" si="1"/>
        <v/>
      </c>
    </row>
    <row r="80" spans="1:8" x14ac:dyDescent="0.3">
      <c r="A80" t="s">
        <v>7412</v>
      </c>
      <c r="B80">
        <v>1133010</v>
      </c>
      <c r="C80" t="s">
        <v>8847</v>
      </c>
      <c r="D80" t="s">
        <v>8848</v>
      </c>
      <c r="H80" s="9" t="str">
        <f t="shared" si="1"/>
        <v/>
      </c>
    </row>
    <row r="81" spans="1:8" x14ac:dyDescent="0.3">
      <c r="A81" t="s">
        <v>7412</v>
      </c>
      <c r="B81">
        <v>1133011</v>
      </c>
      <c r="C81" t="s">
        <v>8849</v>
      </c>
      <c r="D81" t="s">
        <v>8850</v>
      </c>
      <c r="H81" s="9" t="str">
        <f t="shared" si="1"/>
        <v/>
      </c>
    </row>
    <row r="82" spans="1:8" x14ac:dyDescent="0.3">
      <c r="A82" t="s">
        <v>7412</v>
      </c>
      <c r="B82">
        <v>1133012</v>
      </c>
      <c r="C82" t="s">
        <v>7413</v>
      </c>
      <c r="D82" t="s">
        <v>8851</v>
      </c>
      <c r="H82" s="9" t="str">
        <f t="shared" si="1"/>
        <v/>
      </c>
    </row>
    <row r="83" spans="1:8" x14ac:dyDescent="0.3">
      <c r="A83" t="s">
        <v>7412</v>
      </c>
      <c r="B83">
        <v>1133013</v>
      </c>
      <c r="C83" t="s">
        <v>8852</v>
      </c>
      <c r="D83" t="s">
        <v>8853</v>
      </c>
      <c r="H83" s="9" t="str">
        <f t="shared" si="1"/>
        <v/>
      </c>
    </row>
    <row r="84" spans="1:8" x14ac:dyDescent="0.3">
      <c r="A84" t="s">
        <v>7412</v>
      </c>
      <c r="B84">
        <v>1133014</v>
      </c>
      <c r="C84" t="s">
        <v>8854</v>
      </c>
      <c r="D84" t="s">
        <v>8855</v>
      </c>
      <c r="H84" s="9" t="str">
        <f t="shared" si="1"/>
        <v/>
      </c>
    </row>
    <row r="85" spans="1:8" x14ac:dyDescent="0.3">
      <c r="A85" t="s">
        <v>7412</v>
      </c>
      <c r="B85">
        <v>1133015</v>
      </c>
      <c r="C85" t="s">
        <v>8856</v>
      </c>
      <c r="D85" t="s">
        <v>8857</v>
      </c>
      <c r="H85" s="9" t="str">
        <f t="shared" si="1"/>
        <v/>
      </c>
    </row>
    <row r="86" spans="1:8" x14ac:dyDescent="0.3">
      <c r="A86" t="s">
        <v>7412</v>
      </c>
      <c r="B86">
        <v>1133016</v>
      </c>
      <c r="C86" t="s">
        <v>8858</v>
      </c>
      <c r="D86" t="s">
        <v>8859</v>
      </c>
      <c r="H86" s="9" t="str">
        <f t="shared" si="1"/>
        <v/>
      </c>
    </row>
    <row r="87" spans="1:8" x14ac:dyDescent="0.3">
      <c r="A87" t="s">
        <v>7412</v>
      </c>
      <c r="B87">
        <v>1133017</v>
      </c>
      <c r="C87" t="s">
        <v>8860</v>
      </c>
      <c r="D87" t="s">
        <v>8861</v>
      </c>
      <c r="H87" s="9" t="str">
        <f t="shared" si="1"/>
        <v/>
      </c>
    </row>
    <row r="88" spans="1:8" x14ac:dyDescent="0.3">
      <c r="A88" t="s">
        <v>7412</v>
      </c>
      <c r="B88">
        <v>1133018</v>
      </c>
      <c r="C88" t="s">
        <v>8862</v>
      </c>
      <c r="D88" t="s">
        <v>8863</v>
      </c>
      <c r="H88" s="9" t="str">
        <f t="shared" si="1"/>
        <v/>
      </c>
    </row>
    <row r="89" spans="1:8" x14ac:dyDescent="0.3">
      <c r="A89" t="s">
        <v>7412</v>
      </c>
      <c r="B89">
        <v>1133019</v>
      </c>
      <c r="C89" t="s">
        <v>8864</v>
      </c>
      <c r="D89" t="s">
        <v>8865</v>
      </c>
      <c r="H89" s="9" t="str">
        <f t="shared" si="1"/>
        <v/>
      </c>
    </row>
    <row r="90" spans="1:8" x14ac:dyDescent="0.3">
      <c r="A90" t="s">
        <v>7412</v>
      </c>
      <c r="B90">
        <v>1133020</v>
      </c>
      <c r="C90" t="s">
        <v>8866</v>
      </c>
      <c r="D90" t="s">
        <v>8867</v>
      </c>
      <c r="H90" s="9" t="str">
        <f t="shared" si="1"/>
        <v/>
      </c>
    </row>
    <row r="91" spans="1:8" x14ac:dyDescent="0.3">
      <c r="A91" t="s">
        <v>7412</v>
      </c>
      <c r="B91">
        <v>1133021</v>
      </c>
      <c r="C91" t="s">
        <v>8868</v>
      </c>
      <c r="D91" t="s">
        <v>8869</v>
      </c>
      <c r="H91" s="9" t="str">
        <f t="shared" si="1"/>
        <v/>
      </c>
    </row>
    <row r="92" spans="1:8" x14ac:dyDescent="0.3">
      <c r="A92" t="s">
        <v>7412</v>
      </c>
      <c r="B92">
        <v>1133022</v>
      </c>
      <c r="C92" t="s">
        <v>8870</v>
      </c>
      <c r="D92" t="s">
        <v>8871</v>
      </c>
      <c r="H92" s="9" t="str">
        <f t="shared" si="1"/>
        <v/>
      </c>
    </row>
    <row r="93" spans="1:8" x14ac:dyDescent="0.3">
      <c r="A93" t="s">
        <v>7412</v>
      </c>
      <c r="B93">
        <v>1133023</v>
      </c>
      <c r="C93" t="s">
        <v>7414</v>
      </c>
      <c r="D93" t="s">
        <v>8872</v>
      </c>
      <c r="H93" s="9" t="str">
        <f t="shared" si="1"/>
        <v/>
      </c>
    </row>
    <row r="94" spans="1:8" x14ac:dyDescent="0.3">
      <c r="A94" t="s">
        <v>7412</v>
      </c>
      <c r="B94">
        <v>1133024</v>
      </c>
      <c r="C94" t="s">
        <v>8873</v>
      </c>
      <c r="D94" t="s">
        <v>8874</v>
      </c>
      <c r="H94" s="9" t="str">
        <f t="shared" si="1"/>
        <v/>
      </c>
    </row>
    <row r="95" spans="1:8" x14ac:dyDescent="0.3">
      <c r="A95" t="s">
        <v>7412</v>
      </c>
      <c r="B95">
        <v>1133025</v>
      </c>
      <c r="C95" t="s">
        <v>8875</v>
      </c>
      <c r="D95" t="s">
        <v>8876</v>
      </c>
      <c r="H95" s="9" t="str">
        <f t="shared" si="1"/>
        <v/>
      </c>
    </row>
    <row r="96" spans="1:8" x14ac:dyDescent="0.3">
      <c r="A96" t="s">
        <v>7412</v>
      </c>
      <c r="B96">
        <v>1133026</v>
      </c>
      <c r="C96" t="s">
        <v>8877</v>
      </c>
      <c r="D96" t="s">
        <v>8878</v>
      </c>
      <c r="H96" s="9" t="str">
        <f t="shared" si="1"/>
        <v/>
      </c>
    </row>
    <row r="97" spans="1:8" x14ac:dyDescent="0.3">
      <c r="A97" t="s">
        <v>7412</v>
      </c>
      <c r="B97">
        <v>1133027</v>
      </c>
      <c r="C97" t="s">
        <v>8879</v>
      </c>
      <c r="D97" t="s">
        <v>8880</v>
      </c>
      <c r="H97" s="9" t="str">
        <f t="shared" si="1"/>
        <v/>
      </c>
    </row>
    <row r="98" spans="1:8" x14ac:dyDescent="0.3">
      <c r="A98" t="s">
        <v>7412</v>
      </c>
      <c r="B98">
        <v>1133028</v>
      </c>
      <c r="C98" t="s">
        <v>8881</v>
      </c>
      <c r="D98" t="s">
        <v>8882</v>
      </c>
      <c r="H98" s="9" t="str">
        <f t="shared" si="1"/>
        <v/>
      </c>
    </row>
    <row r="99" spans="1:8" x14ac:dyDescent="0.3">
      <c r="A99" t="s">
        <v>7412</v>
      </c>
      <c r="B99">
        <v>1133029</v>
      </c>
      <c r="C99" t="s">
        <v>8883</v>
      </c>
      <c r="D99" t="s">
        <v>8884</v>
      </c>
      <c r="H99" s="9" t="str">
        <f t="shared" si="1"/>
        <v/>
      </c>
    </row>
    <row r="100" spans="1:8" x14ac:dyDescent="0.3">
      <c r="A100" t="s">
        <v>7412</v>
      </c>
      <c r="B100">
        <v>1133030</v>
      </c>
      <c r="C100" t="s">
        <v>8885</v>
      </c>
      <c r="D100" t="s">
        <v>8886</v>
      </c>
      <c r="H100" s="9" t="str">
        <f t="shared" si="1"/>
        <v/>
      </c>
    </row>
    <row r="101" spans="1:8" x14ac:dyDescent="0.3">
      <c r="A101" t="s">
        <v>7412</v>
      </c>
      <c r="B101">
        <v>1133031</v>
      </c>
      <c r="C101" t="s">
        <v>8887</v>
      </c>
      <c r="D101" t="s">
        <v>8888</v>
      </c>
      <c r="H101" s="9" t="str">
        <f t="shared" si="1"/>
        <v/>
      </c>
    </row>
    <row r="102" spans="1:8" x14ac:dyDescent="0.3">
      <c r="A102" t="s">
        <v>7412</v>
      </c>
      <c r="B102">
        <v>1133032</v>
      </c>
      <c r="C102" t="s">
        <v>7415</v>
      </c>
      <c r="D102" t="s">
        <v>8889</v>
      </c>
      <c r="H102" s="9" t="str">
        <f t="shared" si="1"/>
        <v/>
      </c>
    </row>
    <row r="103" spans="1:8" x14ac:dyDescent="0.3">
      <c r="A103" t="s">
        <v>7412</v>
      </c>
      <c r="B103">
        <v>1133033</v>
      </c>
      <c r="C103" t="s">
        <v>8890</v>
      </c>
      <c r="D103" t="s">
        <v>8891</v>
      </c>
      <c r="H103" s="9" t="str">
        <f t="shared" si="1"/>
        <v/>
      </c>
    </row>
    <row r="104" spans="1:8" x14ac:dyDescent="0.3">
      <c r="A104" t="s">
        <v>7412</v>
      </c>
      <c r="B104">
        <v>1133034</v>
      </c>
      <c r="C104" t="s">
        <v>866</v>
      </c>
      <c r="D104" t="s">
        <v>8892</v>
      </c>
      <c r="H104" s="9" t="str">
        <f t="shared" si="1"/>
        <v/>
      </c>
    </row>
    <row r="105" spans="1:8" x14ac:dyDescent="0.3">
      <c r="A105" t="s">
        <v>7412</v>
      </c>
      <c r="B105">
        <v>1133035</v>
      </c>
      <c r="C105" t="s">
        <v>8893</v>
      </c>
      <c r="D105" t="s">
        <v>8894</v>
      </c>
      <c r="H105" s="9" t="str">
        <f t="shared" si="1"/>
        <v/>
      </c>
    </row>
    <row r="106" spans="1:8" x14ac:dyDescent="0.3">
      <c r="A106" t="s">
        <v>7412</v>
      </c>
      <c r="B106">
        <v>1133036</v>
      </c>
      <c r="C106" t="s">
        <v>8895</v>
      </c>
      <c r="D106" t="s">
        <v>8896</v>
      </c>
      <c r="H106" s="9" t="str">
        <f t="shared" si="1"/>
        <v/>
      </c>
    </row>
    <row r="107" spans="1:8" x14ac:dyDescent="0.3">
      <c r="A107" t="s">
        <v>7412</v>
      </c>
      <c r="B107">
        <v>1133037</v>
      </c>
      <c r="C107" t="s">
        <v>8897</v>
      </c>
      <c r="D107" t="s">
        <v>8898</v>
      </c>
      <c r="H107" s="9" t="str">
        <f t="shared" si="1"/>
        <v/>
      </c>
    </row>
    <row r="108" spans="1:8" x14ac:dyDescent="0.3">
      <c r="A108" t="s">
        <v>7412</v>
      </c>
      <c r="B108">
        <v>1133038</v>
      </c>
      <c r="C108" t="s">
        <v>8899</v>
      </c>
      <c r="D108" t="s">
        <v>8900</v>
      </c>
      <c r="H108" s="9" t="str">
        <f t="shared" si="1"/>
        <v/>
      </c>
    </row>
    <row r="109" spans="1:8" x14ac:dyDescent="0.3">
      <c r="A109" t="s">
        <v>7412</v>
      </c>
      <c r="B109">
        <v>1133039</v>
      </c>
      <c r="C109" t="s">
        <v>8901</v>
      </c>
      <c r="D109" t="s">
        <v>8902</v>
      </c>
      <c r="H109" s="9" t="str">
        <f t="shared" si="1"/>
        <v/>
      </c>
    </row>
    <row r="110" spans="1:8" x14ac:dyDescent="0.3">
      <c r="A110" t="s">
        <v>7412</v>
      </c>
      <c r="B110">
        <v>1133040</v>
      </c>
      <c r="C110" t="s">
        <v>8903</v>
      </c>
      <c r="D110" t="s">
        <v>8904</v>
      </c>
      <c r="H110" s="9" t="str">
        <f t="shared" si="1"/>
        <v/>
      </c>
    </row>
    <row r="111" spans="1:8" x14ac:dyDescent="0.3">
      <c r="A111" t="s">
        <v>7412</v>
      </c>
      <c r="B111">
        <v>1133041</v>
      </c>
      <c r="C111" t="s">
        <v>8905</v>
      </c>
      <c r="D111" t="s">
        <v>8906</v>
      </c>
      <c r="H111" s="9" t="str">
        <f t="shared" si="1"/>
        <v/>
      </c>
    </row>
    <row r="112" spans="1:8" x14ac:dyDescent="0.3">
      <c r="A112" t="s">
        <v>7412</v>
      </c>
      <c r="B112">
        <v>1133042</v>
      </c>
      <c r="C112" t="s">
        <v>8907</v>
      </c>
      <c r="D112" t="s">
        <v>8908</v>
      </c>
      <c r="H112" s="9" t="str">
        <f t="shared" si="1"/>
        <v/>
      </c>
    </row>
    <row r="113" spans="1:8" x14ac:dyDescent="0.3">
      <c r="A113" t="s">
        <v>7412</v>
      </c>
      <c r="B113">
        <v>1133043</v>
      </c>
      <c r="C113" t="s">
        <v>8909</v>
      </c>
      <c r="D113" t="s">
        <v>8910</v>
      </c>
      <c r="H113" s="9" t="str">
        <f t="shared" si="1"/>
        <v/>
      </c>
    </row>
    <row r="114" spans="1:8" x14ac:dyDescent="0.3">
      <c r="A114" t="s">
        <v>7412</v>
      </c>
      <c r="B114">
        <v>1133044</v>
      </c>
      <c r="C114" t="s">
        <v>8911</v>
      </c>
      <c r="D114" t="s">
        <v>8912</v>
      </c>
      <c r="H114" s="9" t="str">
        <f t="shared" si="1"/>
        <v/>
      </c>
    </row>
    <row r="115" spans="1:8" x14ac:dyDescent="0.3">
      <c r="A115" t="s">
        <v>7412</v>
      </c>
      <c r="B115">
        <v>1133045</v>
      </c>
      <c r="C115" t="s">
        <v>8913</v>
      </c>
      <c r="D115" t="s">
        <v>8914</v>
      </c>
      <c r="H115" s="9" t="str">
        <f t="shared" si="1"/>
        <v/>
      </c>
    </row>
    <row r="116" spans="1:8" x14ac:dyDescent="0.3">
      <c r="A116" t="s">
        <v>7412</v>
      </c>
      <c r="B116">
        <v>1133046</v>
      </c>
      <c r="C116" t="s">
        <v>8915</v>
      </c>
      <c r="D116" t="s">
        <v>8916</v>
      </c>
      <c r="H116" s="9" t="str">
        <f t="shared" si="1"/>
        <v/>
      </c>
    </row>
    <row r="117" spans="1:8" x14ac:dyDescent="0.3">
      <c r="A117" t="s">
        <v>7412</v>
      </c>
      <c r="B117">
        <v>1133047</v>
      </c>
      <c r="C117" t="s">
        <v>8917</v>
      </c>
      <c r="D117" t="s">
        <v>8918</v>
      </c>
      <c r="H117" s="9" t="str">
        <f t="shared" si="1"/>
        <v/>
      </c>
    </row>
    <row r="118" spans="1:8" x14ac:dyDescent="0.3">
      <c r="A118" t="s">
        <v>7412</v>
      </c>
      <c r="B118">
        <v>1133048</v>
      </c>
      <c r="C118" t="s">
        <v>8919</v>
      </c>
      <c r="D118" t="s">
        <v>8920</v>
      </c>
      <c r="H118" s="9" t="str">
        <f t="shared" si="1"/>
        <v/>
      </c>
    </row>
    <row r="119" spans="1:8" x14ac:dyDescent="0.3">
      <c r="A119" t="s">
        <v>7412</v>
      </c>
      <c r="B119">
        <v>1133049</v>
      </c>
      <c r="C119" t="s">
        <v>8921</v>
      </c>
      <c r="D119" t="s">
        <v>8922</v>
      </c>
      <c r="H119" s="9" t="str">
        <f t="shared" si="1"/>
        <v/>
      </c>
    </row>
    <row r="120" spans="1:8" x14ac:dyDescent="0.3">
      <c r="A120" t="s">
        <v>7412</v>
      </c>
      <c r="B120">
        <v>1133050</v>
      </c>
      <c r="C120" t="s">
        <v>8923</v>
      </c>
      <c r="D120" t="s">
        <v>8924</v>
      </c>
      <c r="H120" s="9" t="str">
        <f t="shared" si="1"/>
        <v/>
      </c>
    </row>
    <row r="121" spans="1:8" x14ac:dyDescent="0.3">
      <c r="A121" t="s">
        <v>7412</v>
      </c>
      <c r="B121">
        <v>1133051</v>
      </c>
      <c r="C121" t="s">
        <v>8925</v>
      </c>
      <c r="D121" t="s">
        <v>8926</v>
      </c>
      <c r="H121" s="9" t="str">
        <f t="shared" si="1"/>
        <v/>
      </c>
    </row>
    <row r="122" spans="1:8" x14ac:dyDescent="0.3">
      <c r="A122" t="s">
        <v>7412</v>
      </c>
      <c r="B122">
        <v>1133052</v>
      </c>
      <c r="C122" t="s">
        <v>8927</v>
      </c>
      <c r="D122" t="s">
        <v>8928</v>
      </c>
      <c r="H122" s="9" t="str">
        <f t="shared" si="1"/>
        <v/>
      </c>
    </row>
    <row r="123" spans="1:8" x14ac:dyDescent="0.3">
      <c r="A123" t="s">
        <v>7412</v>
      </c>
      <c r="B123">
        <v>1133053</v>
      </c>
      <c r="C123" t="s">
        <v>8929</v>
      </c>
      <c r="D123" t="s">
        <v>8930</v>
      </c>
      <c r="H123" s="9" t="str">
        <f t="shared" si="1"/>
        <v/>
      </c>
    </row>
    <row r="124" spans="1:8" x14ac:dyDescent="0.3">
      <c r="A124" t="s">
        <v>7412</v>
      </c>
      <c r="B124">
        <v>1133054</v>
      </c>
      <c r="C124" t="s">
        <v>7417</v>
      </c>
      <c r="D124" t="s">
        <v>8931</v>
      </c>
      <c r="H124" s="9" t="str">
        <f t="shared" si="1"/>
        <v/>
      </c>
    </row>
    <row r="125" spans="1:8" x14ac:dyDescent="0.3">
      <c r="A125" t="s">
        <v>7412</v>
      </c>
      <c r="B125">
        <v>1133055</v>
      </c>
      <c r="C125" t="s">
        <v>8932</v>
      </c>
      <c r="D125" t="s">
        <v>8933</v>
      </c>
      <c r="H125" s="9" t="str">
        <f t="shared" si="1"/>
        <v/>
      </c>
    </row>
    <row r="126" spans="1:8" x14ac:dyDescent="0.3">
      <c r="A126" t="s">
        <v>7412</v>
      </c>
      <c r="B126">
        <v>1133056</v>
      </c>
      <c r="C126" t="s">
        <v>8934</v>
      </c>
      <c r="D126" t="s">
        <v>8935</v>
      </c>
      <c r="H126" s="9" t="str">
        <f t="shared" si="1"/>
        <v/>
      </c>
    </row>
    <row r="127" spans="1:8" x14ac:dyDescent="0.3">
      <c r="A127" t="s">
        <v>7412</v>
      </c>
      <c r="B127">
        <v>1133057</v>
      </c>
      <c r="C127" t="s">
        <v>8936</v>
      </c>
      <c r="D127" t="s">
        <v>8937</v>
      </c>
      <c r="H127" s="9" t="str">
        <f t="shared" si="1"/>
        <v/>
      </c>
    </row>
    <row r="128" spans="1:8" x14ac:dyDescent="0.3">
      <c r="A128" t="s">
        <v>7412</v>
      </c>
      <c r="B128">
        <v>1133058</v>
      </c>
      <c r="C128" t="s">
        <v>8938</v>
      </c>
      <c r="D128" t="s">
        <v>8939</v>
      </c>
      <c r="H128" s="9" t="str">
        <f t="shared" si="1"/>
        <v/>
      </c>
    </row>
    <row r="129" spans="1:8" x14ac:dyDescent="0.3">
      <c r="A129" t="s">
        <v>7412</v>
      </c>
      <c r="B129">
        <v>1133059</v>
      </c>
      <c r="C129" t="s">
        <v>8940</v>
      </c>
      <c r="D129" t="s">
        <v>8941</v>
      </c>
      <c r="H129" s="9" t="str">
        <f t="shared" si="1"/>
        <v/>
      </c>
    </row>
    <row r="130" spans="1:8" x14ac:dyDescent="0.3">
      <c r="A130" t="s">
        <v>7412</v>
      </c>
      <c r="B130">
        <v>1133060</v>
      </c>
      <c r="C130" t="s">
        <v>8942</v>
      </c>
      <c r="D130" t="s">
        <v>8943</v>
      </c>
      <c r="H130" s="9" t="str">
        <f t="shared" si="1"/>
        <v/>
      </c>
    </row>
    <row r="131" spans="1:8" x14ac:dyDescent="0.3">
      <c r="A131" t="s">
        <v>7412</v>
      </c>
      <c r="B131">
        <v>1133061</v>
      </c>
      <c r="C131" t="s">
        <v>8944</v>
      </c>
      <c r="D131" t="s">
        <v>8945</v>
      </c>
      <c r="H131" s="9" t="str">
        <f t="shared" si="1"/>
        <v/>
      </c>
    </row>
    <row r="132" spans="1:8" x14ac:dyDescent="0.3">
      <c r="A132" t="s">
        <v>7412</v>
      </c>
      <c r="B132">
        <v>1133062</v>
      </c>
      <c r="C132" t="s">
        <v>8946</v>
      </c>
      <c r="D132" t="s">
        <v>8947</v>
      </c>
      <c r="H132" s="9" t="str">
        <f t="shared" ref="H132:H193" si="2">IF(A132="N",H131,IF(H131="",B132,H131&amp;";"&amp;B132))</f>
        <v/>
      </c>
    </row>
    <row r="133" spans="1:8" x14ac:dyDescent="0.3">
      <c r="A133" t="s">
        <v>7412</v>
      </c>
      <c r="B133">
        <v>1133063</v>
      </c>
      <c r="C133" t="s">
        <v>8948</v>
      </c>
      <c r="D133" t="s">
        <v>8949</v>
      </c>
      <c r="H133" s="9" t="str">
        <f t="shared" si="2"/>
        <v/>
      </c>
    </row>
    <row r="134" spans="1:8" x14ac:dyDescent="0.3">
      <c r="A134" t="s">
        <v>7412</v>
      </c>
      <c r="B134">
        <v>1133064</v>
      </c>
      <c r="C134" t="s">
        <v>8950</v>
      </c>
      <c r="D134" t="s">
        <v>8951</v>
      </c>
      <c r="H134" s="9" t="str">
        <f t="shared" si="2"/>
        <v/>
      </c>
    </row>
    <row r="135" spans="1:8" x14ac:dyDescent="0.3">
      <c r="A135" t="s">
        <v>7412</v>
      </c>
      <c r="B135">
        <v>1133065</v>
      </c>
      <c r="C135" t="s">
        <v>8952</v>
      </c>
      <c r="D135" t="s">
        <v>8953</v>
      </c>
      <c r="H135" s="9" t="str">
        <f t="shared" si="2"/>
        <v/>
      </c>
    </row>
    <row r="136" spans="1:8" x14ac:dyDescent="0.3">
      <c r="A136" t="s">
        <v>7412</v>
      </c>
      <c r="B136">
        <v>1133066</v>
      </c>
      <c r="C136" t="s">
        <v>8954</v>
      </c>
      <c r="D136" t="s">
        <v>8955</v>
      </c>
      <c r="H136" s="9" t="str">
        <f t="shared" si="2"/>
        <v/>
      </c>
    </row>
    <row r="137" spans="1:8" x14ac:dyDescent="0.3">
      <c r="A137" t="s">
        <v>7412</v>
      </c>
      <c r="B137">
        <v>1133067</v>
      </c>
      <c r="C137" t="s">
        <v>8956</v>
      </c>
      <c r="D137" t="s">
        <v>8957</v>
      </c>
      <c r="H137" s="9" t="str">
        <f t="shared" si="2"/>
        <v/>
      </c>
    </row>
    <row r="138" spans="1:8" x14ac:dyDescent="0.3">
      <c r="A138" t="s">
        <v>7412</v>
      </c>
      <c r="B138">
        <v>1133068</v>
      </c>
      <c r="C138" t="s">
        <v>8958</v>
      </c>
      <c r="D138" t="s">
        <v>8959</v>
      </c>
      <c r="H138" s="9" t="str">
        <f t="shared" si="2"/>
        <v/>
      </c>
    </row>
    <row r="139" spans="1:8" x14ac:dyDescent="0.3">
      <c r="A139" t="s">
        <v>7412</v>
      </c>
      <c r="B139">
        <v>1133069</v>
      </c>
      <c r="C139" t="s">
        <v>8960</v>
      </c>
      <c r="D139" t="s">
        <v>8961</v>
      </c>
      <c r="H139" s="9" t="str">
        <f t="shared" si="2"/>
        <v/>
      </c>
    </row>
    <row r="140" spans="1:8" x14ac:dyDescent="0.3">
      <c r="A140" t="s">
        <v>7412</v>
      </c>
      <c r="B140">
        <v>1133070</v>
      </c>
      <c r="C140" t="s">
        <v>7418</v>
      </c>
      <c r="D140" t="s">
        <v>8962</v>
      </c>
      <c r="H140" s="9" t="str">
        <f t="shared" si="2"/>
        <v/>
      </c>
    </row>
    <row r="141" spans="1:8" x14ac:dyDescent="0.3">
      <c r="A141" t="s">
        <v>7412</v>
      </c>
      <c r="B141">
        <v>1133071</v>
      </c>
      <c r="C141" t="s">
        <v>8963</v>
      </c>
      <c r="D141" t="s">
        <v>8964</v>
      </c>
      <c r="H141" s="9" t="str">
        <f t="shared" si="2"/>
        <v/>
      </c>
    </row>
    <row r="142" spans="1:8" x14ac:dyDescent="0.3">
      <c r="A142" t="s">
        <v>7412</v>
      </c>
      <c r="B142">
        <v>1133072</v>
      </c>
      <c r="C142" t="s">
        <v>8965</v>
      </c>
      <c r="D142" t="s">
        <v>8966</v>
      </c>
      <c r="H142" s="9" t="str">
        <f t="shared" si="2"/>
        <v/>
      </c>
    </row>
    <row r="143" spans="1:8" x14ac:dyDescent="0.3">
      <c r="A143" t="s">
        <v>7412</v>
      </c>
      <c r="B143">
        <v>1133073</v>
      </c>
      <c r="C143" t="s">
        <v>8967</v>
      </c>
      <c r="D143" t="s">
        <v>8968</v>
      </c>
      <c r="H143" s="9" t="str">
        <f t="shared" si="2"/>
        <v/>
      </c>
    </row>
    <row r="144" spans="1:8" x14ac:dyDescent="0.3">
      <c r="A144" t="s">
        <v>7412</v>
      </c>
      <c r="B144">
        <v>1133074</v>
      </c>
      <c r="C144" t="s">
        <v>8969</v>
      </c>
      <c r="D144" t="s">
        <v>8970</v>
      </c>
      <c r="H144" s="9" t="str">
        <f t="shared" si="2"/>
        <v/>
      </c>
    </row>
    <row r="145" spans="1:8" x14ac:dyDescent="0.3">
      <c r="A145" t="s">
        <v>7412</v>
      </c>
      <c r="B145">
        <v>1133075</v>
      </c>
      <c r="C145" t="s">
        <v>7419</v>
      </c>
      <c r="D145" t="s">
        <v>8971</v>
      </c>
      <c r="H145" s="9" t="str">
        <f t="shared" si="2"/>
        <v/>
      </c>
    </row>
    <row r="146" spans="1:8" x14ac:dyDescent="0.3">
      <c r="A146" t="s">
        <v>7412</v>
      </c>
      <c r="B146">
        <v>1133076</v>
      </c>
      <c r="C146" t="s">
        <v>8972</v>
      </c>
      <c r="D146" t="s">
        <v>8973</v>
      </c>
      <c r="H146" s="9" t="str">
        <f t="shared" si="2"/>
        <v/>
      </c>
    </row>
    <row r="147" spans="1:8" x14ac:dyDescent="0.3">
      <c r="A147" t="s">
        <v>7412</v>
      </c>
      <c r="B147">
        <v>1133077</v>
      </c>
      <c r="C147" t="s">
        <v>8974</v>
      </c>
      <c r="D147" t="s">
        <v>8975</v>
      </c>
      <c r="H147" s="9" t="str">
        <f t="shared" si="2"/>
        <v/>
      </c>
    </row>
    <row r="148" spans="1:8" x14ac:dyDescent="0.3">
      <c r="A148" t="s">
        <v>7412</v>
      </c>
      <c r="B148">
        <v>1133078</v>
      </c>
      <c r="C148" t="s">
        <v>8976</v>
      </c>
      <c r="D148" t="s">
        <v>8977</v>
      </c>
      <c r="H148" s="9" t="str">
        <f t="shared" si="2"/>
        <v/>
      </c>
    </row>
    <row r="149" spans="1:8" x14ac:dyDescent="0.3">
      <c r="A149" t="s">
        <v>7412</v>
      </c>
      <c r="B149">
        <v>1133079</v>
      </c>
      <c r="C149" t="s">
        <v>8978</v>
      </c>
      <c r="D149" t="s">
        <v>8979</v>
      </c>
      <c r="H149" s="9" t="str">
        <f t="shared" si="2"/>
        <v/>
      </c>
    </row>
    <row r="150" spans="1:8" x14ac:dyDescent="0.3">
      <c r="A150" t="s">
        <v>7412</v>
      </c>
      <c r="B150">
        <v>1133080</v>
      </c>
      <c r="C150" t="s">
        <v>8980</v>
      </c>
      <c r="D150" t="s">
        <v>8981</v>
      </c>
      <c r="H150" s="9" t="str">
        <f t="shared" si="2"/>
        <v/>
      </c>
    </row>
    <row r="151" spans="1:8" x14ac:dyDescent="0.3">
      <c r="A151" t="s">
        <v>7412</v>
      </c>
      <c r="B151">
        <v>1133081</v>
      </c>
      <c r="C151" t="s">
        <v>8982</v>
      </c>
      <c r="D151" t="s">
        <v>8983</v>
      </c>
      <c r="H151" s="9" t="str">
        <f t="shared" si="2"/>
        <v/>
      </c>
    </row>
    <row r="152" spans="1:8" x14ac:dyDescent="0.3">
      <c r="A152" t="s">
        <v>7412</v>
      </c>
      <c r="B152">
        <v>1133082</v>
      </c>
      <c r="C152" t="s">
        <v>8984</v>
      </c>
      <c r="D152" t="s">
        <v>8985</v>
      </c>
      <c r="H152" s="9" t="str">
        <f t="shared" si="2"/>
        <v/>
      </c>
    </row>
    <row r="153" spans="1:8" x14ac:dyDescent="0.3">
      <c r="A153" t="s">
        <v>7412</v>
      </c>
      <c r="B153">
        <v>1133083</v>
      </c>
      <c r="C153" t="s">
        <v>8986</v>
      </c>
      <c r="D153" t="s">
        <v>8987</v>
      </c>
      <c r="H153" s="9" t="str">
        <f t="shared" si="2"/>
        <v/>
      </c>
    </row>
    <row r="154" spans="1:8" x14ac:dyDescent="0.3">
      <c r="A154" t="s">
        <v>7412</v>
      </c>
      <c r="B154">
        <v>1133084</v>
      </c>
      <c r="C154" t="s">
        <v>8988</v>
      </c>
      <c r="D154" t="s">
        <v>8989</v>
      </c>
      <c r="H154" s="9" t="str">
        <f t="shared" si="2"/>
        <v/>
      </c>
    </row>
    <row r="155" spans="1:8" x14ac:dyDescent="0.3">
      <c r="A155" t="s">
        <v>7412</v>
      </c>
      <c r="B155">
        <v>1133085</v>
      </c>
      <c r="C155" t="s">
        <v>8990</v>
      </c>
      <c r="D155" t="s">
        <v>8991</v>
      </c>
      <c r="H155" s="9" t="str">
        <f t="shared" si="2"/>
        <v/>
      </c>
    </row>
    <row r="156" spans="1:8" x14ac:dyDescent="0.3">
      <c r="A156" t="s">
        <v>7412</v>
      </c>
      <c r="B156">
        <v>1160301</v>
      </c>
      <c r="C156" t="e">
        <v>#N/A</v>
      </c>
      <c r="D156" t="e">
        <v>#N/A</v>
      </c>
      <c r="H156" s="9" t="str">
        <f t="shared" si="2"/>
        <v/>
      </c>
    </row>
    <row r="157" spans="1:8" x14ac:dyDescent="0.3">
      <c r="A157" t="s">
        <v>7412</v>
      </c>
      <c r="B157">
        <v>1160302</v>
      </c>
      <c r="C157" t="e">
        <v>#N/A</v>
      </c>
      <c r="D157" t="e">
        <v>#N/A</v>
      </c>
      <c r="H157" s="9" t="str">
        <f t="shared" si="2"/>
        <v/>
      </c>
    </row>
    <row r="158" spans="1:8" x14ac:dyDescent="0.3">
      <c r="A158" t="s">
        <v>7412</v>
      </c>
      <c r="B158">
        <v>1160303</v>
      </c>
      <c r="C158" t="e">
        <v>#N/A</v>
      </c>
      <c r="D158" t="e">
        <v>#N/A</v>
      </c>
      <c r="H158" s="9" t="str">
        <f t="shared" si="2"/>
        <v/>
      </c>
    </row>
    <row r="159" spans="1:8" x14ac:dyDescent="0.3">
      <c r="A159" t="s">
        <v>7412</v>
      </c>
      <c r="B159">
        <v>12020101</v>
      </c>
      <c r="C159" t="s">
        <v>8992</v>
      </c>
      <c r="D159" t="s">
        <v>8993</v>
      </c>
      <c r="H159" s="9" t="str">
        <f t="shared" si="2"/>
        <v/>
      </c>
    </row>
    <row r="160" spans="1:8" x14ac:dyDescent="0.3">
      <c r="A160" t="s">
        <v>7412</v>
      </c>
      <c r="B160">
        <v>12020201</v>
      </c>
      <c r="C160" t="s">
        <v>7420</v>
      </c>
      <c r="D160" t="s">
        <v>8994</v>
      </c>
      <c r="H160" s="9" t="str">
        <f t="shared" si="2"/>
        <v/>
      </c>
    </row>
    <row r="161" spans="1:8" x14ac:dyDescent="0.3">
      <c r="A161" t="s">
        <v>7412</v>
      </c>
      <c r="B161">
        <v>12020301</v>
      </c>
      <c r="C161" t="s">
        <v>8995</v>
      </c>
      <c r="D161" t="s">
        <v>8996</v>
      </c>
      <c r="H161" s="9" t="str">
        <f t="shared" si="2"/>
        <v/>
      </c>
    </row>
    <row r="162" spans="1:8" x14ac:dyDescent="0.3">
      <c r="A162" t="s">
        <v>7412</v>
      </c>
      <c r="B162">
        <v>12020401</v>
      </c>
      <c r="C162" t="s">
        <v>8997</v>
      </c>
      <c r="D162" t="s">
        <v>8998</v>
      </c>
      <c r="H162" s="9" t="str">
        <f t="shared" si="2"/>
        <v/>
      </c>
    </row>
    <row r="163" spans="1:8" x14ac:dyDescent="0.3">
      <c r="A163" t="s">
        <v>7412</v>
      </c>
      <c r="B163">
        <v>12020501</v>
      </c>
      <c r="C163" t="s">
        <v>8999</v>
      </c>
      <c r="D163" t="s">
        <v>9000</v>
      </c>
      <c r="H163" s="9" t="str">
        <f t="shared" si="2"/>
        <v/>
      </c>
    </row>
    <row r="164" spans="1:8" x14ac:dyDescent="0.3">
      <c r="A164" t="s">
        <v>7412</v>
      </c>
      <c r="B164">
        <v>12020601</v>
      </c>
      <c r="C164" t="s">
        <v>9001</v>
      </c>
      <c r="D164" t="s">
        <v>9002</v>
      </c>
      <c r="H164" s="9" t="str">
        <f t="shared" si="2"/>
        <v/>
      </c>
    </row>
    <row r="165" spans="1:8" x14ac:dyDescent="0.3">
      <c r="A165" t="s">
        <v>7412</v>
      </c>
      <c r="B165">
        <v>12020701</v>
      </c>
      <c r="C165" t="s">
        <v>7421</v>
      </c>
      <c r="D165" t="s">
        <v>9003</v>
      </c>
      <c r="H165" s="9" t="str">
        <f t="shared" si="2"/>
        <v/>
      </c>
    </row>
    <row r="166" spans="1:8" x14ac:dyDescent="0.3">
      <c r="A166" t="s">
        <v>7412</v>
      </c>
      <c r="B166">
        <v>12020801</v>
      </c>
      <c r="C166" t="s">
        <v>7422</v>
      </c>
      <c r="D166" t="s">
        <v>9004</v>
      </c>
      <c r="H166" s="9" t="str">
        <f t="shared" si="2"/>
        <v/>
      </c>
    </row>
    <row r="167" spans="1:8" x14ac:dyDescent="0.3">
      <c r="A167" t="s">
        <v>7412</v>
      </c>
      <c r="B167">
        <v>12020901</v>
      </c>
      <c r="C167" t="s">
        <v>9005</v>
      </c>
      <c r="D167" t="s">
        <v>9006</v>
      </c>
      <c r="H167" s="9" t="str">
        <f t="shared" si="2"/>
        <v/>
      </c>
    </row>
    <row r="168" spans="1:8" x14ac:dyDescent="0.3">
      <c r="A168" t="s">
        <v>7412</v>
      </c>
      <c r="B168">
        <v>12021001</v>
      </c>
      <c r="C168" t="s">
        <v>9007</v>
      </c>
      <c r="D168" t="s">
        <v>9008</v>
      </c>
      <c r="H168" s="9" t="str">
        <f t="shared" si="2"/>
        <v/>
      </c>
    </row>
    <row r="169" spans="1:8" x14ac:dyDescent="0.3">
      <c r="A169" t="s">
        <v>7412</v>
      </c>
      <c r="B169">
        <v>12021101</v>
      </c>
      <c r="C169" t="s">
        <v>9009</v>
      </c>
      <c r="D169" t="s">
        <v>9010</v>
      </c>
      <c r="H169" s="9" t="str">
        <f t="shared" si="2"/>
        <v/>
      </c>
    </row>
    <row r="170" spans="1:8" x14ac:dyDescent="0.3">
      <c r="A170" t="s">
        <v>7412</v>
      </c>
      <c r="B170">
        <v>12021201</v>
      </c>
      <c r="C170" t="s">
        <v>9011</v>
      </c>
      <c r="D170" t="s">
        <v>9012</v>
      </c>
      <c r="H170" s="9" t="str">
        <f t="shared" si="2"/>
        <v/>
      </c>
    </row>
    <row r="171" spans="1:8" x14ac:dyDescent="0.3">
      <c r="A171" t="s">
        <v>7412</v>
      </c>
      <c r="B171">
        <v>12021301</v>
      </c>
      <c r="C171" t="s">
        <v>9013</v>
      </c>
      <c r="D171" t="s">
        <v>9014</v>
      </c>
      <c r="H171" s="9" t="str">
        <f t="shared" si="2"/>
        <v/>
      </c>
    </row>
    <row r="172" spans="1:8" x14ac:dyDescent="0.3">
      <c r="A172" t="s">
        <v>7412</v>
      </c>
      <c r="B172">
        <v>12021401</v>
      </c>
      <c r="C172" t="s">
        <v>9015</v>
      </c>
      <c r="D172" t="s">
        <v>9016</v>
      </c>
      <c r="H172" s="9" t="str">
        <f t="shared" si="2"/>
        <v/>
      </c>
    </row>
    <row r="173" spans="1:8" x14ac:dyDescent="0.3">
      <c r="A173" t="s">
        <v>7412</v>
      </c>
      <c r="B173">
        <v>12021501</v>
      </c>
      <c r="C173" t="s">
        <v>9017</v>
      </c>
      <c r="D173" t="s">
        <v>9018</v>
      </c>
      <c r="H173" s="9" t="str">
        <f t="shared" si="2"/>
        <v/>
      </c>
    </row>
    <row r="174" spans="1:8" x14ac:dyDescent="0.3">
      <c r="A174" t="s">
        <v>7412</v>
      </c>
      <c r="B174">
        <v>12021601</v>
      </c>
      <c r="C174" t="s">
        <v>9019</v>
      </c>
      <c r="D174" t="s">
        <v>9020</v>
      </c>
      <c r="H174" s="9" t="str">
        <f t="shared" si="2"/>
        <v/>
      </c>
    </row>
    <row r="175" spans="1:8" x14ac:dyDescent="0.3">
      <c r="A175" t="s">
        <v>7412</v>
      </c>
      <c r="B175">
        <v>12021701</v>
      </c>
      <c r="C175" t="s">
        <v>7423</v>
      </c>
      <c r="D175" t="s">
        <v>9021</v>
      </c>
      <c r="H175" s="9" t="str">
        <f t="shared" si="2"/>
        <v/>
      </c>
    </row>
    <row r="176" spans="1:8" x14ac:dyDescent="0.3">
      <c r="A176" t="s">
        <v>7412</v>
      </c>
      <c r="B176">
        <v>12021801</v>
      </c>
      <c r="C176" t="s">
        <v>9022</v>
      </c>
      <c r="D176" t="s">
        <v>9023</v>
      </c>
      <c r="H176" s="9" t="str">
        <f t="shared" si="2"/>
        <v/>
      </c>
    </row>
    <row r="177" spans="1:8" x14ac:dyDescent="0.3">
      <c r="A177" t="s">
        <v>7412</v>
      </c>
      <c r="B177">
        <v>12021901</v>
      </c>
      <c r="C177" t="s">
        <v>9024</v>
      </c>
      <c r="D177" t="s">
        <v>9025</v>
      </c>
      <c r="H177" s="9" t="str">
        <f t="shared" si="2"/>
        <v/>
      </c>
    </row>
    <row r="178" spans="1:8" x14ac:dyDescent="0.3">
      <c r="A178" t="s">
        <v>7412</v>
      </c>
      <c r="B178">
        <v>12022001</v>
      </c>
      <c r="C178" t="s">
        <v>9026</v>
      </c>
      <c r="D178" t="s">
        <v>9027</v>
      </c>
      <c r="H178" s="9" t="str">
        <f t="shared" si="2"/>
        <v/>
      </c>
    </row>
    <row r="179" spans="1:8" x14ac:dyDescent="0.3">
      <c r="A179" t="s">
        <v>7412</v>
      </c>
      <c r="B179">
        <v>12022101</v>
      </c>
      <c r="C179" t="s">
        <v>9028</v>
      </c>
      <c r="D179" t="s">
        <v>9029</v>
      </c>
      <c r="H179" s="9" t="str">
        <f t="shared" si="2"/>
        <v/>
      </c>
    </row>
    <row r="180" spans="1:8" x14ac:dyDescent="0.3">
      <c r="A180" t="s">
        <v>7412</v>
      </c>
      <c r="B180">
        <v>12022201</v>
      </c>
      <c r="C180" t="s">
        <v>7424</v>
      </c>
      <c r="D180" t="s">
        <v>9030</v>
      </c>
      <c r="H180" s="9" t="str">
        <f t="shared" si="2"/>
        <v/>
      </c>
    </row>
    <row r="181" spans="1:8" x14ac:dyDescent="0.3">
      <c r="A181" t="s">
        <v>7412</v>
      </c>
      <c r="B181">
        <v>12022301</v>
      </c>
      <c r="C181" t="s">
        <v>9031</v>
      </c>
      <c r="D181" t="s">
        <v>9032</v>
      </c>
      <c r="H181" s="9" t="str">
        <f t="shared" si="2"/>
        <v/>
      </c>
    </row>
    <row r="182" spans="1:8" x14ac:dyDescent="0.3">
      <c r="A182" t="s">
        <v>7412</v>
      </c>
      <c r="B182">
        <v>12022401</v>
      </c>
      <c r="C182" t="s">
        <v>9031</v>
      </c>
      <c r="D182" t="s">
        <v>9033</v>
      </c>
      <c r="H182" s="9" t="str">
        <f t="shared" si="2"/>
        <v/>
      </c>
    </row>
    <row r="183" spans="1:8" x14ac:dyDescent="0.3">
      <c r="A183" t="s">
        <v>7412</v>
      </c>
      <c r="B183">
        <v>12022501</v>
      </c>
      <c r="C183" t="s">
        <v>9034</v>
      </c>
      <c r="D183" t="s">
        <v>9035</v>
      </c>
      <c r="H183" s="9" t="str">
        <f t="shared" si="2"/>
        <v/>
      </c>
    </row>
    <row r="184" spans="1:8" x14ac:dyDescent="0.3">
      <c r="A184" t="s">
        <v>7412</v>
      </c>
      <c r="B184">
        <v>12022601</v>
      </c>
      <c r="C184" t="s">
        <v>9036</v>
      </c>
      <c r="D184" t="s">
        <v>9037</v>
      </c>
      <c r="H184" s="9" t="str">
        <f t="shared" si="2"/>
        <v/>
      </c>
    </row>
    <row r="185" spans="1:8" x14ac:dyDescent="0.3">
      <c r="A185" t="s">
        <v>7412</v>
      </c>
      <c r="B185">
        <v>12022701</v>
      </c>
      <c r="C185" t="s">
        <v>9038</v>
      </c>
      <c r="D185" t="s">
        <v>9039</v>
      </c>
      <c r="H185" s="9" t="str">
        <f t="shared" si="2"/>
        <v/>
      </c>
    </row>
    <row r="186" spans="1:8" x14ac:dyDescent="0.3">
      <c r="A186" t="s">
        <v>7412</v>
      </c>
      <c r="B186">
        <v>12022801</v>
      </c>
      <c r="C186" t="s">
        <v>9040</v>
      </c>
      <c r="D186" t="s">
        <v>9041</v>
      </c>
      <c r="H186" s="9" t="str">
        <f t="shared" si="2"/>
        <v/>
      </c>
    </row>
    <row r="187" spans="1:8" x14ac:dyDescent="0.3">
      <c r="A187" t="s">
        <v>7412</v>
      </c>
      <c r="B187">
        <v>12022901</v>
      </c>
      <c r="C187" t="s">
        <v>9042</v>
      </c>
      <c r="D187" t="s">
        <v>9043</v>
      </c>
      <c r="H187" s="9" t="str">
        <f t="shared" si="2"/>
        <v/>
      </c>
    </row>
    <row r="188" spans="1:8" x14ac:dyDescent="0.3">
      <c r="A188" t="s">
        <v>7412</v>
      </c>
      <c r="B188">
        <v>12023001</v>
      </c>
      <c r="C188" t="s">
        <v>9044</v>
      </c>
      <c r="D188" t="s">
        <v>9045</v>
      </c>
      <c r="H188" s="9" t="str">
        <f t="shared" si="2"/>
        <v/>
      </c>
    </row>
    <row r="189" spans="1:8" x14ac:dyDescent="0.3">
      <c r="A189" t="s">
        <v>7412</v>
      </c>
      <c r="B189">
        <v>12023101</v>
      </c>
      <c r="C189" t="s">
        <v>7410</v>
      </c>
      <c r="D189" t="s">
        <v>7410</v>
      </c>
      <c r="H189" s="9" t="str">
        <f t="shared" si="2"/>
        <v/>
      </c>
    </row>
    <row r="190" spans="1:8" x14ac:dyDescent="0.3">
      <c r="A190" t="s">
        <v>7412</v>
      </c>
      <c r="B190">
        <v>12023201</v>
      </c>
      <c r="C190" t="s">
        <v>9046</v>
      </c>
      <c r="D190" t="s">
        <v>9047</v>
      </c>
      <c r="H190" s="9" t="str">
        <f t="shared" si="2"/>
        <v/>
      </c>
    </row>
    <row r="191" spans="1:8" x14ac:dyDescent="0.3">
      <c r="A191" t="s">
        <v>7412</v>
      </c>
      <c r="B191">
        <v>12023301</v>
      </c>
      <c r="C191" t="s">
        <v>9048</v>
      </c>
      <c r="D191" t="s">
        <v>9049</v>
      </c>
      <c r="H191" s="9" t="str">
        <f t="shared" si="2"/>
        <v/>
      </c>
    </row>
    <row r="192" spans="1:8" x14ac:dyDescent="0.3">
      <c r="A192" t="s">
        <v>7412</v>
      </c>
      <c r="B192">
        <v>12023401</v>
      </c>
      <c r="C192" t="s">
        <v>9050</v>
      </c>
      <c r="D192" t="s">
        <v>9051</v>
      </c>
      <c r="H192" s="9" t="str">
        <f t="shared" si="2"/>
        <v/>
      </c>
    </row>
    <row r="193" spans="1:8" x14ac:dyDescent="0.3">
      <c r="A193" t="s">
        <v>7412</v>
      </c>
      <c r="B193">
        <v>12023501</v>
      </c>
      <c r="C193" t="s">
        <v>9052</v>
      </c>
      <c r="D193" t="s">
        <v>9053</v>
      </c>
      <c r="H193" s="9" t="str">
        <f t="shared" si="2"/>
        <v/>
      </c>
    </row>
  </sheetData>
  <autoFilter ref="A1:F187" xr:uid="{6E7C30DD-83FC-4527-B73C-2B6641A41BA3}"/>
  <dataValidations count="1">
    <dataValidation type="list" allowBlank="1" showInputMessage="1" showErrorMessage="1" sqref="A2:A193"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8219</v>
      </c>
      <c r="I1" t="s">
        <v>8</v>
      </c>
      <c r="J1" t="s">
        <v>8296</v>
      </c>
      <c r="K1" t="s">
        <v>700</v>
      </c>
    </row>
    <row r="2" spans="1:11" x14ac:dyDescent="0.3">
      <c r="A2" t="s">
        <v>1777</v>
      </c>
      <c r="B2" t="s">
        <v>8215</v>
      </c>
      <c r="C2" t="s">
        <v>955</v>
      </c>
      <c r="D2" t="s">
        <v>8216</v>
      </c>
      <c r="E2" t="s">
        <v>8217</v>
      </c>
      <c r="F2" t="s">
        <v>8218</v>
      </c>
      <c r="H2" t="s">
        <v>8220</v>
      </c>
      <c r="I2" t="s">
        <v>7780</v>
      </c>
      <c r="J2">
        <v>220183</v>
      </c>
      <c r="K2" t="s">
        <v>8221</v>
      </c>
    </row>
    <row r="3" spans="1:11" x14ac:dyDescent="0.3">
      <c r="A3" t="s">
        <v>7654</v>
      </c>
      <c r="B3">
        <v>24</v>
      </c>
      <c r="C3">
        <v>28</v>
      </c>
      <c r="D3">
        <v>33</v>
      </c>
      <c r="E3">
        <v>38</v>
      </c>
      <c r="F3">
        <v>48</v>
      </c>
      <c r="H3" t="s">
        <v>8220</v>
      </c>
      <c r="I3" t="s">
        <v>7779</v>
      </c>
      <c r="J3">
        <v>770037</v>
      </c>
      <c r="K3" t="s">
        <v>8222</v>
      </c>
    </row>
    <row r="4" spans="1:11" x14ac:dyDescent="0.3">
      <c r="A4" t="s">
        <v>7655</v>
      </c>
      <c r="B4">
        <v>24</v>
      </c>
      <c r="C4">
        <v>28</v>
      </c>
      <c r="D4">
        <v>33</v>
      </c>
      <c r="E4">
        <v>38</v>
      </c>
      <c r="F4">
        <v>48</v>
      </c>
      <c r="H4" t="s">
        <v>8220</v>
      </c>
      <c r="I4" t="s">
        <v>8223</v>
      </c>
      <c r="J4">
        <v>770104</v>
      </c>
      <c r="K4" t="s">
        <v>8224</v>
      </c>
    </row>
    <row r="5" spans="1:11" x14ac:dyDescent="0.3">
      <c r="A5" t="s">
        <v>7656</v>
      </c>
      <c r="B5">
        <v>8</v>
      </c>
      <c r="C5">
        <v>9</v>
      </c>
      <c r="D5">
        <v>11</v>
      </c>
      <c r="E5">
        <v>12</v>
      </c>
      <c r="F5">
        <v>16</v>
      </c>
      <c r="H5" t="s">
        <v>8220</v>
      </c>
      <c r="I5" t="s">
        <v>8225</v>
      </c>
      <c r="J5">
        <v>770040</v>
      </c>
      <c r="K5" t="s">
        <v>8226</v>
      </c>
    </row>
    <row r="6" spans="1:11" x14ac:dyDescent="0.3">
      <c r="A6" t="s">
        <v>7416</v>
      </c>
      <c r="B6">
        <v>16</v>
      </c>
      <c r="C6">
        <v>19</v>
      </c>
      <c r="D6">
        <v>22</v>
      </c>
      <c r="E6">
        <v>25</v>
      </c>
      <c r="F6">
        <v>32</v>
      </c>
      <c r="H6" t="s">
        <v>8220</v>
      </c>
      <c r="I6" t="s">
        <v>8227</v>
      </c>
      <c r="J6">
        <v>770114</v>
      </c>
      <c r="K6" t="s">
        <v>8228</v>
      </c>
    </row>
    <row r="7" spans="1:11" x14ac:dyDescent="0.3">
      <c r="A7" t="s">
        <v>877</v>
      </c>
      <c r="B7">
        <v>5</v>
      </c>
      <c r="C7">
        <v>6</v>
      </c>
      <c r="D7">
        <v>7</v>
      </c>
      <c r="E7">
        <v>8</v>
      </c>
      <c r="F7">
        <v>10</v>
      </c>
      <c r="H7" t="s">
        <v>8220</v>
      </c>
      <c r="I7" t="s">
        <v>8229</v>
      </c>
      <c r="J7">
        <v>770039</v>
      </c>
      <c r="K7" t="s">
        <v>8230</v>
      </c>
    </row>
    <row r="8" spans="1:11" x14ac:dyDescent="0.3">
      <c r="A8" t="s">
        <v>38</v>
      </c>
      <c r="B8">
        <v>5</v>
      </c>
      <c r="C8">
        <v>6</v>
      </c>
      <c r="D8">
        <v>7</v>
      </c>
      <c r="E8">
        <v>8</v>
      </c>
      <c r="F8">
        <v>10</v>
      </c>
      <c r="H8" t="s">
        <v>8220</v>
      </c>
      <c r="I8" t="s">
        <v>8231</v>
      </c>
      <c r="J8">
        <v>770041</v>
      </c>
      <c r="K8" t="s">
        <v>8232</v>
      </c>
    </row>
    <row r="9" spans="1:11" x14ac:dyDescent="0.3">
      <c r="A9" t="s">
        <v>277</v>
      </c>
      <c r="B9">
        <v>2</v>
      </c>
      <c r="C9">
        <v>3</v>
      </c>
      <c r="D9">
        <v>4</v>
      </c>
      <c r="E9">
        <v>5</v>
      </c>
      <c r="F9">
        <v>6</v>
      </c>
      <c r="H9" t="s">
        <v>8233</v>
      </c>
      <c r="I9" t="s">
        <v>8234</v>
      </c>
      <c r="J9">
        <v>770093</v>
      </c>
      <c r="K9" t="s">
        <v>8235</v>
      </c>
    </row>
    <row r="10" spans="1:11" x14ac:dyDescent="0.3">
      <c r="A10" t="s">
        <v>39</v>
      </c>
      <c r="B10">
        <v>2</v>
      </c>
      <c r="C10">
        <v>3</v>
      </c>
      <c r="D10">
        <v>4</v>
      </c>
      <c r="E10">
        <v>5</v>
      </c>
      <c r="F10">
        <v>6</v>
      </c>
      <c r="H10" t="s">
        <v>8233</v>
      </c>
      <c r="I10" t="s">
        <v>8236</v>
      </c>
      <c r="J10">
        <v>770092</v>
      </c>
      <c r="K10" t="s">
        <v>8237</v>
      </c>
    </row>
    <row r="11" spans="1:11" x14ac:dyDescent="0.3">
      <c r="A11" t="s">
        <v>7735</v>
      </c>
      <c r="B11">
        <v>10</v>
      </c>
      <c r="C11">
        <v>12</v>
      </c>
      <c r="D11">
        <v>14</v>
      </c>
      <c r="E11">
        <v>16</v>
      </c>
      <c r="F11">
        <v>20</v>
      </c>
      <c r="H11" t="s">
        <v>8233</v>
      </c>
      <c r="I11" t="s">
        <v>8238</v>
      </c>
      <c r="J11">
        <v>770028</v>
      </c>
      <c r="K11" t="s">
        <v>8239</v>
      </c>
    </row>
    <row r="12" spans="1:11" x14ac:dyDescent="0.3">
      <c r="A12" t="s">
        <v>7736</v>
      </c>
      <c r="B12">
        <v>10</v>
      </c>
      <c r="C12">
        <v>12</v>
      </c>
      <c r="D12">
        <v>14</v>
      </c>
      <c r="E12">
        <v>16</v>
      </c>
      <c r="F12">
        <v>20</v>
      </c>
      <c r="H12" t="s">
        <v>8233</v>
      </c>
      <c r="I12" t="s">
        <v>8240</v>
      </c>
      <c r="J12">
        <v>770100</v>
      </c>
      <c r="K12" t="s">
        <v>8241</v>
      </c>
    </row>
    <row r="13" spans="1:11" x14ac:dyDescent="0.3">
      <c r="A13" t="s">
        <v>7658</v>
      </c>
      <c r="B13">
        <v>13</v>
      </c>
      <c r="C13">
        <v>15</v>
      </c>
      <c r="D13">
        <v>18</v>
      </c>
      <c r="E13">
        <v>20</v>
      </c>
      <c r="F13">
        <v>26</v>
      </c>
      <c r="H13" t="s">
        <v>8233</v>
      </c>
      <c r="I13" t="s">
        <v>7784</v>
      </c>
      <c r="J13">
        <v>770026</v>
      </c>
      <c r="K13" t="s">
        <v>8242</v>
      </c>
    </row>
    <row r="14" spans="1:11" x14ac:dyDescent="0.3">
      <c r="A14" t="s">
        <v>7659</v>
      </c>
      <c r="B14">
        <v>38</v>
      </c>
      <c r="C14">
        <v>45</v>
      </c>
      <c r="D14">
        <v>53</v>
      </c>
      <c r="E14">
        <v>60</v>
      </c>
      <c r="F14">
        <v>76</v>
      </c>
      <c r="H14" t="s">
        <v>8233</v>
      </c>
      <c r="I14" t="s">
        <v>8243</v>
      </c>
      <c r="J14">
        <v>220182</v>
      </c>
      <c r="K14" t="s">
        <v>8244</v>
      </c>
    </row>
    <row r="15" spans="1:11" x14ac:dyDescent="0.3">
      <c r="A15" t="s">
        <v>7657</v>
      </c>
      <c r="B15">
        <v>19</v>
      </c>
      <c r="C15">
        <v>22</v>
      </c>
      <c r="D15">
        <v>26</v>
      </c>
      <c r="E15">
        <v>30</v>
      </c>
      <c r="F15">
        <v>38</v>
      </c>
      <c r="H15" t="s">
        <v>8233</v>
      </c>
      <c r="I15" t="s">
        <v>7783</v>
      </c>
      <c r="J15">
        <v>770030</v>
      </c>
      <c r="K15" t="s">
        <v>8245</v>
      </c>
    </row>
    <row r="16" spans="1:11" x14ac:dyDescent="0.3">
      <c r="A16" t="s">
        <v>1797</v>
      </c>
      <c r="B16" t="s">
        <v>7789</v>
      </c>
      <c r="C16" t="s">
        <v>7789</v>
      </c>
      <c r="D16" t="s">
        <v>7789</v>
      </c>
      <c r="E16" t="s">
        <v>7789</v>
      </c>
      <c r="F16" t="s">
        <v>7789</v>
      </c>
      <c r="H16" t="s">
        <v>8233</v>
      </c>
      <c r="I16" t="s">
        <v>8246</v>
      </c>
      <c r="J16">
        <v>770032</v>
      </c>
      <c r="K16" t="s">
        <v>8247</v>
      </c>
    </row>
    <row r="17" spans="8:11" x14ac:dyDescent="0.3">
      <c r="H17" t="s">
        <v>8233</v>
      </c>
      <c r="I17" t="s">
        <v>8248</v>
      </c>
      <c r="J17">
        <v>770034</v>
      </c>
      <c r="K17" t="s">
        <v>8249</v>
      </c>
    </row>
    <row r="18" spans="8:11" x14ac:dyDescent="0.3">
      <c r="H18" t="s">
        <v>639</v>
      </c>
      <c r="I18" t="s">
        <v>8250</v>
      </c>
      <c r="J18">
        <v>770024</v>
      </c>
      <c r="K18" t="s">
        <v>8251</v>
      </c>
    </row>
    <row r="19" spans="8:11" x14ac:dyDescent="0.3">
      <c r="H19" t="s">
        <v>639</v>
      </c>
      <c r="I19" t="s">
        <v>7372</v>
      </c>
      <c r="J19">
        <v>770109</v>
      </c>
      <c r="K19" t="s">
        <v>8252</v>
      </c>
    </row>
    <row r="20" spans="8:11" x14ac:dyDescent="0.3">
      <c r="H20" t="s">
        <v>639</v>
      </c>
      <c r="I20" t="s">
        <v>8253</v>
      </c>
      <c r="J20">
        <v>770091</v>
      </c>
      <c r="K20" t="s">
        <v>8254</v>
      </c>
    </row>
    <row r="21" spans="8:11" x14ac:dyDescent="0.3">
      <c r="H21" t="s">
        <v>639</v>
      </c>
      <c r="I21" t="s">
        <v>7786</v>
      </c>
      <c r="J21">
        <v>770090</v>
      </c>
      <c r="K21" t="s">
        <v>8255</v>
      </c>
    </row>
    <row r="22" spans="8:11" x14ac:dyDescent="0.3">
      <c r="H22" t="s">
        <v>639</v>
      </c>
      <c r="I22" t="s">
        <v>8256</v>
      </c>
      <c r="J22">
        <v>770107</v>
      </c>
      <c r="K22" t="s">
        <v>8257</v>
      </c>
    </row>
    <row r="23" spans="8:11" x14ac:dyDescent="0.3">
      <c r="H23" t="s">
        <v>639</v>
      </c>
      <c r="I23" t="s">
        <v>8258</v>
      </c>
      <c r="J23">
        <v>770096</v>
      </c>
      <c r="K23" t="s">
        <v>8259</v>
      </c>
    </row>
    <row r="24" spans="8:11" x14ac:dyDescent="0.3">
      <c r="H24" t="s">
        <v>639</v>
      </c>
      <c r="I24" t="s">
        <v>8260</v>
      </c>
      <c r="J24">
        <v>770014</v>
      </c>
      <c r="K24" t="s">
        <v>8261</v>
      </c>
    </row>
    <row r="25" spans="8:11" x14ac:dyDescent="0.3">
      <c r="H25" t="s">
        <v>639</v>
      </c>
      <c r="I25" t="s">
        <v>7785</v>
      </c>
      <c r="J25">
        <v>770016</v>
      </c>
      <c r="K25" t="s">
        <v>8262</v>
      </c>
    </row>
    <row r="26" spans="8:11" x14ac:dyDescent="0.3">
      <c r="H26" t="s">
        <v>639</v>
      </c>
      <c r="I26" t="s">
        <v>8263</v>
      </c>
      <c r="J26">
        <v>770019</v>
      </c>
      <c r="K26" t="s">
        <v>8264</v>
      </c>
    </row>
    <row r="27" spans="8:11" x14ac:dyDescent="0.3">
      <c r="H27" t="s">
        <v>7764</v>
      </c>
      <c r="I27" t="s">
        <v>8265</v>
      </c>
      <c r="J27">
        <v>220173</v>
      </c>
      <c r="K27" t="s">
        <v>8266</v>
      </c>
    </row>
    <row r="28" spans="8:11" x14ac:dyDescent="0.3">
      <c r="H28" t="s">
        <v>7764</v>
      </c>
      <c r="I28" t="s">
        <v>8267</v>
      </c>
      <c r="J28">
        <v>220181</v>
      </c>
      <c r="K28" t="s">
        <v>8268</v>
      </c>
    </row>
    <row r="29" spans="8:11" x14ac:dyDescent="0.3">
      <c r="H29" t="s">
        <v>7764</v>
      </c>
      <c r="I29" t="s">
        <v>8269</v>
      </c>
      <c r="J29">
        <v>220175</v>
      </c>
      <c r="K29" t="s">
        <v>8270</v>
      </c>
    </row>
    <row r="30" spans="8:11" x14ac:dyDescent="0.3">
      <c r="H30" t="s">
        <v>7764</v>
      </c>
      <c r="I30" t="s">
        <v>7787</v>
      </c>
      <c r="J30">
        <v>220167</v>
      </c>
      <c r="K30" t="s">
        <v>8271</v>
      </c>
    </row>
    <row r="31" spans="8:11" x14ac:dyDescent="0.3">
      <c r="H31" t="s">
        <v>7764</v>
      </c>
      <c r="I31" t="s">
        <v>8272</v>
      </c>
      <c r="J31">
        <v>220185</v>
      </c>
      <c r="K31" t="s">
        <v>8273</v>
      </c>
    </row>
    <row r="32" spans="8:11" x14ac:dyDescent="0.3">
      <c r="H32" t="s">
        <v>7764</v>
      </c>
      <c r="I32" t="s">
        <v>8274</v>
      </c>
      <c r="J32">
        <v>220180</v>
      </c>
      <c r="K32" t="s">
        <v>8275</v>
      </c>
    </row>
    <row r="33" spans="8:11" x14ac:dyDescent="0.3">
      <c r="H33" t="s">
        <v>7765</v>
      </c>
      <c r="I33" t="s">
        <v>8276</v>
      </c>
      <c r="J33">
        <v>770038</v>
      </c>
      <c r="K33" t="s">
        <v>8277</v>
      </c>
    </row>
    <row r="34" spans="8:11" x14ac:dyDescent="0.3">
      <c r="H34" t="s">
        <v>7765</v>
      </c>
      <c r="I34" t="s">
        <v>8278</v>
      </c>
      <c r="J34">
        <v>770036</v>
      </c>
      <c r="K34" t="s">
        <v>8279</v>
      </c>
    </row>
    <row r="35" spans="8:11" x14ac:dyDescent="0.3">
      <c r="H35" t="s">
        <v>7765</v>
      </c>
      <c r="I35" t="s">
        <v>7788</v>
      </c>
      <c r="J35">
        <v>770113</v>
      </c>
      <c r="K35" t="s">
        <v>8280</v>
      </c>
    </row>
    <row r="36" spans="8:11" x14ac:dyDescent="0.3">
      <c r="H36" t="s">
        <v>7765</v>
      </c>
      <c r="I36" t="s">
        <v>7329</v>
      </c>
      <c r="J36">
        <v>770106</v>
      </c>
      <c r="K36" t="s">
        <v>8281</v>
      </c>
    </row>
    <row r="37" spans="8:11" x14ac:dyDescent="0.3">
      <c r="H37" t="s">
        <v>7765</v>
      </c>
      <c r="I37" t="s">
        <v>8282</v>
      </c>
      <c r="J37">
        <v>220187</v>
      </c>
      <c r="K37" t="s">
        <v>8283</v>
      </c>
    </row>
    <row r="38" spans="8:11" x14ac:dyDescent="0.3">
      <c r="H38" t="s">
        <v>7765</v>
      </c>
      <c r="I38" t="s">
        <v>8284</v>
      </c>
      <c r="J38">
        <v>770125</v>
      </c>
      <c r="K38" t="s">
        <v>8285</v>
      </c>
    </row>
    <row r="39" spans="8:11" x14ac:dyDescent="0.3">
      <c r="H39" t="s">
        <v>8215</v>
      </c>
      <c r="I39" t="s">
        <v>8286</v>
      </c>
      <c r="J39">
        <v>770084</v>
      </c>
      <c r="K39" t="s">
        <v>8287</v>
      </c>
    </row>
    <row r="40" spans="8:11" x14ac:dyDescent="0.3">
      <c r="H40" t="s">
        <v>8215</v>
      </c>
      <c r="I40" t="s">
        <v>8288</v>
      </c>
      <c r="J40">
        <v>770081</v>
      </c>
      <c r="K40" t="s">
        <v>8289</v>
      </c>
    </row>
    <row r="41" spans="8:11" x14ac:dyDescent="0.3">
      <c r="H41" t="s">
        <v>8215</v>
      </c>
      <c r="I41" t="s">
        <v>7781</v>
      </c>
      <c r="J41">
        <v>770045</v>
      </c>
      <c r="K41" t="s">
        <v>8290</v>
      </c>
    </row>
    <row r="42" spans="8:11" x14ac:dyDescent="0.3">
      <c r="H42" t="s">
        <v>8215</v>
      </c>
      <c r="I42" t="s">
        <v>8291</v>
      </c>
      <c r="J42">
        <v>770082</v>
      </c>
      <c r="K42" t="s">
        <v>8292</v>
      </c>
    </row>
    <row r="43" spans="8:11" x14ac:dyDescent="0.3">
      <c r="H43" t="s">
        <v>8215</v>
      </c>
      <c r="I43" t="s">
        <v>7782</v>
      </c>
      <c r="J43">
        <v>770046</v>
      </c>
      <c r="K43" t="s">
        <v>8293</v>
      </c>
    </row>
    <row r="44" spans="8:11" x14ac:dyDescent="0.3">
      <c r="H44" t="s">
        <v>8215</v>
      </c>
      <c r="I44" t="s">
        <v>8294</v>
      </c>
      <c r="J44">
        <v>770047</v>
      </c>
      <c r="K44" t="s">
        <v>8295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6359</v>
      </c>
    </row>
    <row r="2" spans="1:2" x14ac:dyDescent="0.3">
      <c r="A2" s="10" t="s">
        <v>700</v>
      </c>
      <c r="B2" s="10" t="s">
        <v>6324</v>
      </c>
    </row>
    <row r="3" spans="1:2" x14ac:dyDescent="0.3">
      <c r="A3" t="s">
        <v>6846</v>
      </c>
      <c r="B3" s="188" t="s">
        <v>6845</v>
      </c>
    </row>
    <row r="4" spans="1:2" x14ac:dyDescent="0.3">
      <c r="A4" t="s">
        <v>6311</v>
      </c>
      <c r="B4" s="188" t="s">
        <v>5633</v>
      </c>
    </row>
    <row r="5" spans="1:2" x14ac:dyDescent="0.3">
      <c r="A5" t="s">
        <v>6312</v>
      </c>
      <c r="B5" s="189" t="s">
        <v>6313</v>
      </c>
    </row>
    <row r="6" spans="1:2" x14ac:dyDescent="0.3">
      <c r="A6" t="s">
        <v>6314</v>
      </c>
      <c r="B6" s="188" t="s">
        <v>6315</v>
      </c>
    </row>
    <row r="7" spans="1:2" x14ac:dyDescent="0.3">
      <c r="A7" t="s">
        <v>6316</v>
      </c>
      <c r="B7" s="188" t="s">
        <v>6317</v>
      </c>
    </row>
    <row r="8" spans="1:2" x14ac:dyDescent="0.3">
      <c r="A8" t="s">
        <v>6318</v>
      </c>
      <c r="B8" s="188" t="s">
        <v>6319</v>
      </c>
    </row>
    <row r="9" spans="1:2" x14ac:dyDescent="0.3">
      <c r="A9" t="s">
        <v>6320</v>
      </c>
      <c r="B9" s="188" t="s">
        <v>6321</v>
      </c>
    </row>
    <row r="10" spans="1:2" x14ac:dyDescent="0.3">
      <c r="A10" t="s">
        <v>6322</v>
      </c>
      <c r="B10" s="188" t="s">
        <v>6323</v>
      </c>
    </row>
    <row r="11" spans="1:2" x14ac:dyDescent="0.3">
      <c r="A11" t="s">
        <v>6844</v>
      </c>
      <c r="B11" s="188" t="s">
        <v>6843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6327</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6377</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6376</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6859</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6375</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6444</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6328</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6329</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6513</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6330</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6310</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6361</v>
      </c>
      <c r="D22" s="156">
        <v>5</v>
      </c>
      <c r="E22" s="157" t="s">
        <v>5</v>
      </c>
      <c r="F22" s="159" t="s">
        <v>5631</v>
      </c>
      <c r="G22" s="157">
        <v>100</v>
      </c>
      <c r="H22" s="157">
        <v>5</v>
      </c>
      <c r="I22" s="157">
        <v>10</v>
      </c>
      <c r="J22" s="157">
        <v>0</v>
      </c>
      <c r="K22" s="157">
        <v>0</v>
      </c>
      <c r="L22" s="159">
        <v>100</v>
      </c>
      <c r="M22" s="155"/>
      <c r="N22" s="156" t="s">
        <v>6364</v>
      </c>
      <c r="O22" s="157" t="s">
        <v>6368</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6373</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6602</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6369</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6370</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6326</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6325</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6862</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6860</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6856</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6861</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6858</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6857</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6310</v>
      </c>
      <c r="D39" s="152">
        <v>5</v>
      </c>
      <c r="E39" s="153" t="s">
        <v>3</v>
      </c>
      <c r="F39" s="154" t="s">
        <v>6090</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6325</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6326</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6327</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6328</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6329</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6330</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6361</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6364</v>
      </c>
      <c r="O77" s="157" t="s">
        <v>6368</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6369</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6364</v>
      </c>
      <c r="W83" s="161" t="s">
        <v>6368</v>
      </c>
      <c r="X83" s="161">
        <v>10</v>
      </c>
      <c r="Y83" s="162">
        <v>1</v>
      </c>
      <c r="Z83" s="134"/>
      <c r="AA83" s="160"/>
      <c r="AB83" s="161"/>
      <c r="AC83" s="161"/>
      <c r="AD83" s="161"/>
      <c r="AE83" s="138"/>
    </row>
    <row r="84" spans="3:41" x14ac:dyDescent="0.3">
      <c r="C84" t="s">
        <v>6370</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6373</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6856</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6364</v>
      </c>
      <c r="W98" s="161" t="s">
        <v>6368</v>
      </c>
      <c r="X98" s="161">
        <v>10</v>
      </c>
      <c r="Y98" s="162">
        <v>1</v>
      </c>
      <c r="Z98" s="134"/>
      <c r="AA98" s="160"/>
      <c r="AB98" s="161"/>
      <c r="AC98" s="161"/>
      <c r="AD98" s="161"/>
      <c r="AE98" s="138"/>
    </row>
    <row r="99" spans="3:41" x14ac:dyDescent="0.3">
      <c r="C99" t="s">
        <v>6857</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6364</v>
      </c>
      <c r="W102" s="157" t="s">
        <v>6368</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6364</v>
      </c>
      <c r="W103" s="161" t="s">
        <v>6368</v>
      </c>
      <c r="X103" s="161">
        <v>10</v>
      </c>
      <c r="Y103" s="162">
        <v>1</v>
      </c>
      <c r="Z103" s="134"/>
      <c r="AA103" s="160"/>
      <c r="AB103" s="161"/>
      <c r="AC103" s="161"/>
      <c r="AD103" s="161"/>
      <c r="AE103" s="138"/>
    </row>
    <row r="104" spans="3:41" x14ac:dyDescent="0.3">
      <c r="C104" t="s">
        <v>6860</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5667</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5667</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6364</v>
      </c>
      <c r="O108" s="161" t="s">
        <v>6368</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6861</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5667</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5631</v>
      </c>
      <c r="G111" s="157">
        <v>100</v>
      </c>
      <c r="H111" s="157">
        <v>5</v>
      </c>
      <c r="I111" s="157">
        <v>10</v>
      </c>
      <c r="J111" s="157">
        <v>0</v>
      </c>
      <c r="K111" s="157">
        <v>0</v>
      </c>
      <c r="L111" s="159">
        <v>100</v>
      </c>
      <c r="M111" s="155"/>
      <c r="N111" s="156" t="s">
        <v>6364</v>
      </c>
      <c r="O111" s="157" t="s">
        <v>6368</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6387</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6862</v>
      </c>
      <c r="D114" s="152">
        <v>5</v>
      </c>
      <c r="E114" s="153" t="s">
        <v>5</v>
      </c>
      <c r="F114" s="154" t="s">
        <v>810</v>
      </c>
      <c r="G114" s="153">
        <v>100</v>
      </c>
      <c r="H114" s="153">
        <v>5</v>
      </c>
      <c r="I114" s="153">
        <v>10</v>
      </c>
      <c r="J114" s="153">
        <v>0</v>
      </c>
      <c r="K114" s="153">
        <v>0</v>
      </c>
      <c r="L114" s="154">
        <v>100</v>
      </c>
      <c r="M114" s="155"/>
      <c r="N114" s="156" t="s">
        <v>6364</v>
      </c>
      <c r="O114" s="157" t="s">
        <v>6368</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5667</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6858</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5667</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6375</v>
      </c>
      <c r="D124" s="152">
        <v>4</v>
      </c>
      <c r="E124" s="153" t="s">
        <v>3</v>
      </c>
      <c r="F124" s="154" t="s">
        <v>5682</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5667</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5667</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6376</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5744</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5744</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5706</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6374</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6859</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6364</v>
      </c>
      <c r="W137" s="157" t="s">
        <v>6368</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6364</v>
      </c>
      <c r="W138" s="161" t="s">
        <v>6368</v>
      </c>
      <c r="X138" s="161">
        <v>10</v>
      </c>
      <c r="Y138" s="162">
        <v>1</v>
      </c>
      <c r="Z138" s="134"/>
      <c r="AA138" s="160"/>
      <c r="AB138" s="161"/>
      <c r="AC138" s="161"/>
      <c r="AD138" s="161"/>
      <c r="AE138" s="138"/>
    </row>
    <row r="139" spans="3:41" x14ac:dyDescent="0.3">
      <c r="C139" t="s">
        <v>6377</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6364</v>
      </c>
      <c r="O142" s="157" t="s">
        <v>6368</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6444</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6364</v>
      </c>
      <c r="O147" s="157" t="s">
        <v>6368</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6513</v>
      </c>
      <c r="D149" s="152">
        <v>5</v>
      </c>
      <c r="E149" s="153" t="s">
        <v>5</v>
      </c>
      <c r="F149" s="154" t="s">
        <v>810</v>
      </c>
      <c r="G149" s="153">
        <v>100</v>
      </c>
      <c r="H149" s="153">
        <v>5</v>
      </c>
      <c r="I149" s="153">
        <v>10</v>
      </c>
      <c r="J149" s="153">
        <v>0</v>
      </c>
      <c r="K149" s="153">
        <v>0</v>
      </c>
      <c r="L149" s="154">
        <v>100</v>
      </c>
      <c r="M149" s="155"/>
      <c r="N149" s="156" t="s">
        <v>6364</v>
      </c>
      <c r="O149" s="157" t="s">
        <v>6368</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6602</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5669</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6868</v>
      </c>
      <c r="H3" s="149" t="s">
        <v>1034</v>
      </c>
      <c r="I3" s="149" t="s">
        <v>60</v>
      </c>
      <c r="J3" s="151">
        <v>1</v>
      </c>
      <c r="K3" s="149">
        <v>2</v>
      </c>
      <c r="L3" s="149">
        <v>3</v>
      </c>
      <c r="M3" s="150">
        <v>4</v>
      </c>
      <c r="N3" s="151">
        <v>1</v>
      </c>
      <c r="O3" s="150">
        <v>2</v>
      </c>
      <c r="Q3" s="167" t="s">
        <v>1105</v>
      </c>
    </row>
    <row r="4" spans="1:21" x14ac:dyDescent="0.3">
      <c r="A4" t="s">
        <v>5670</v>
      </c>
      <c r="C4" t="s">
        <v>5670</v>
      </c>
      <c r="D4" s="152" t="s">
        <v>980</v>
      </c>
      <c r="E4" s="153">
        <v>100</v>
      </c>
      <c r="F4" s="153">
        <v>5</v>
      </c>
      <c r="G4" s="153">
        <v>0</v>
      </c>
      <c r="H4" s="153"/>
      <c r="I4" s="154">
        <v>100</v>
      </c>
      <c r="J4" s="157">
        <v>10</v>
      </c>
      <c r="K4" s="157">
        <v>10</v>
      </c>
      <c r="L4" s="157">
        <v>5</v>
      </c>
      <c r="M4" s="159">
        <v>5</v>
      </c>
      <c r="N4" s="156" t="s">
        <v>6847</v>
      </c>
      <c r="O4" s="159" t="s">
        <v>6848</v>
      </c>
      <c r="Q4" s="168"/>
      <c r="S4" s="140">
        <v>3</v>
      </c>
      <c r="T4" s="140"/>
      <c r="U4" s="140"/>
    </row>
    <row r="5" spans="1:21" x14ac:dyDescent="0.3">
      <c r="A5" t="s">
        <v>6871</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6331</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6332</v>
      </c>
      <c r="D7" s="156" t="s">
        <v>1015</v>
      </c>
      <c r="E7" s="157">
        <v>100</v>
      </c>
      <c r="F7" s="157">
        <v>5</v>
      </c>
      <c r="G7" s="157">
        <v>4</v>
      </c>
      <c r="H7" s="157" t="s">
        <v>1033</v>
      </c>
      <c r="I7" s="159">
        <v>100</v>
      </c>
      <c r="J7" s="157">
        <v>5</v>
      </c>
      <c r="K7" s="157"/>
      <c r="L7" s="157"/>
      <c r="M7" s="159"/>
      <c r="N7" s="156"/>
      <c r="O7" s="159"/>
      <c r="Q7" s="168"/>
    </row>
    <row r="8" spans="1:21" x14ac:dyDescent="0.3">
      <c r="A8" t="s">
        <v>6333</v>
      </c>
      <c r="D8" s="156" t="s">
        <v>1013</v>
      </c>
      <c r="E8" s="157">
        <v>100</v>
      </c>
      <c r="F8" s="157">
        <v>5</v>
      </c>
      <c r="G8" s="157">
        <v>4</v>
      </c>
      <c r="H8" s="157" t="s">
        <v>1033</v>
      </c>
      <c r="I8" s="159">
        <v>100</v>
      </c>
      <c r="J8" s="157">
        <v>5</v>
      </c>
      <c r="K8" s="157"/>
      <c r="L8" s="157"/>
      <c r="M8" s="159"/>
      <c r="N8" s="156"/>
      <c r="O8" s="159"/>
      <c r="Q8" s="168"/>
    </row>
    <row r="9" spans="1:21" x14ac:dyDescent="0.3">
      <c r="A9" t="s">
        <v>6363</v>
      </c>
      <c r="D9" s="156"/>
      <c r="E9" s="157"/>
      <c r="F9" s="157"/>
      <c r="G9" s="157"/>
      <c r="H9" s="157"/>
      <c r="I9" s="159"/>
      <c r="J9" s="157"/>
      <c r="K9" s="157"/>
      <c r="L9" s="157"/>
      <c r="M9" s="159"/>
      <c r="N9" s="156"/>
      <c r="O9" s="159"/>
      <c r="Q9" s="168"/>
    </row>
    <row r="10" spans="1:21" x14ac:dyDescent="0.3">
      <c r="A10" t="s">
        <v>6362</v>
      </c>
      <c r="D10" s="156"/>
      <c r="E10" s="157"/>
      <c r="F10" s="157"/>
      <c r="G10" s="157"/>
      <c r="H10" s="157"/>
      <c r="I10" s="159"/>
      <c r="J10" s="157"/>
      <c r="K10" s="157"/>
      <c r="L10" s="157"/>
      <c r="M10" s="159"/>
      <c r="N10" s="156"/>
      <c r="O10" s="159"/>
      <c r="Q10" s="168"/>
    </row>
    <row r="11" spans="1:21" x14ac:dyDescent="0.3">
      <c r="A11" t="s">
        <v>6872</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6871</v>
      </c>
      <c r="D13" s="152" t="s">
        <v>980</v>
      </c>
      <c r="E13" s="153">
        <v>100</v>
      </c>
      <c r="F13" s="153">
        <v>5</v>
      </c>
      <c r="G13" s="153">
        <v>0</v>
      </c>
      <c r="H13" s="153"/>
      <c r="I13" s="154">
        <v>100</v>
      </c>
      <c r="J13" s="157">
        <v>10</v>
      </c>
      <c r="K13" s="157">
        <v>10</v>
      </c>
      <c r="L13" s="157">
        <v>5</v>
      </c>
      <c r="M13" s="159">
        <v>5</v>
      </c>
      <c r="N13" s="156" t="s">
        <v>6847</v>
      </c>
      <c r="O13" s="159" t="s">
        <v>6848</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6331</v>
      </c>
      <c r="D22" s="152" t="s">
        <v>971</v>
      </c>
      <c r="E22" s="153">
        <v>100</v>
      </c>
      <c r="F22" s="153">
        <v>5</v>
      </c>
      <c r="G22" s="153">
        <v>0</v>
      </c>
      <c r="H22" s="153"/>
      <c r="I22" s="154">
        <v>100</v>
      </c>
      <c r="J22" s="157">
        <v>10</v>
      </c>
      <c r="K22" s="157">
        <v>10</v>
      </c>
      <c r="L22" s="157">
        <v>5</v>
      </c>
      <c r="M22" s="159">
        <v>5</v>
      </c>
      <c r="N22" s="156" t="s">
        <v>6847</v>
      </c>
      <c r="O22" s="159" t="s">
        <v>6848</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6332</v>
      </c>
      <c r="D31" s="152" t="s">
        <v>971</v>
      </c>
      <c r="E31" s="153">
        <v>100</v>
      </c>
      <c r="F31" s="153">
        <v>5</v>
      </c>
      <c r="G31" s="153">
        <v>0</v>
      </c>
      <c r="H31" s="153"/>
      <c r="I31" s="154">
        <v>100</v>
      </c>
      <c r="J31" s="157">
        <v>10</v>
      </c>
      <c r="K31" s="157">
        <v>10</v>
      </c>
      <c r="L31" s="157">
        <v>5</v>
      </c>
      <c r="M31" s="159">
        <v>5</v>
      </c>
      <c r="N31" s="156" t="s">
        <v>6847</v>
      </c>
      <c r="O31" s="159" t="s">
        <v>6848</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6333</v>
      </c>
      <c r="D40" s="152" t="s">
        <v>977</v>
      </c>
      <c r="E40" s="153">
        <v>100</v>
      </c>
      <c r="F40" s="153">
        <v>5</v>
      </c>
      <c r="G40" s="153">
        <v>0</v>
      </c>
      <c r="H40" s="153"/>
      <c r="I40" s="154">
        <v>100</v>
      </c>
      <c r="J40" s="157">
        <v>10</v>
      </c>
      <c r="K40" s="157">
        <v>10</v>
      </c>
      <c r="L40" s="157">
        <v>5</v>
      </c>
      <c r="M40" s="159">
        <v>5</v>
      </c>
      <c r="N40" s="156" t="s">
        <v>6847</v>
      </c>
      <c r="O40" s="159" t="s">
        <v>6848</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6363</v>
      </c>
      <c r="D49" s="152" t="s">
        <v>976</v>
      </c>
      <c r="E49" s="153">
        <v>90</v>
      </c>
      <c r="F49" s="153">
        <v>5</v>
      </c>
      <c r="G49" s="153">
        <v>0</v>
      </c>
      <c r="H49" s="153"/>
      <c r="I49" s="154">
        <v>100</v>
      </c>
      <c r="J49" s="157">
        <v>10</v>
      </c>
      <c r="K49" s="157">
        <v>10</v>
      </c>
      <c r="L49" s="157">
        <v>5</v>
      </c>
      <c r="M49" s="159">
        <v>5</v>
      </c>
      <c r="N49" s="156" t="s">
        <v>6847</v>
      </c>
      <c r="O49" s="159" t="s">
        <v>6848</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6362</v>
      </c>
      <c r="D58" s="152" t="s">
        <v>980</v>
      </c>
      <c r="E58" s="153">
        <v>90</v>
      </c>
      <c r="F58" s="153">
        <v>5</v>
      </c>
      <c r="G58" s="153">
        <v>0</v>
      </c>
      <c r="H58" s="153"/>
      <c r="I58" s="154">
        <v>100</v>
      </c>
      <c r="J58" s="157">
        <v>10</v>
      </c>
      <c r="K58" s="157">
        <v>10</v>
      </c>
      <c r="L58" s="157">
        <v>5</v>
      </c>
      <c r="M58" s="159">
        <v>5</v>
      </c>
      <c r="N58" s="156" t="s">
        <v>6847</v>
      </c>
      <c r="O58" s="159" t="s">
        <v>6848</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6872</v>
      </c>
      <c r="D67" s="152" t="s">
        <v>1695</v>
      </c>
      <c r="E67" s="153">
        <v>100</v>
      </c>
      <c r="F67" s="153">
        <v>5</v>
      </c>
      <c r="G67" s="153">
        <v>0</v>
      </c>
      <c r="H67" s="153"/>
      <c r="I67" s="154">
        <v>100</v>
      </c>
      <c r="J67" s="157">
        <v>10</v>
      </c>
      <c r="K67" s="157">
        <v>10</v>
      </c>
      <c r="L67" s="157">
        <v>5</v>
      </c>
      <c r="M67" s="159">
        <v>5</v>
      </c>
      <c r="N67" s="156" t="s">
        <v>6852</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7835</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7836</v>
      </c>
      <c r="X1" s="85" t="s">
        <v>7837</v>
      </c>
      <c r="Y1" s="85" t="s">
        <v>7838</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7839</v>
      </c>
      <c r="D1" s="85" t="s">
        <v>7840</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7643</v>
      </c>
      <c r="D1" s="85" t="s">
        <v>7644</v>
      </c>
      <c r="E1" s="85" t="s">
        <v>34</v>
      </c>
      <c r="F1" s="85" t="s">
        <v>35</v>
      </c>
      <c r="G1" s="85" t="s">
        <v>36</v>
      </c>
      <c r="H1" s="85" t="s">
        <v>7645</v>
      </c>
      <c r="I1" s="85" t="s">
        <v>7646</v>
      </c>
      <c r="J1" s="85" t="s">
        <v>7647</v>
      </c>
      <c r="K1" s="85" t="s">
        <v>7648</v>
      </c>
      <c r="L1" s="85" t="s">
        <v>7649</v>
      </c>
      <c r="M1" s="85" t="s">
        <v>7650</v>
      </c>
      <c r="N1" s="85" t="s">
        <v>54</v>
      </c>
      <c r="O1" s="85" t="s">
        <v>7651</v>
      </c>
      <c r="P1" s="85" t="s">
        <v>7652</v>
      </c>
      <c r="Q1" s="85" t="s">
        <v>7653</v>
      </c>
      <c r="R1" s="85" t="s">
        <v>277</v>
      </c>
      <c r="S1" s="85" t="s">
        <v>39</v>
      </c>
      <c r="T1" s="85" t="s">
        <v>7654</v>
      </c>
      <c r="U1" s="85" t="s">
        <v>7655</v>
      </c>
      <c r="V1" s="85" t="s">
        <v>7656</v>
      </c>
      <c r="W1" s="85" t="s">
        <v>877</v>
      </c>
      <c r="X1" s="85" t="s">
        <v>7416</v>
      </c>
      <c r="Y1" s="85" t="s">
        <v>38</v>
      </c>
      <c r="Z1" s="85" t="s">
        <v>2618</v>
      </c>
      <c r="AA1" s="85" t="s">
        <v>4470</v>
      </c>
      <c r="AB1" s="85" t="s">
        <v>7657</v>
      </c>
      <c r="AC1" s="85" t="s">
        <v>7658</v>
      </c>
      <c r="AD1" s="85" t="s">
        <v>7659</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7727</v>
      </c>
      <c r="D1" s="38" t="s">
        <v>7644</v>
      </c>
      <c r="E1" s="38" t="s">
        <v>7728</v>
      </c>
      <c r="F1" s="38" t="s">
        <v>54</v>
      </c>
      <c r="G1" s="38" t="s">
        <v>44</v>
      </c>
      <c r="H1" s="38" t="s">
        <v>7729</v>
      </c>
      <c r="I1" s="38" t="s">
        <v>7730</v>
      </c>
      <c r="J1" s="38" t="s">
        <v>7731</v>
      </c>
      <c r="K1" s="38" t="s">
        <v>7732</v>
      </c>
      <c r="L1" s="38" t="s">
        <v>7733</v>
      </c>
      <c r="M1" s="38" t="s">
        <v>7734</v>
      </c>
      <c r="N1" s="38" t="s">
        <v>7654</v>
      </c>
      <c r="O1" s="38" t="s">
        <v>7655</v>
      </c>
      <c r="P1" s="38" t="s">
        <v>7656</v>
      </c>
      <c r="Q1" s="38" t="s">
        <v>7416</v>
      </c>
      <c r="R1" s="38" t="s">
        <v>877</v>
      </c>
      <c r="S1" s="38" t="s">
        <v>38</v>
      </c>
      <c r="T1" s="38" t="s">
        <v>277</v>
      </c>
      <c r="U1" s="38" t="s">
        <v>39</v>
      </c>
      <c r="V1" s="38" t="s">
        <v>7735</v>
      </c>
      <c r="W1" s="38" t="s">
        <v>7736</v>
      </c>
      <c r="X1" s="38" t="s">
        <v>7658</v>
      </c>
      <c r="Y1" s="38" t="s">
        <v>7659</v>
      </c>
      <c r="Z1" s="38" t="s">
        <v>7657</v>
      </c>
      <c r="AA1" s="38" t="s">
        <v>7645</v>
      </c>
      <c r="AB1" s="38" t="s">
        <v>7646</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6458</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7088</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7310</v>
      </c>
      <c r="B7" s="1">
        <f>IF(DayNight="Day",83,79)</f>
        <v>79</v>
      </c>
      <c r="C7" s="9" t="str">
        <f>CHAR(34)&amp;A7&amp;CHAR(34)&amp;": "&amp;CHAR(34)&amp;INDEX('Mapwide Buffs'!H:H,COUNTA('Mapwide Buffs'!A:A))&amp;CHAR(34)</f>
        <v>"fight_environment_group": ""</v>
      </c>
    </row>
    <row r="8" spans="1:3" x14ac:dyDescent="0.3">
      <c r="A8" t="s">
        <v>8025</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6514</v>
      </c>
      <c r="E10" s="1">
        <f>SeedNum</f>
        <v>1234</v>
      </c>
    </row>
    <row r="11" spans="1:6" x14ac:dyDescent="0.3">
      <c r="A11" s="1">
        <f>A2</f>
        <v>100</v>
      </c>
      <c r="B11" s="1">
        <f>B2+1</f>
        <v>16</v>
      </c>
      <c r="C11" s="9" t="str">
        <f t="shared" ref="C11" si="1">CHAR(34)&amp;D11&amp;CHAR(34)&amp;": ["&amp;E11&amp;"],"</f>
        <v>"ally_instance_ids": [],</v>
      </c>
      <c r="D11" s="1" t="s">
        <v>8026</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8026</v>
      </c>
      <c r="E12" s="1" t="str">
        <f>IF(DayNight&lt;&gt;"Day","",_xlfn.IFNA(MATCH(A12,Main!$I$126:$I$128,0),""))</f>
        <v/>
      </c>
    </row>
    <row r="13" spans="1:6" x14ac:dyDescent="0.3">
      <c r="A13" s="1">
        <f t="shared" ref="A13" si="5">A4</f>
        <v>102</v>
      </c>
      <c r="B13" s="1">
        <f t="shared" si="3"/>
        <v>64</v>
      </c>
      <c r="C13" s="9" t="str">
        <f t="shared" si="4"/>
        <v>"ally_instance_ids": [],</v>
      </c>
      <c r="D13" s="1" t="s">
        <v>8026</v>
      </c>
      <c r="E13" s="1" t="str">
        <f>IF(DayNight&lt;&gt;"Day","",_xlfn.IFNA(MATCH(A13,Main!$I$126:$I$128,0),""))</f>
        <v/>
      </c>
    </row>
    <row r="14" spans="1:6" x14ac:dyDescent="0.3">
      <c r="A14" s="1">
        <f t="shared" ref="A14" si="6">A5</f>
        <v>104</v>
      </c>
      <c r="B14" s="1">
        <f t="shared" si="3"/>
        <v>112</v>
      </c>
      <c r="C14" s="9" t="str">
        <f t="shared" si="4"/>
        <v>"ally_instance_ids": [],</v>
      </c>
      <c r="D14" s="1" t="s">
        <v>8026</v>
      </c>
      <c r="E14" s="1" t="str">
        <f>IF(DayNight&lt;&gt;"Day","",_xlfn.IFNA(MATCH(A14,Main!$I$126:$I$128,0),""))</f>
        <v/>
      </c>
    </row>
    <row r="15" spans="1:6" x14ac:dyDescent="0.3">
      <c r="A15" s="1">
        <f t="shared" ref="A15" si="7">A6</f>
        <v>105</v>
      </c>
      <c r="B15" s="1">
        <f t="shared" si="3"/>
        <v>136</v>
      </c>
      <c r="C15" s="9" t="str">
        <f t="shared" si="4"/>
        <v>"ally_instance_ids": [],</v>
      </c>
      <c r="D15" s="1" t="s">
        <v>8026</v>
      </c>
      <c r="E15" s="1" t="str">
        <f>IF(DayNight&lt;&gt;"Day","",_xlfn.IFNA(MATCH(A15,Main!$I$126:$I$128,0),""))</f>
        <v/>
      </c>
    </row>
    <row r="16" spans="1:6" x14ac:dyDescent="0.3">
      <c r="A16" s="1">
        <f t="shared" ref="A16" si="8">A7</f>
        <v>106</v>
      </c>
      <c r="B16" s="1">
        <f t="shared" si="3"/>
        <v>160</v>
      </c>
      <c r="C16" s="9" t="str">
        <f t="shared" si="4"/>
        <v>"ally_instance_ids": [],</v>
      </c>
      <c r="D16" s="1" t="s">
        <v>8026</v>
      </c>
      <c r="E16" s="1" t="str">
        <f>IF(DayNight&lt;&gt;"Day","",_xlfn.IFNA(MATCH(A16,Main!$I$126:$I$128,0),""))</f>
        <v/>
      </c>
    </row>
    <row r="17" spans="1:5" x14ac:dyDescent="0.3">
      <c r="A17" s="1">
        <f t="shared" ref="A17" si="9">A8</f>
        <v>107</v>
      </c>
      <c r="B17" s="1">
        <f t="shared" si="3"/>
        <v>184</v>
      </c>
      <c r="C17" s="9" t="str">
        <f t="shared" si="4"/>
        <v>"ally_instance_ids": [],</v>
      </c>
      <c r="D17" s="1" t="s">
        <v>8026</v>
      </c>
      <c r="E17" s="1" t="str">
        <f>IF(DayNight&lt;&gt;"Day","",_xlfn.IFNA(MATCH(A17,Main!$I$126:$I$128,0),""))</f>
        <v/>
      </c>
    </row>
    <row r="18" spans="1:5" x14ac:dyDescent="0.3">
      <c r="A18" s="1">
        <f t="shared" ref="A18" si="10">A9</f>
        <v>99</v>
      </c>
      <c r="B18" s="1">
        <f t="shared" si="3"/>
        <v>203</v>
      </c>
      <c r="C18" s="9" t="str">
        <f t="shared" si="4"/>
        <v>"ally_instance_ids": [],</v>
      </c>
      <c r="D18" s="1" t="s">
        <v>8026</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6514</v>
      </c>
      <c r="E32" s="1">
        <f>SeedNum</f>
        <v>1234</v>
      </c>
      <c r="F32" s="1"/>
    </row>
    <row r="33" spans="1:5" x14ac:dyDescent="0.3">
      <c r="A33" s="1">
        <f>A2</f>
        <v>7117</v>
      </c>
      <c r="B33" s="1">
        <f>B2+1</f>
        <v>16</v>
      </c>
      <c r="C33" s="9" t="str">
        <f>CHAR(34)&amp;D33&amp;CHAR(34)&amp;": ["&amp;E33&amp;"],"</f>
        <v>"ally_instance_ids": [],</v>
      </c>
      <c r="D33" s="1" t="s">
        <v>8026</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8026</v>
      </c>
      <c r="E34" s="1" t="str">
        <f>IF(DayNight&lt;&gt;"Night","",_xlfn.IFNA(MATCH(A34,Main!$I$126:$I$128,0),""))</f>
        <v/>
      </c>
    </row>
    <row r="35" spans="1:5" x14ac:dyDescent="0.3">
      <c r="A35" s="1">
        <f t="shared" ref="A35" si="4">A4</f>
        <v>7119</v>
      </c>
      <c r="B35" s="1">
        <f t="shared" si="2"/>
        <v>64</v>
      </c>
      <c r="C35" s="9" t="str">
        <f t="shared" si="3"/>
        <v>"ally_instance_ids": [],</v>
      </c>
      <c r="D35" s="1" t="s">
        <v>8026</v>
      </c>
      <c r="E35" s="1" t="str">
        <f>IF(DayNight&lt;&gt;"Night","",_xlfn.IFNA(MATCH(A35,Main!$I$126:$I$128,0),""))</f>
        <v/>
      </c>
    </row>
    <row r="36" spans="1:5" x14ac:dyDescent="0.3">
      <c r="A36" s="1">
        <f t="shared" ref="A36" si="5">A5</f>
        <v>7120</v>
      </c>
      <c r="B36" s="1">
        <f t="shared" si="2"/>
        <v>88</v>
      </c>
      <c r="C36" s="9" t="str">
        <f t="shared" si="3"/>
        <v>"ally_instance_ids": [],</v>
      </c>
      <c r="D36" s="1" t="s">
        <v>8026</v>
      </c>
      <c r="E36" s="1" t="str">
        <f>IF(DayNight&lt;&gt;"Night","",_xlfn.IFNA(MATCH(A36,Main!$I$126:$I$128,0),""))</f>
        <v/>
      </c>
    </row>
    <row r="37" spans="1:5" x14ac:dyDescent="0.3">
      <c r="A37" s="1">
        <f t="shared" ref="A37" si="6">A6</f>
        <v>7121</v>
      </c>
      <c r="B37" s="1">
        <f t="shared" si="2"/>
        <v>112</v>
      </c>
      <c r="C37" s="9" t="str">
        <f t="shared" si="3"/>
        <v>"ally_instance_ids": [],</v>
      </c>
      <c r="D37" s="1" t="s">
        <v>8026</v>
      </c>
      <c r="E37" s="1" t="str">
        <f>IF(DayNight&lt;&gt;"Night","",_xlfn.IFNA(MATCH(A37,Main!$I$126:$I$128,0),""))</f>
        <v/>
      </c>
    </row>
    <row r="38" spans="1:5" x14ac:dyDescent="0.3">
      <c r="A38" s="1">
        <f t="shared" ref="A38" si="7">A7</f>
        <v>7122</v>
      </c>
      <c r="B38" s="1">
        <f t="shared" si="2"/>
        <v>136</v>
      </c>
      <c r="C38" s="9" t="str">
        <f t="shared" si="3"/>
        <v>"ally_instance_ids": [],</v>
      </c>
      <c r="D38" s="1" t="s">
        <v>8026</v>
      </c>
      <c r="E38" s="1" t="str">
        <f>IF(DayNight&lt;&gt;"Night","",_xlfn.IFNA(MATCH(A38,Main!$I$126:$I$128,0),""))</f>
        <v/>
      </c>
    </row>
    <row r="39" spans="1:5" x14ac:dyDescent="0.3">
      <c r="A39" s="1">
        <f t="shared" ref="A39" si="8">A8</f>
        <v>7123</v>
      </c>
      <c r="B39" s="1">
        <f t="shared" si="2"/>
        <v>160</v>
      </c>
      <c r="C39" s="9" t="str">
        <f t="shared" si="3"/>
        <v>"ally_instance_ids": [],</v>
      </c>
      <c r="D39" s="1" t="s">
        <v>8026</v>
      </c>
      <c r="E39" s="1" t="str">
        <f>IF(DayNight&lt;&gt;"Night","",_xlfn.IFNA(MATCH(A39,Main!$I$126:$I$128,0),""))</f>
        <v/>
      </c>
    </row>
    <row r="40" spans="1:5" x14ac:dyDescent="0.3">
      <c r="A40" s="1">
        <f t="shared" ref="A40" si="9">A9</f>
        <v>7124</v>
      </c>
      <c r="B40" s="1">
        <f t="shared" si="2"/>
        <v>184</v>
      </c>
      <c r="C40" s="9" t="str">
        <f t="shared" si="3"/>
        <v>"ally_instance_ids": [],</v>
      </c>
      <c r="D40" s="1" t="s">
        <v>8026</v>
      </c>
      <c r="E40" s="1" t="str">
        <f>IF(DayNight&lt;&gt;"Night","",_xlfn.IFNA(MATCH(A40,Main!$I$126:$I$128,0),""))</f>
        <v/>
      </c>
    </row>
    <row r="41" spans="1:5" x14ac:dyDescent="0.3">
      <c r="A41" s="1">
        <f t="shared" ref="A41" si="10">A10</f>
        <v>7126</v>
      </c>
      <c r="B41" s="1">
        <f t="shared" si="2"/>
        <v>208</v>
      </c>
      <c r="C41" s="9" t="str">
        <f t="shared" si="3"/>
        <v>"ally_instance_ids": [],</v>
      </c>
      <c r="D41" s="1" t="s">
        <v>8026</v>
      </c>
      <c r="E41" s="1" t="str">
        <f>IF(DayNight&lt;&gt;"Night","",_xlfn.IFNA(MATCH(A41,Main!$I$126:$I$128,0),""))</f>
        <v/>
      </c>
    </row>
    <row r="42" spans="1:5" x14ac:dyDescent="0.3">
      <c r="A42" s="1">
        <f t="shared" ref="A42" si="11">A11</f>
        <v>7127</v>
      </c>
      <c r="B42" s="1">
        <f t="shared" si="2"/>
        <v>232</v>
      </c>
      <c r="C42" s="9" t="str">
        <f t="shared" si="3"/>
        <v>"ally_instance_ids": [],</v>
      </c>
      <c r="D42" s="1" t="s">
        <v>8026</v>
      </c>
      <c r="E42" s="1" t="str">
        <f>IF(DayNight&lt;&gt;"Night","",_xlfn.IFNA(MATCH(A42,Main!$I$126:$I$128,0),""))</f>
        <v/>
      </c>
    </row>
    <row r="43" spans="1:5" x14ac:dyDescent="0.3">
      <c r="A43" s="1">
        <f t="shared" ref="A43" si="12">A12</f>
        <v>7128</v>
      </c>
      <c r="B43" s="1">
        <f t="shared" si="2"/>
        <v>256</v>
      </c>
      <c r="C43" s="9" t="str">
        <f t="shared" si="3"/>
        <v>"ally_instance_ids": [],</v>
      </c>
      <c r="D43" s="1" t="s">
        <v>8026</v>
      </c>
      <c r="E43" s="1" t="str">
        <f>IF(DayNight&lt;&gt;"Night","",_xlfn.IFNA(MATCH(A43,Main!$I$126:$I$128,0),""))</f>
        <v/>
      </c>
    </row>
    <row r="44" spans="1:5" x14ac:dyDescent="0.3">
      <c r="A44" s="1">
        <f t="shared" ref="A44" si="13">A13</f>
        <v>7129</v>
      </c>
      <c r="B44" s="1">
        <f t="shared" si="2"/>
        <v>280</v>
      </c>
      <c r="C44" s="9" t="str">
        <f t="shared" si="3"/>
        <v>"ally_instance_ids": [],</v>
      </c>
      <c r="D44" s="1" t="s">
        <v>8026</v>
      </c>
      <c r="E44" s="1" t="str">
        <f>IF(DayNight&lt;&gt;"Night","",_xlfn.IFNA(MATCH(A44,Main!$I$126:$I$128,0),""))</f>
        <v/>
      </c>
    </row>
    <row r="45" spans="1:5" x14ac:dyDescent="0.3">
      <c r="A45" s="1">
        <f t="shared" ref="A45" si="14">A14</f>
        <v>7130</v>
      </c>
      <c r="B45" s="1">
        <f t="shared" si="2"/>
        <v>304</v>
      </c>
      <c r="C45" s="9" t="str">
        <f t="shared" si="3"/>
        <v>"ally_instance_ids": [],</v>
      </c>
      <c r="D45" s="1" t="s">
        <v>8026</v>
      </c>
      <c r="E45" s="1" t="str">
        <f>IF(DayNight&lt;&gt;"Night","",_xlfn.IFNA(MATCH(A45,Main!$I$126:$I$128,0),""))</f>
        <v/>
      </c>
    </row>
    <row r="46" spans="1:5" x14ac:dyDescent="0.3">
      <c r="A46" s="1">
        <f t="shared" ref="A46" si="15">A15</f>
        <v>7131</v>
      </c>
      <c r="B46" s="1">
        <f t="shared" si="2"/>
        <v>328</v>
      </c>
      <c r="C46" s="9" t="str">
        <f t="shared" si="3"/>
        <v>"ally_instance_ids": [],</v>
      </c>
      <c r="D46" s="1" t="s">
        <v>8026</v>
      </c>
      <c r="E46" s="1" t="str">
        <f>IF(DayNight&lt;&gt;"Night","",_xlfn.IFNA(MATCH(A46,Main!$I$126:$I$128,0),""))</f>
        <v/>
      </c>
    </row>
    <row r="47" spans="1:5" x14ac:dyDescent="0.3">
      <c r="A47" s="1">
        <f t="shared" ref="A47" si="16">A16</f>
        <v>7132</v>
      </c>
      <c r="B47" s="1">
        <f t="shared" si="2"/>
        <v>352</v>
      </c>
      <c r="C47" s="9" t="str">
        <f t="shared" si="3"/>
        <v>"ally_instance_ids": [],</v>
      </c>
      <c r="D47" s="1" t="s">
        <v>8026</v>
      </c>
      <c r="E47" s="1" t="str">
        <f>IF(DayNight&lt;&gt;"Night","",_xlfn.IFNA(MATCH(A47,Main!$I$126:$I$128,0),""))</f>
        <v/>
      </c>
    </row>
    <row r="48" spans="1:5" x14ac:dyDescent="0.3">
      <c r="A48" s="1">
        <f t="shared" ref="A48" si="17">A17</f>
        <v>7133</v>
      </c>
      <c r="B48" s="1">
        <f t="shared" si="2"/>
        <v>376</v>
      </c>
      <c r="C48" s="9" t="str">
        <f t="shared" si="3"/>
        <v>"ally_instance_ids": [],</v>
      </c>
      <c r="D48" s="1" t="s">
        <v>8026</v>
      </c>
      <c r="E48" s="1" t="str">
        <f>IF(DayNight&lt;&gt;"Night","",_xlfn.IFNA(MATCH(A48,Main!$I$126:$I$128,0),""))</f>
        <v/>
      </c>
    </row>
    <row r="49" spans="1:5" x14ac:dyDescent="0.3">
      <c r="A49" s="1">
        <f t="shared" ref="A49" si="18">A18</f>
        <v>7134</v>
      </c>
      <c r="B49" s="1">
        <f t="shared" si="2"/>
        <v>400</v>
      </c>
      <c r="C49" s="9" t="str">
        <f t="shared" si="3"/>
        <v>"ally_instance_ids": [],</v>
      </c>
      <c r="D49" s="1" t="s">
        <v>8026</v>
      </c>
      <c r="E49" s="1" t="str">
        <f>IF(DayNight&lt;&gt;"Night","",_xlfn.IFNA(MATCH(A49,Main!$I$126:$I$128,0),""))</f>
        <v/>
      </c>
    </row>
    <row r="50" spans="1:5" x14ac:dyDescent="0.3">
      <c r="A50" s="1">
        <f t="shared" ref="A50" si="19">A19</f>
        <v>7135</v>
      </c>
      <c r="B50" s="1">
        <f t="shared" si="2"/>
        <v>424</v>
      </c>
      <c r="C50" s="9" t="str">
        <f t="shared" si="3"/>
        <v>"ally_instance_ids": [],</v>
      </c>
      <c r="D50" s="1" t="s">
        <v>8026</v>
      </c>
      <c r="E50" s="1" t="str">
        <f>IF(DayNight&lt;&gt;"Night","",_xlfn.IFNA(MATCH(A50,Main!$I$126:$I$128,0),""))</f>
        <v/>
      </c>
    </row>
    <row r="51" spans="1:5" x14ac:dyDescent="0.3">
      <c r="A51" s="1">
        <f t="shared" ref="A51" si="20">A20</f>
        <v>7136</v>
      </c>
      <c r="B51" s="1">
        <f t="shared" si="2"/>
        <v>448</v>
      </c>
      <c r="C51" s="9" t="str">
        <f t="shared" si="3"/>
        <v>"ally_instance_ids": [],</v>
      </c>
      <c r="D51" s="1" t="s">
        <v>8026</v>
      </c>
      <c r="E51" s="1" t="str">
        <f>IF(DayNight&lt;&gt;"Night","",_xlfn.IFNA(MATCH(A51,Main!$I$126:$I$128,0),""))</f>
        <v/>
      </c>
    </row>
    <row r="52" spans="1:5" x14ac:dyDescent="0.3">
      <c r="A52" s="1">
        <f t="shared" ref="A52" si="21">A21</f>
        <v>7137</v>
      </c>
      <c r="B52" s="1">
        <f t="shared" si="2"/>
        <v>472</v>
      </c>
      <c r="C52" s="9" t="str">
        <f t="shared" si="3"/>
        <v>"ally_instance_ids": [],</v>
      </c>
      <c r="D52" s="1" t="s">
        <v>8026</v>
      </c>
      <c r="E52" s="1" t="str">
        <f>IF(DayNight&lt;&gt;"Night","",_xlfn.IFNA(MATCH(A52,Main!$I$126:$I$128,0),""))</f>
        <v/>
      </c>
    </row>
    <row r="53" spans="1:5" x14ac:dyDescent="0.3">
      <c r="A53" s="1">
        <f t="shared" ref="A53" si="22">A22</f>
        <v>7138</v>
      </c>
      <c r="B53" s="1">
        <f t="shared" si="2"/>
        <v>496</v>
      </c>
      <c r="C53" s="9" t="str">
        <f t="shared" si="3"/>
        <v>"ally_instance_ids": [],</v>
      </c>
      <c r="D53" s="1" t="s">
        <v>8026</v>
      </c>
      <c r="E53" s="1" t="str">
        <f>IF(DayNight&lt;&gt;"Night","",_xlfn.IFNA(MATCH(A53,Main!$I$126:$I$128,0),""))</f>
        <v/>
      </c>
    </row>
    <row r="54" spans="1:5" x14ac:dyDescent="0.3">
      <c r="A54" s="1">
        <f t="shared" ref="A54" si="23">A23</f>
        <v>7139</v>
      </c>
      <c r="B54" s="1">
        <f t="shared" si="2"/>
        <v>520</v>
      </c>
      <c r="C54" s="9" t="str">
        <f t="shared" si="3"/>
        <v>"ally_instance_ids": [],</v>
      </c>
      <c r="D54" s="1" t="s">
        <v>8026</v>
      </c>
      <c r="E54" s="1" t="str">
        <f>IF(DayNight&lt;&gt;"Night","",_xlfn.IFNA(MATCH(A54,Main!$I$126:$I$128,0),""))</f>
        <v/>
      </c>
    </row>
    <row r="55" spans="1:5" x14ac:dyDescent="0.3">
      <c r="A55" s="1">
        <f t="shared" ref="A55" si="24">A24</f>
        <v>7140</v>
      </c>
      <c r="B55" s="1">
        <f t="shared" si="2"/>
        <v>544</v>
      </c>
      <c r="C55" s="9" t="str">
        <f t="shared" si="3"/>
        <v>"ally_instance_ids": [],</v>
      </c>
      <c r="D55" s="1" t="s">
        <v>8026</v>
      </c>
      <c r="E55" s="1" t="str">
        <f>IF(DayNight&lt;&gt;"Night","",_xlfn.IFNA(MATCH(A55,Main!$I$126:$I$128,0),""))</f>
        <v/>
      </c>
    </row>
    <row r="56" spans="1:5" x14ac:dyDescent="0.3">
      <c r="A56" s="1">
        <f t="shared" ref="A56" si="25">A25</f>
        <v>7141</v>
      </c>
      <c r="B56" s="1">
        <f t="shared" si="2"/>
        <v>568</v>
      </c>
      <c r="C56" s="9" t="str">
        <f t="shared" si="3"/>
        <v>"ally_instance_ids": [],</v>
      </c>
      <c r="D56" s="1" t="s">
        <v>8026</v>
      </c>
      <c r="E56" s="1" t="str">
        <f>IF(DayNight&lt;&gt;"Night","",_xlfn.IFNA(MATCH(A56,Main!$I$126:$I$128,0),""))</f>
        <v/>
      </c>
    </row>
    <row r="57" spans="1:5" x14ac:dyDescent="0.3">
      <c r="A57" s="1">
        <f t="shared" ref="A57" si="26">A26</f>
        <v>7142</v>
      </c>
      <c r="B57" s="1">
        <f t="shared" si="2"/>
        <v>592</v>
      </c>
      <c r="C57" s="9" t="str">
        <f t="shared" si="3"/>
        <v>"ally_instance_ids": [],</v>
      </c>
      <c r="D57" s="1" t="s">
        <v>8026</v>
      </c>
      <c r="E57" s="1" t="str">
        <f>IF(DayNight&lt;&gt;"Night","",_xlfn.IFNA(MATCH(A57,Main!$I$126:$I$128,0),""))</f>
        <v/>
      </c>
    </row>
    <row r="58" spans="1:5" x14ac:dyDescent="0.3">
      <c r="A58" s="1">
        <f t="shared" ref="A58" si="27">A27</f>
        <v>7143</v>
      </c>
      <c r="B58" s="1">
        <f t="shared" si="2"/>
        <v>616</v>
      </c>
      <c r="C58" s="9" t="str">
        <f t="shared" si="3"/>
        <v>"ally_instance_ids": [],</v>
      </c>
      <c r="D58" s="1" t="s">
        <v>8026</v>
      </c>
      <c r="E58" s="1" t="str">
        <f>IF(DayNight&lt;&gt;"Night","",_xlfn.IFNA(MATCH(A58,Main!$I$126:$I$128,0),""))</f>
        <v/>
      </c>
    </row>
    <row r="59" spans="1:5" x14ac:dyDescent="0.3">
      <c r="A59" s="1">
        <f t="shared" ref="A59" si="28">A28</f>
        <v>7144</v>
      </c>
      <c r="B59" s="1">
        <f t="shared" si="2"/>
        <v>640</v>
      </c>
      <c r="C59" s="9" t="str">
        <f t="shared" si="3"/>
        <v>"ally_instance_ids": [],</v>
      </c>
      <c r="D59" s="1" t="s">
        <v>8026</v>
      </c>
      <c r="E59" s="1" t="str">
        <f>IF(DayNight&lt;&gt;"Night","",_xlfn.IFNA(MATCH(A59,Main!$I$126:$I$128,0),""))</f>
        <v/>
      </c>
    </row>
    <row r="60" spans="1:5" x14ac:dyDescent="0.3">
      <c r="A60" s="1">
        <f t="shared" ref="A60" si="29">A29</f>
        <v>7145</v>
      </c>
      <c r="B60" s="1">
        <f t="shared" si="2"/>
        <v>664</v>
      </c>
      <c r="C60" s="9" t="str">
        <f t="shared" si="3"/>
        <v>"ally_instance_ids": [],</v>
      </c>
      <c r="D60" s="1" t="s">
        <v>8026</v>
      </c>
      <c r="E60" s="1" t="str">
        <f>IF(DayNight&lt;&gt;"Night","",_xlfn.IFNA(MATCH(A60,Main!$I$126:$I$128,0),""))</f>
        <v/>
      </c>
    </row>
    <row r="61" spans="1:5" x14ac:dyDescent="0.3">
      <c r="A61" s="1">
        <f t="shared" ref="A61" si="30">A30</f>
        <v>7146</v>
      </c>
      <c r="B61" s="1">
        <f t="shared" si="2"/>
        <v>688</v>
      </c>
      <c r="C61" s="9" t="str">
        <f t="shared" si="3"/>
        <v>"ally_instance_ids": [],</v>
      </c>
      <c r="D61" s="1" t="s">
        <v>8026</v>
      </c>
      <c r="E61" s="1" t="str">
        <f>IF(DayNight&lt;&gt;"Night","",_xlfn.IFNA(MATCH(A61,Main!$I$126:$I$128,0),""))</f>
        <v/>
      </c>
    </row>
    <row r="62" spans="1:5" x14ac:dyDescent="0.3">
      <c r="A62" s="1">
        <f t="shared" ref="A62" si="31">A31</f>
        <v>7125</v>
      </c>
      <c r="B62" s="1">
        <f t="shared" si="2"/>
        <v>712</v>
      </c>
      <c r="C62" s="9" t="str">
        <f t="shared" si="3"/>
        <v>"ally_instance_ids": [],</v>
      </c>
      <c r="D62" s="1" t="s">
        <v>8026</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7310</v>
      </c>
      <c r="B9" s="1">
        <v>14</v>
      </c>
      <c r="C9" s="9" t="str">
        <f>CHAR(34)&amp;A9&amp;CHAR(34)&amp;": "&amp;CHAR(34)&amp;INDEX('Mapwide Buffs'!H:H,COUNTA('Mapwide Buffs'!A:A))&amp;CHAR(34)&amp;","</f>
        <v>"fight_environment_group": "",</v>
      </c>
    </row>
    <row r="10" spans="1:3" x14ac:dyDescent="0.3">
      <c r="A10" t="s">
        <v>7311</v>
      </c>
      <c r="B10" s="1">
        <v>15</v>
      </c>
      <c r="C10" s="9" t="str">
        <f>CHAR(34)&amp;A10&amp;CHAR(34)&amp;": "&amp;EnemyHPPercent/100&amp;","</f>
        <v>"enemy_hp_percent": 1,</v>
      </c>
    </row>
    <row r="11" spans="1:3" x14ac:dyDescent="0.3">
      <c r="A11" t="s">
        <v>7739</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7743</v>
      </c>
      <c r="B2" s="1">
        <v>10</v>
      </c>
      <c r="C2" s="9" t="str">
        <f>CHAR(34)&amp;A2&amp;CHAR(34)&amp;": "&amp;CHAR(34)&amp;IF(DayNight="Day",107,7173)&amp;CHAR(34)&amp;","</f>
        <v>"from_spot_id": "7173",</v>
      </c>
    </row>
    <row r="3" spans="1:3" x14ac:dyDescent="0.3">
      <c r="A3" t="s">
        <v>7744</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7633</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6760</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7798</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8520</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6371</v>
      </c>
      <c r="T20" s="16"/>
      <c r="U20" s="11"/>
      <c r="X20" s="1"/>
      <c r="Y20" s="25"/>
    </row>
    <row r="21" spans="1:25" x14ac:dyDescent="0.3">
      <c r="A21" s="129" t="s">
        <v>6372</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22" activePane="bottomLeft" state="frozen"/>
      <selection activeCell="A44" sqref="A1:K45"/>
      <selection pane="bottomLeft" activeCell="B20" sqref="B20"/>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35</v>
      </c>
      <c r="B20" t="s">
        <v>8625</v>
      </c>
      <c r="C20" s="1">
        <v>2</v>
      </c>
      <c r="D20" s="189" t="s">
        <v>8626</v>
      </c>
      <c r="E20" s="1">
        <v>0</v>
      </c>
      <c r="F20" s="1">
        <v>100</v>
      </c>
      <c r="G20" s="1">
        <v>200</v>
      </c>
      <c r="H20" s="1">
        <v>350</v>
      </c>
      <c r="I20" s="1">
        <v>550</v>
      </c>
      <c r="J20" s="1">
        <v>1</v>
      </c>
      <c r="K20" s="1">
        <v>0</v>
      </c>
    </row>
    <row r="21" spans="1:11" x14ac:dyDescent="0.3">
      <c r="A21" s="1">
        <v>17</v>
      </c>
      <c r="B21" t="s">
        <v>651</v>
      </c>
      <c r="C21" s="1">
        <v>1</v>
      </c>
      <c r="D21" t="s">
        <v>600</v>
      </c>
      <c r="E21" s="1">
        <v>0</v>
      </c>
      <c r="F21" s="1">
        <v>100</v>
      </c>
      <c r="G21" s="1">
        <v>500</v>
      </c>
      <c r="H21" s="1">
        <v>1500</v>
      </c>
      <c r="I21" s="1">
        <v>3000</v>
      </c>
      <c r="J21" s="1">
        <v>2</v>
      </c>
      <c r="K21" s="1">
        <v>0</v>
      </c>
    </row>
    <row r="22" spans="1:11" x14ac:dyDescent="0.3">
      <c r="A22" s="1">
        <v>1002</v>
      </c>
      <c r="B22" t="s">
        <v>615</v>
      </c>
      <c r="C22" s="1">
        <v>6</v>
      </c>
      <c r="D22" t="s">
        <v>616</v>
      </c>
      <c r="E22" s="1">
        <v>0</v>
      </c>
      <c r="F22" s="1">
        <v>100</v>
      </c>
      <c r="G22" s="1">
        <v>200</v>
      </c>
      <c r="H22" s="1">
        <v>350</v>
      </c>
      <c r="I22" s="1">
        <v>550</v>
      </c>
      <c r="J22" s="1">
        <v>2</v>
      </c>
      <c r="K22" s="1">
        <v>1</v>
      </c>
    </row>
    <row r="23" spans="1:11" x14ac:dyDescent="0.3">
      <c r="A23" s="1">
        <v>1008</v>
      </c>
      <c r="B23" t="s">
        <v>1605</v>
      </c>
      <c r="C23" s="1">
        <v>2</v>
      </c>
      <c r="D23" t="s">
        <v>1606</v>
      </c>
      <c r="E23" s="1">
        <v>0</v>
      </c>
      <c r="F23" s="1">
        <v>100</v>
      </c>
      <c r="G23" s="1">
        <v>200</v>
      </c>
      <c r="H23" s="1">
        <v>250</v>
      </c>
      <c r="I23" s="1">
        <v>550</v>
      </c>
      <c r="J23" s="1">
        <v>1</v>
      </c>
      <c r="K23" s="1">
        <v>1</v>
      </c>
    </row>
    <row r="24" spans="1:11" x14ac:dyDescent="0.3">
      <c r="A24" s="1">
        <v>1009</v>
      </c>
      <c r="B24" t="s">
        <v>7087</v>
      </c>
      <c r="C24" s="1">
        <v>2</v>
      </c>
      <c r="D24">
        <v>757097</v>
      </c>
      <c r="E24" s="1">
        <v>0</v>
      </c>
      <c r="F24" s="1">
        <v>100</v>
      </c>
      <c r="G24" s="1">
        <v>200</v>
      </c>
      <c r="H24" s="1">
        <v>350</v>
      </c>
      <c r="I24" s="1">
        <v>550</v>
      </c>
      <c r="J24" s="1">
        <v>1</v>
      </c>
      <c r="K24" s="1">
        <v>1</v>
      </c>
    </row>
    <row r="25" spans="1:11" x14ac:dyDescent="0.3">
      <c r="A25" s="1">
        <v>12</v>
      </c>
      <c r="B25" t="s">
        <v>594</v>
      </c>
      <c r="C25" s="1">
        <v>6</v>
      </c>
      <c r="D25" t="s">
        <v>595</v>
      </c>
      <c r="E25" s="1">
        <v>0</v>
      </c>
      <c r="F25" s="1">
        <v>100</v>
      </c>
      <c r="G25" s="1">
        <v>500</v>
      </c>
      <c r="H25" s="1">
        <v>1500</v>
      </c>
      <c r="I25" s="1">
        <v>3000</v>
      </c>
      <c r="J25" s="1">
        <v>2</v>
      </c>
      <c r="K25" s="1">
        <v>0</v>
      </c>
    </row>
    <row r="26" spans="1:11" x14ac:dyDescent="0.3">
      <c r="A26" s="1">
        <v>21</v>
      </c>
      <c r="B26" t="s">
        <v>604</v>
      </c>
      <c r="C26" s="1">
        <v>6</v>
      </c>
      <c r="D26" t="s">
        <v>605</v>
      </c>
      <c r="E26" s="1">
        <v>0</v>
      </c>
      <c r="F26" s="1">
        <v>100</v>
      </c>
      <c r="G26" s="1">
        <v>200</v>
      </c>
      <c r="H26" s="1">
        <v>350</v>
      </c>
      <c r="I26" s="1">
        <v>550</v>
      </c>
      <c r="J26" s="1">
        <v>1</v>
      </c>
      <c r="K26" s="1">
        <v>0</v>
      </c>
    </row>
    <row r="27" spans="1:11" x14ac:dyDescent="0.3">
      <c r="A27" s="1">
        <v>33</v>
      </c>
      <c r="B27" t="s">
        <v>7303</v>
      </c>
      <c r="C27" s="1">
        <v>6</v>
      </c>
      <c r="D27" t="s">
        <v>7304</v>
      </c>
      <c r="E27" s="1">
        <v>0</v>
      </c>
      <c r="F27" s="1">
        <v>100</v>
      </c>
      <c r="G27" s="1">
        <v>200</v>
      </c>
      <c r="H27" s="1">
        <v>350</v>
      </c>
      <c r="I27" s="1">
        <v>550</v>
      </c>
      <c r="J27" s="1">
        <v>1</v>
      </c>
      <c r="K27" s="1">
        <v>1</v>
      </c>
    </row>
    <row r="28" spans="1:11" x14ac:dyDescent="0.3">
      <c r="A28" s="1">
        <v>11</v>
      </c>
      <c r="B28" t="s">
        <v>645</v>
      </c>
      <c r="C28" s="1">
        <v>5</v>
      </c>
      <c r="D28" t="s">
        <v>593</v>
      </c>
      <c r="E28" s="1">
        <v>0</v>
      </c>
      <c r="F28" s="1">
        <v>100</v>
      </c>
      <c r="G28" s="1">
        <v>500</v>
      </c>
      <c r="H28" s="1">
        <v>1500</v>
      </c>
      <c r="I28" s="1">
        <v>3000</v>
      </c>
      <c r="J28" s="1">
        <v>2</v>
      </c>
      <c r="K28" s="1">
        <v>0</v>
      </c>
    </row>
    <row r="29" spans="1:11" x14ac:dyDescent="0.3">
      <c r="A29" s="1">
        <v>32</v>
      </c>
      <c r="B29" t="s">
        <v>7536</v>
      </c>
      <c r="C29" s="1">
        <v>3</v>
      </c>
      <c r="D29" s="189" t="s">
        <v>7537</v>
      </c>
      <c r="E29" s="1">
        <v>0</v>
      </c>
      <c r="F29" s="1">
        <v>100</v>
      </c>
      <c r="G29" s="1">
        <v>200</v>
      </c>
      <c r="H29" s="1">
        <v>350</v>
      </c>
      <c r="I29" s="1">
        <v>550</v>
      </c>
      <c r="J29" s="1">
        <v>1</v>
      </c>
      <c r="K29" s="1">
        <v>1</v>
      </c>
    </row>
    <row r="30" spans="1:11" x14ac:dyDescent="0.3">
      <c r="A30" s="1">
        <v>1006</v>
      </c>
      <c r="B30" t="s">
        <v>663</v>
      </c>
      <c r="C30" s="1">
        <v>2</v>
      </c>
      <c r="D30" t="s">
        <v>621</v>
      </c>
      <c r="E30" s="1">
        <v>0</v>
      </c>
      <c r="F30" s="1">
        <v>100</v>
      </c>
      <c r="G30" s="1">
        <v>200</v>
      </c>
      <c r="H30" s="1">
        <v>350</v>
      </c>
      <c r="I30" s="1">
        <v>550</v>
      </c>
      <c r="J30" s="1">
        <v>1</v>
      </c>
      <c r="K30" s="1">
        <v>1</v>
      </c>
    </row>
    <row r="31" spans="1:11" x14ac:dyDescent="0.3">
      <c r="A31" s="1">
        <v>26</v>
      </c>
      <c r="B31" t="s">
        <v>658</v>
      </c>
      <c r="C31" s="1">
        <v>1</v>
      </c>
      <c r="D31" t="s">
        <v>610</v>
      </c>
      <c r="E31" s="1">
        <v>0</v>
      </c>
      <c r="F31" s="1">
        <v>100</v>
      </c>
      <c r="G31" s="1">
        <v>500</v>
      </c>
      <c r="H31" s="1">
        <v>1500</v>
      </c>
      <c r="I31" s="1">
        <v>3000</v>
      </c>
      <c r="J31" s="1">
        <v>1</v>
      </c>
      <c r="K31" s="1">
        <v>0</v>
      </c>
    </row>
    <row r="32" spans="1:11" x14ac:dyDescent="0.3">
      <c r="A32" s="1">
        <v>10</v>
      </c>
      <c r="B32" t="s">
        <v>644</v>
      </c>
      <c r="C32" s="1">
        <v>5</v>
      </c>
      <c r="D32" t="s">
        <v>592</v>
      </c>
      <c r="E32" s="1">
        <v>0</v>
      </c>
      <c r="F32" s="1">
        <v>100</v>
      </c>
      <c r="G32" s="1">
        <v>500</v>
      </c>
      <c r="H32" s="1">
        <v>1500</v>
      </c>
      <c r="I32" s="1">
        <v>3000</v>
      </c>
      <c r="J32" s="1">
        <v>2</v>
      </c>
      <c r="K32" s="1">
        <v>0</v>
      </c>
    </row>
    <row r="33" spans="1:11" x14ac:dyDescent="0.3">
      <c r="A33" s="1">
        <v>16</v>
      </c>
      <c r="B33" t="s">
        <v>650</v>
      </c>
      <c r="C33" s="1">
        <v>1</v>
      </c>
      <c r="D33" t="s">
        <v>599</v>
      </c>
      <c r="E33" s="1">
        <v>0</v>
      </c>
      <c r="F33" s="1">
        <v>100</v>
      </c>
      <c r="G33" s="1">
        <v>500</v>
      </c>
      <c r="H33" s="1">
        <v>1500</v>
      </c>
      <c r="I33" s="1">
        <v>3000</v>
      </c>
      <c r="J33" s="1">
        <v>1</v>
      </c>
      <c r="K33" s="1">
        <v>0</v>
      </c>
    </row>
    <row r="34" spans="1:11" x14ac:dyDescent="0.3">
      <c r="A34" s="1">
        <v>13</v>
      </c>
      <c r="B34" t="s">
        <v>647</v>
      </c>
      <c r="C34" s="1">
        <v>6</v>
      </c>
      <c r="D34" t="s">
        <v>596</v>
      </c>
      <c r="E34" s="1">
        <v>0</v>
      </c>
      <c r="F34" s="1">
        <v>100</v>
      </c>
      <c r="G34" s="1">
        <v>500</v>
      </c>
      <c r="H34" s="1">
        <v>1500</v>
      </c>
      <c r="I34" s="1">
        <v>3000</v>
      </c>
      <c r="J34" s="1">
        <v>2</v>
      </c>
      <c r="K34" s="1">
        <v>0</v>
      </c>
    </row>
    <row r="35" spans="1:11" x14ac:dyDescent="0.3">
      <c r="A35" s="1">
        <v>1001</v>
      </c>
      <c r="B35" t="s">
        <v>235</v>
      </c>
      <c r="C35" s="1">
        <v>4</v>
      </c>
      <c r="D35" t="s">
        <v>614</v>
      </c>
      <c r="E35" s="1">
        <v>0</v>
      </c>
      <c r="F35" s="1">
        <v>100</v>
      </c>
      <c r="G35" s="1">
        <v>200</v>
      </c>
      <c r="H35" s="1">
        <v>350</v>
      </c>
      <c r="I35" s="1">
        <v>550</v>
      </c>
      <c r="J35" s="1">
        <v>1</v>
      </c>
      <c r="K35" s="1">
        <v>1</v>
      </c>
    </row>
    <row r="36" spans="1:11" x14ac:dyDescent="0.3">
      <c r="A36" s="1">
        <v>1005</v>
      </c>
      <c r="B36" t="s">
        <v>664</v>
      </c>
      <c r="C36" s="1">
        <v>2</v>
      </c>
      <c r="D36" t="s">
        <v>620</v>
      </c>
      <c r="E36" s="1">
        <v>0</v>
      </c>
      <c r="F36" s="1">
        <v>100</v>
      </c>
      <c r="G36" s="1">
        <v>200</v>
      </c>
      <c r="H36" s="1">
        <v>350</v>
      </c>
      <c r="I36" s="1">
        <v>550</v>
      </c>
      <c r="J36" s="1">
        <v>1</v>
      </c>
      <c r="K36" s="1">
        <v>1</v>
      </c>
    </row>
    <row r="37" spans="1:11" x14ac:dyDescent="0.3">
      <c r="A37" s="1">
        <v>4</v>
      </c>
      <c r="B37" t="s">
        <v>638</v>
      </c>
      <c r="C37" s="1">
        <v>3</v>
      </c>
      <c r="D37" t="s">
        <v>586</v>
      </c>
      <c r="E37" s="1">
        <v>0</v>
      </c>
      <c r="F37" s="1">
        <v>100</v>
      </c>
      <c r="G37" s="1">
        <v>500</v>
      </c>
      <c r="H37" s="1">
        <v>1500</v>
      </c>
      <c r="I37" s="1">
        <v>3000</v>
      </c>
      <c r="J37" s="1">
        <v>1</v>
      </c>
      <c r="K37" s="1">
        <v>0</v>
      </c>
    </row>
    <row r="38" spans="1:11" x14ac:dyDescent="0.3">
      <c r="A38" s="1">
        <v>7</v>
      </c>
      <c r="B38" t="s">
        <v>641</v>
      </c>
      <c r="C38" s="1">
        <v>4</v>
      </c>
      <c r="D38" t="s">
        <v>589</v>
      </c>
      <c r="E38" s="1">
        <v>0</v>
      </c>
      <c r="F38" s="1">
        <v>100</v>
      </c>
      <c r="G38" s="1">
        <v>500</v>
      </c>
      <c r="H38" s="1">
        <v>1500</v>
      </c>
      <c r="I38" s="1">
        <v>3000</v>
      </c>
      <c r="J38" s="1">
        <v>1</v>
      </c>
      <c r="K38" s="1">
        <v>0</v>
      </c>
    </row>
    <row r="39" spans="1:11" x14ac:dyDescent="0.3">
      <c r="A39" s="1">
        <v>1004</v>
      </c>
      <c r="B39" t="s">
        <v>662</v>
      </c>
      <c r="C39" s="1">
        <v>6</v>
      </c>
      <c r="D39" t="s">
        <v>619</v>
      </c>
      <c r="E39" s="1">
        <v>0</v>
      </c>
      <c r="F39" s="1">
        <v>100</v>
      </c>
      <c r="G39" s="1">
        <v>200</v>
      </c>
      <c r="H39" s="1">
        <v>350</v>
      </c>
      <c r="I39" s="1">
        <v>550</v>
      </c>
      <c r="J39" s="1">
        <v>2</v>
      </c>
      <c r="K39" s="1">
        <v>1</v>
      </c>
    </row>
    <row r="40" spans="1:11" x14ac:dyDescent="0.3">
      <c r="A40" s="1">
        <v>6</v>
      </c>
      <c r="B40" t="s">
        <v>640</v>
      </c>
      <c r="C40" s="1">
        <v>3</v>
      </c>
      <c r="D40" t="s">
        <v>588</v>
      </c>
      <c r="E40" s="1">
        <v>0</v>
      </c>
      <c r="F40" s="1">
        <v>100</v>
      </c>
      <c r="G40" s="1">
        <v>500</v>
      </c>
      <c r="H40" s="1">
        <v>1500</v>
      </c>
      <c r="I40" s="1">
        <v>3000</v>
      </c>
      <c r="J40" s="1">
        <v>1</v>
      </c>
      <c r="K40" s="1">
        <v>0</v>
      </c>
    </row>
    <row r="41" spans="1:11" x14ac:dyDescent="0.3">
      <c r="A41" s="1">
        <v>34</v>
      </c>
      <c r="B41" t="s">
        <v>7528</v>
      </c>
      <c r="C41" s="1">
        <v>2</v>
      </c>
      <c r="D41" s="189" t="s">
        <v>7529</v>
      </c>
      <c r="E41" s="1">
        <v>0</v>
      </c>
      <c r="F41" s="1">
        <v>100</v>
      </c>
      <c r="G41" s="1">
        <v>200</v>
      </c>
      <c r="H41" s="1">
        <v>350</v>
      </c>
      <c r="I41" s="1">
        <v>550</v>
      </c>
      <c r="J41" s="1">
        <v>1</v>
      </c>
      <c r="K41" s="1">
        <v>0</v>
      </c>
    </row>
    <row r="42" spans="1:11" x14ac:dyDescent="0.3">
      <c r="A42" s="1">
        <v>31</v>
      </c>
      <c r="B42" t="s">
        <v>5775</v>
      </c>
      <c r="C42" s="1">
        <v>6</v>
      </c>
      <c r="D42" t="s">
        <v>5774</v>
      </c>
      <c r="E42" s="1">
        <v>0</v>
      </c>
      <c r="F42" s="1">
        <v>100</v>
      </c>
      <c r="G42" s="1">
        <v>200</v>
      </c>
      <c r="H42" s="1">
        <v>350</v>
      </c>
      <c r="I42" s="1">
        <v>550</v>
      </c>
      <c r="J42" s="1">
        <v>2</v>
      </c>
      <c r="K42" s="1">
        <v>0</v>
      </c>
    </row>
    <row r="43" spans="1:11" x14ac:dyDescent="0.3">
      <c r="A43" s="1">
        <v>25</v>
      </c>
      <c r="B43" t="s">
        <v>657</v>
      </c>
      <c r="C43" s="1">
        <v>3</v>
      </c>
      <c r="D43" t="s">
        <v>609</v>
      </c>
      <c r="E43" s="1">
        <v>0</v>
      </c>
      <c r="F43" s="1">
        <v>100</v>
      </c>
      <c r="G43" s="1">
        <v>500</v>
      </c>
      <c r="H43" s="1">
        <v>1500</v>
      </c>
      <c r="I43" s="1">
        <v>3000</v>
      </c>
      <c r="J43" s="1">
        <v>1</v>
      </c>
      <c r="K43" s="1">
        <v>0</v>
      </c>
    </row>
    <row r="44" spans="1:11" x14ac:dyDescent="0.3">
      <c r="A44" s="1">
        <v>1</v>
      </c>
      <c r="B44" t="s">
        <v>646</v>
      </c>
      <c r="C44" s="1">
        <v>2</v>
      </c>
      <c r="D44" t="s">
        <v>583</v>
      </c>
      <c r="E44" s="1">
        <v>0</v>
      </c>
      <c r="F44" s="1">
        <v>100</v>
      </c>
      <c r="G44" s="1">
        <v>500</v>
      </c>
      <c r="H44" s="1">
        <v>1500</v>
      </c>
      <c r="I44" s="1">
        <v>3000</v>
      </c>
      <c r="J44" s="1">
        <v>1</v>
      </c>
      <c r="K44" s="1">
        <v>0</v>
      </c>
    </row>
    <row r="45" spans="1:11" x14ac:dyDescent="0.3">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6587</v>
      </c>
      <c r="B1" s="38" t="s">
        <v>938</v>
      </c>
      <c r="C1" s="38" t="s">
        <v>939</v>
      </c>
      <c r="E1" s="38" t="s">
        <v>6588</v>
      </c>
      <c r="F1" s="38" t="s">
        <v>938</v>
      </c>
      <c r="G1" s="38" t="s">
        <v>939</v>
      </c>
    </row>
    <row r="2" spans="1:7" x14ac:dyDescent="0.3">
      <c r="A2" s="9" t="s">
        <v>6598</v>
      </c>
      <c r="B2" s="1">
        <v>50008</v>
      </c>
      <c r="C2" s="1">
        <v>30011</v>
      </c>
      <c r="E2" s="9" t="s">
        <v>659</v>
      </c>
      <c r="F2" s="1">
        <v>1811</v>
      </c>
      <c r="G2" s="1">
        <v>18</v>
      </c>
    </row>
    <row r="3" spans="1:7" x14ac:dyDescent="0.3">
      <c r="A3" s="9" t="s">
        <v>659</v>
      </c>
      <c r="B3" s="1">
        <v>1801</v>
      </c>
      <c r="C3" s="1">
        <v>18</v>
      </c>
      <c r="E3" s="9" t="s">
        <v>6590</v>
      </c>
      <c r="F3" s="1">
        <v>440002</v>
      </c>
      <c r="G3" s="1">
        <v>4400</v>
      </c>
    </row>
    <row r="4" spans="1:7" x14ac:dyDescent="0.3">
      <c r="A4" s="9" t="s">
        <v>940</v>
      </c>
      <c r="B4" s="1">
        <v>1700</v>
      </c>
      <c r="C4" s="1">
        <v>17</v>
      </c>
      <c r="E4" s="9" t="s">
        <v>6601</v>
      </c>
      <c r="F4" s="1">
        <v>10086</v>
      </c>
      <c r="G4" s="1">
        <v>9</v>
      </c>
    </row>
    <row r="5" spans="1:7" x14ac:dyDescent="0.3">
      <c r="A5" s="9" t="s">
        <v>941</v>
      </c>
      <c r="B5" s="1">
        <v>1701</v>
      </c>
      <c r="C5" s="1">
        <v>17</v>
      </c>
      <c r="E5" s="9" t="s">
        <v>7506</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6589</v>
      </c>
      <c r="B8" s="1">
        <v>440001</v>
      </c>
      <c r="C8" s="1">
        <v>4400</v>
      </c>
      <c r="E8" s="9"/>
      <c r="F8" s="1"/>
      <c r="G8" s="1"/>
    </row>
    <row r="9" spans="1:7" x14ac:dyDescent="0.3">
      <c r="A9" s="9" t="s">
        <v>6599</v>
      </c>
      <c r="B9" s="1">
        <v>5</v>
      </c>
      <c r="C9" s="1">
        <v>6</v>
      </c>
      <c r="E9" s="9"/>
      <c r="F9" s="1"/>
      <c r="G9" s="1"/>
    </row>
    <row r="10" spans="1:7" x14ac:dyDescent="0.3">
      <c r="A10" s="9" t="s">
        <v>6337</v>
      </c>
      <c r="B10" s="1">
        <v>2000</v>
      </c>
      <c r="C10" s="1">
        <v>20</v>
      </c>
      <c r="E10" s="9"/>
      <c r="F10" s="1"/>
      <c r="G10" s="1"/>
    </row>
    <row r="11" spans="1:7" x14ac:dyDescent="0.3">
      <c r="A11" s="9" t="s">
        <v>6338</v>
      </c>
      <c r="B11" s="1">
        <v>1900</v>
      </c>
      <c r="C11" s="1">
        <v>19</v>
      </c>
      <c r="E11" s="9"/>
      <c r="F11" s="1"/>
      <c r="G11" s="1"/>
    </row>
    <row r="12" spans="1:7" x14ac:dyDescent="0.3">
      <c r="A12" t="s">
        <v>7305</v>
      </c>
      <c r="B12" s="1">
        <v>6580005</v>
      </c>
      <c r="C12" s="1">
        <v>65800</v>
      </c>
      <c r="E12" s="9"/>
      <c r="F12" s="1"/>
      <c r="G12" s="1"/>
    </row>
    <row r="13" spans="1:7" x14ac:dyDescent="0.3">
      <c r="A13" t="s">
        <v>7306</v>
      </c>
      <c r="B13" s="1">
        <v>6580007</v>
      </c>
      <c r="C13" s="1">
        <v>65800</v>
      </c>
      <c r="E13" s="9"/>
      <c r="F13" s="1"/>
      <c r="G13" s="1"/>
    </row>
    <row r="14" spans="1:7" x14ac:dyDescent="0.3">
      <c r="A14" t="s">
        <v>7307</v>
      </c>
      <c r="B14" s="1">
        <v>6580008</v>
      </c>
      <c r="C14" s="1">
        <v>65800</v>
      </c>
      <c r="E14" s="9"/>
      <c r="F14" s="1"/>
      <c r="G14" s="1"/>
    </row>
    <row r="15" spans="1:7" x14ac:dyDescent="0.3">
      <c r="A15" t="s">
        <v>7308</v>
      </c>
      <c r="B15" s="1">
        <v>6580009</v>
      </c>
      <c r="C15" s="1">
        <v>65800</v>
      </c>
      <c r="E15" s="9"/>
      <c r="F15" s="1"/>
      <c r="G15" s="1"/>
    </row>
    <row r="16" spans="1:7" x14ac:dyDescent="0.3">
      <c r="A16" t="s">
        <v>7309</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6459</v>
      </c>
      <c r="B19" s="1">
        <v>50007</v>
      </c>
      <c r="C19" s="1">
        <v>30009</v>
      </c>
    </row>
    <row r="20" spans="1:3" x14ac:dyDescent="0.3">
      <c r="A20" s="9" t="s">
        <v>7438</v>
      </c>
      <c r="B20" s="1">
        <v>6540000</v>
      </c>
      <c r="C20" s="1">
        <v>6540001</v>
      </c>
    </row>
    <row r="21" spans="1:3" x14ac:dyDescent="0.3">
      <c r="A21" s="9" t="s">
        <v>7439</v>
      </c>
      <c r="B21" s="1">
        <v>6540003</v>
      </c>
      <c r="C21" s="1">
        <v>6540001</v>
      </c>
    </row>
    <row r="22" spans="1:3" x14ac:dyDescent="0.3">
      <c r="A22" s="9" t="s">
        <v>7440</v>
      </c>
      <c r="B22" s="1">
        <v>6540006</v>
      </c>
      <c r="C22" s="1">
        <v>6540001</v>
      </c>
    </row>
    <row r="23" spans="1:3" x14ac:dyDescent="0.3">
      <c r="A23" s="9" t="s">
        <v>7441</v>
      </c>
      <c r="B23" s="1">
        <v>6540010</v>
      </c>
      <c r="C23" s="1">
        <v>6540001</v>
      </c>
    </row>
    <row r="24" spans="1:3" x14ac:dyDescent="0.3">
      <c r="A24" s="9" t="s">
        <v>6600</v>
      </c>
      <c r="B24" s="1">
        <v>10086</v>
      </c>
      <c r="C24" s="1">
        <v>9</v>
      </c>
    </row>
    <row r="25" spans="1:3" x14ac:dyDescent="0.3">
      <c r="A25" s="9" t="s">
        <v>7505</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48"/>
  <sheetViews>
    <sheetView topLeftCell="AF1" workbookViewId="0">
      <pane ySplit="1" topLeftCell="A424" activePane="bottomLeft" state="frozen"/>
      <selection activeCell="AV2" sqref="AV2"/>
      <selection pane="bottomLeft" activeCell="AV2" sqref="AV2"/>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6365</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6366</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6367</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6368</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8213</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5668</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5667</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6374</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5634</v>
      </c>
      <c r="C266" s="1" t="s">
        <v>5635</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5636</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5637</v>
      </c>
      <c r="C267" s="1" t="s">
        <v>5638</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5639</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5640</v>
      </c>
      <c r="C268" s="1" t="s">
        <v>5641</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5642</v>
      </c>
      <c r="AJ268" s="1">
        <v>0</v>
      </c>
      <c r="AK268" s="1" t="s">
        <v>5643</v>
      </c>
      <c r="AL268" s="1" t="s">
        <v>5644</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5645</v>
      </c>
      <c r="C269" s="1" t="s">
        <v>5646</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5647</v>
      </c>
      <c r="AJ269" s="1">
        <v>0</v>
      </c>
      <c r="AK269" s="1" t="s">
        <v>5648</v>
      </c>
      <c r="AL269" s="1" t="s">
        <v>5649</v>
      </c>
      <c r="AM269" s="1">
        <v>0.45</v>
      </c>
      <c r="AN269" s="1">
        <v>0.15</v>
      </c>
      <c r="AO269" s="1">
        <v>0.3</v>
      </c>
      <c r="AP269" s="1">
        <v>0.15</v>
      </c>
      <c r="AQ269" s="1">
        <v>3</v>
      </c>
      <c r="AR269" s="1" t="s">
        <v>5650</v>
      </c>
      <c r="AS269" s="1">
        <v>0</v>
      </c>
      <c r="AT269" s="1" t="s">
        <v>1806</v>
      </c>
      <c r="AU269" s="1">
        <v>10</v>
      </c>
      <c r="AV269" s="1">
        <v>18084</v>
      </c>
      <c r="AW269" s="1">
        <v>0</v>
      </c>
      <c r="AX269" t="b">
        <v>0</v>
      </c>
    </row>
    <row r="270" spans="1:50" x14ac:dyDescent="0.3">
      <c r="A270" s="1">
        <v>271</v>
      </c>
      <c r="B270" s="1" t="s">
        <v>5752</v>
      </c>
      <c r="C270" s="1" t="s">
        <v>5753</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5754</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5755</v>
      </c>
      <c r="C271" s="1" t="s">
        <v>5756</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5720</v>
      </c>
      <c r="AH271" s="1">
        <v>3600</v>
      </c>
      <c r="AI271" s="1" t="s">
        <v>1843</v>
      </c>
      <c r="AJ271" s="1">
        <v>0</v>
      </c>
      <c r="AK271" s="1" t="s">
        <v>5751</v>
      </c>
      <c r="AL271" s="1" t="s">
        <v>5757</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5758</v>
      </c>
      <c r="C272" s="1" t="s">
        <v>5759</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5735</v>
      </c>
      <c r="AH272" s="1">
        <v>3600</v>
      </c>
      <c r="AI272" s="1" t="s">
        <v>5642</v>
      </c>
      <c r="AJ272" s="1">
        <v>0</v>
      </c>
      <c r="AK272" s="1" t="s">
        <v>5760</v>
      </c>
      <c r="AL272" s="1" t="s">
        <v>5761</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5762</v>
      </c>
      <c r="C273" s="1" t="s">
        <v>5763</v>
      </c>
      <c r="D273" s="1">
        <v>5</v>
      </c>
      <c r="E273" s="1">
        <v>1</v>
      </c>
      <c r="F273" s="1">
        <v>18</v>
      </c>
      <c r="G273" s="1" t="s">
        <v>328</v>
      </c>
      <c r="H273" s="1" t="s">
        <v>328</v>
      </c>
      <c r="I273" s="1" t="s">
        <v>328</v>
      </c>
      <c r="J273" s="1" t="s">
        <v>328</v>
      </c>
      <c r="K273" s="1" t="s">
        <v>328</v>
      </c>
      <c r="L273" s="1" t="s">
        <v>389</v>
      </c>
      <c r="M273" s="1" t="s">
        <v>5764</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5728</v>
      </c>
      <c r="AH273" s="1">
        <v>3600</v>
      </c>
      <c r="AI273" s="1" t="s">
        <v>1843</v>
      </c>
      <c r="AJ273" s="1">
        <v>0</v>
      </c>
      <c r="AK273" s="1" t="s">
        <v>5765</v>
      </c>
      <c r="AL273" s="1" t="s">
        <v>5766</v>
      </c>
      <c r="AM273" s="1">
        <v>0.45</v>
      </c>
      <c r="AN273" s="1">
        <v>0.15</v>
      </c>
      <c r="AO273" s="1">
        <v>0.3</v>
      </c>
      <c r="AP273" s="1">
        <v>0.15</v>
      </c>
      <c r="AQ273" s="1">
        <v>3</v>
      </c>
      <c r="AR273" s="1" t="s">
        <v>5767</v>
      </c>
      <c r="AS273" s="1">
        <v>0</v>
      </c>
      <c r="AT273" s="1" t="s">
        <v>1806</v>
      </c>
      <c r="AU273" s="1">
        <v>10</v>
      </c>
      <c r="AV273" s="1">
        <v>18086</v>
      </c>
      <c r="AW273" s="1">
        <v>0</v>
      </c>
      <c r="AX273" t="b">
        <v>0</v>
      </c>
    </row>
    <row r="274" spans="1:50" x14ac:dyDescent="0.3">
      <c r="A274" s="1">
        <v>275</v>
      </c>
      <c r="B274" s="1" t="s">
        <v>5768</v>
      </c>
      <c r="C274" s="1" t="s">
        <v>5769</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5744</v>
      </c>
      <c r="AH274" s="1">
        <v>3060</v>
      </c>
      <c r="AI274" s="1" t="s">
        <v>2406</v>
      </c>
      <c r="AJ274" s="1">
        <v>0</v>
      </c>
      <c r="AK274" s="1" t="s">
        <v>5770</v>
      </c>
      <c r="AL274" s="1" t="s">
        <v>5771</v>
      </c>
      <c r="AM274" s="1">
        <v>0.3</v>
      </c>
      <c r="AN274" s="1">
        <v>0.23</v>
      </c>
      <c r="AO274" s="1">
        <v>0.15</v>
      </c>
      <c r="AP274" s="1">
        <v>0.38</v>
      </c>
      <c r="AQ274" s="1">
        <v>3</v>
      </c>
      <c r="AR274" s="1" t="s">
        <v>5772</v>
      </c>
      <c r="AS274" s="1">
        <v>0</v>
      </c>
      <c r="AT274" s="1" t="s">
        <v>1806</v>
      </c>
      <c r="AU274" s="1">
        <v>10</v>
      </c>
      <c r="AV274" s="1">
        <v>20047</v>
      </c>
      <c r="AW274" s="1">
        <v>0</v>
      </c>
      <c r="AX274" t="b">
        <v>0</v>
      </c>
    </row>
    <row r="275" spans="1:50" x14ac:dyDescent="0.3">
      <c r="A275" s="1">
        <v>276</v>
      </c>
      <c r="B275" s="1" t="s">
        <v>6306</v>
      </c>
      <c r="C275" s="1" t="s">
        <v>6307</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6308</v>
      </c>
      <c r="AL275" s="1" t="s">
        <v>6309</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6341</v>
      </c>
      <c r="C276" s="1" t="s">
        <v>6342</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6343</v>
      </c>
      <c r="AJ276" s="1">
        <v>0</v>
      </c>
      <c r="AK276" s="1" t="s">
        <v>5376</v>
      </c>
      <c r="AL276" s="1" t="s">
        <v>6344</v>
      </c>
      <c r="AM276" s="1">
        <v>0.55000000000000004</v>
      </c>
      <c r="AN276" s="1">
        <v>0.23</v>
      </c>
      <c r="AO276" s="1">
        <v>0.23</v>
      </c>
      <c r="AP276" s="1">
        <v>0.23</v>
      </c>
      <c r="AQ276" s="1">
        <v>3</v>
      </c>
      <c r="AR276" s="1" t="s">
        <v>6345</v>
      </c>
      <c r="AS276" s="1">
        <v>0</v>
      </c>
      <c r="AT276" s="1" t="s">
        <v>1806</v>
      </c>
      <c r="AU276" s="1">
        <v>10</v>
      </c>
      <c r="AV276" s="1">
        <v>18088</v>
      </c>
      <c r="AW276" s="1">
        <v>0</v>
      </c>
      <c r="AX276" t="b">
        <v>0</v>
      </c>
    </row>
    <row r="277" spans="1:50" x14ac:dyDescent="0.3">
      <c r="A277" s="1">
        <v>278</v>
      </c>
      <c r="B277" s="1" t="s">
        <v>6401</v>
      </c>
      <c r="C277" s="1" t="s">
        <v>6402</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6403</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6404</v>
      </c>
      <c r="C278" s="1" t="s">
        <v>6405</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6406</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6407</v>
      </c>
      <c r="C279" s="1" t="s">
        <v>6408</v>
      </c>
      <c r="D279" s="1">
        <v>5</v>
      </c>
      <c r="E279" s="1">
        <v>2</v>
      </c>
      <c r="F279" s="1">
        <v>19</v>
      </c>
      <c r="G279" s="1" t="s">
        <v>6409</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6410</v>
      </c>
      <c r="AJ279" s="1">
        <v>0</v>
      </c>
      <c r="AK279" s="1" t="s">
        <v>5229</v>
      </c>
      <c r="AL279" s="1" t="s">
        <v>6411</v>
      </c>
      <c r="AM279" s="1">
        <v>0.48</v>
      </c>
      <c r="AN279" s="1">
        <v>0.48</v>
      </c>
      <c r="AO279" s="1">
        <v>0.08</v>
      </c>
      <c r="AP279" s="1">
        <v>0.25</v>
      </c>
      <c r="AQ279" s="1">
        <v>3</v>
      </c>
      <c r="AR279" s="1" t="s">
        <v>6412</v>
      </c>
      <c r="AS279" s="1">
        <v>0</v>
      </c>
      <c r="AT279" s="1" t="s">
        <v>1806</v>
      </c>
      <c r="AU279" s="1">
        <v>10</v>
      </c>
      <c r="AV279" s="1">
        <v>19039</v>
      </c>
      <c r="AW279" s="1">
        <v>0</v>
      </c>
      <c r="AX279" t="b">
        <v>0</v>
      </c>
    </row>
    <row r="280" spans="1:50" x14ac:dyDescent="0.3">
      <c r="A280" s="1">
        <v>281</v>
      </c>
      <c r="B280" s="1" t="s">
        <v>6413</v>
      </c>
      <c r="C280" s="1" t="s">
        <v>6414</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6415</v>
      </c>
      <c r="AL280" s="1" t="s">
        <v>6416</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6417</v>
      </c>
      <c r="C281" s="1" t="s">
        <v>6418</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6419</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6446</v>
      </c>
      <c r="C282" s="1" t="s">
        <v>6447</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6448</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6492</v>
      </c>
      <c r="C283" s="1" t="s">
        <v>6493</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6462</v>
      </c>
      <c r="AH283" s="1">
        <v>3600</v>
      </c>
      <c r="AI283" s="1" t="s">
        <v>1843</v>
      </c>
      <c r="AJ283" s="1">
        <v>0</v>
      </c>
      <c r="AK283" s="1" t="s">
        <v>6490</v>
      </c>
      <c r="AL283" s="1" t="s">
        <v>6494</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6495</v>
      </c>
      <c r="C284" s="1" t="s">
        <v>6496</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6470</v>
      </c>
      <c r="AH284" s="1">
        <v>3600</v>
      </c>
      <c r="AI284" s="1" t="s">
        <v>1843</v>
      </c>
      <c r="AJ284" s="1">
        <v>0</v>
      </c>
      <c r="AK284" s="1" t="s">
        <v>6489</v>
      </c>
      <c r="AL284" s="1" t="s">
        <v>6497</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6498</v>
      </c>
      <c r="C285" s="1" t="s">
        <v>6499</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6508</v>
      </c>
      <c r="AH285" s="1">
        <v>3600</v>
      </c>
      <c r="AI285" s="1" t="s">
        <v>6500</v>
      </c>
      <c r="AJ285" s="1">
        <v>0</v>
      </c>
      <c r="AK285" s="1" t="s">
        <v>6491</v>
      </c>
      <c r="AL285" s="1" t="s">
        <v>6501</v>
      </c>
      <c r="AM285" s="1">
        <v>0.48</v>
      </c>
      <c r="AN285" s="1">
        <v>0.48</v>
      </c>
      <c r="AO285" s="1">
        <v>0.08</v>
      </c>
      <c r="AP285" s="1">
        <v>0.25</v>
      </c>
      <c r="AQ285" s="1">
        <v>3</v>
      </c>
      <c r="AR285" s="1" t="s">
        <v>1493</v>
      </c>
      <c r="AS285" s="1">
        <v>0</v>
      </c>
      <c r="AT285" s="1" t="s">
        <v>6502</v>
      </c>
      <c r="AU285" s="1">
        <v>10</v>
      </c>
      <c r="AV285" s="1">
        <v>19042</v>
      </c>
      <c r="AW285" s="1">
        <v>0</v>
      </c>
      <c r="AX285" t="b">
        <v>0</v>
      </c>
    </row>
    <row r="286" spans="1:50" x14ac:dyDescent="0.3">
      <c r="A286" s="1">
        <v>287</v>
      </c>
      <c r="B286" s="1" t="s">
        <v>6503</v>
      </c>
      <c r="C286" s="1" t="s">
        <v>6504</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6483</v>
      </c>
      <c r="AH286" s="1">
        <v>2700</v>
      </c>
      <c r="AI286" s="1" t="s">
        <v>6505</v>
      </c>
      <c r="AJ286" s="1">
        <v>0</v>
      </c>
      <c r="AK286" s="1" t="s">
        <v>6506</v>
      </c>
      <c r="AL286" s="1" t="s">
        <v>6507</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6515</v>
      </c>
      <c r="C287" s="1" t="s">
        <v>6516</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6517</v>
      </c>
      <c r="AL287" s="1" t="s">
        <v>6518</v>
      </c>
      <c r="AM287" s="1">
        <v>0.45</v>
      </c>
      <c r="AN287" s="1">
        <v>0.15</v>
      </c>
      <c r="AO287" s="1">
        <v>0.3</v>
      </c>
      <c r="AP287" s="1">
        <v>0.15</v>
      </c>
      <c r="AQ287" s="1">
        <v>3</v>
      </c>
      <c r="AR287" s="1" t="s">
        <v>6519</v>
      </c>
      <c r="AS287" s="1">
        <v>0</v>
      </c>
      <c r="AT287" s="1" t="s">
        <v>6520</v>
      </c>
      <c r="AU287" s="1">
        <v>10</v>
      </c>
      <c r="AV287" s="1">
        <v>18095</v>
      </c>
      <c r="AW287" s="1">
        <v>0</v>
      </c>
      <c r="AX287" t="b">
        <v>0</v>
      </c>
    </row>
    <row r="288" spans="1:50" x14ac:dyDescent="0.3">
      <c r="A288">
        <v>289</v>
      </c>
      <c r="B288" t="s">
        <v>6538</v>
      </c>
      <c r="C288" t="s">
        <v>6539</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6540</v>
      </c>
      <c r="AL288" s="1" t="s">
        <v>6541</v>
      </c>
      <c r="AM288" s="1">
        <v>0.45</v>
      </c>
      <c r="AN288" s="1">
        <v>0.15</v>
      </c>
      <c r="AO288" s="1">
        <v>0.3</v>
      </c>
      <c r="AP288" s="1">
        <v>0.15</v>
      </c>
      <c r="AQ288" s="1">
        <v>3</v>
      </c>
      <c r="AR288" t="s">
        <v>6542</v>
      </c>
      <c r="AS288">
        <v>0</v>
      </c>
      <c r="AT288" t="s">
        <v>1806</v>
      </c>
      <c r="AU288">
        <v>10</v>
      </c>
      <c r="AV288">
        <v>18096</v>
      </c>
      <c r="AW288">
        <v>0</v>
      </c>
      <c r="AX288" t="b">
        <v>0</v>
      </c>
    </row>
    <row r="289" spans="1:50" x14ac:dyDescent="0.3">
      <c r="A289">
        <v>290</v>
      </c>
      <c r="B289" t="s">
        <v>6543</v>
      </c>
      <c r="C289" t="s">
        <v>6544</v>
      </c>
      <c r="D289">
        <v>5</v>
      </c>
      <c r="E289">
        <v>1</v>
      </c>
      <c r="F289">
        <v>18</v>
      </c>
      <c r="G289" s="1" t="s">
        <v>398</v>
      </c>
      <c r="H289" s="1" t="s">
        <v>335</v>
      </c>
      <c r="I289" s="1" t="s">
        <v>328</v>
      </c>
      <c r="J289" s="1" t="s">
        <v>328</v>
      </c>
      <c r="K289" s="1" t="s">
        <v>328</v>
      </c>
      <c r="L289" s="1" t="s">
        <v>328</v>
      </c>
      <c r="M289" s="1" t="s">
        <v>6545</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6546</v>
      </c>
      <c r="AL289" s="1" t="s">
        <v>6547</v>
      </c>
      <c r="AM289" s="1">
        <v>0.45</v>
      </c>
      <c r="AN289" s="1">
        <v>0.15</v>
      </c>
      <c r="AO289" s="1">
        <v>0.3</v>
      </c>
      <c r="AP289" s="1">
        <v>0.15</v>
      </c>
      <c r="AQ289" s="1">
        <v>3</v>
      </c>
      <c r="AR289" t="s">
        <v>6548</v>
      </c>
      <c r="AS289">
        <v>0</v>
      </c>
      <c r="AT289" t="s">
        <v>1806</v>
      </c>
      <c r="AU289">
        <v>10</v>
      </c>
      <c r="AV289">
        <v>18097</v>
      </c>
      <c r="AW289">
        <v>0</v>
      </c>
      <c r="AX289" t="b">
        <v>0</v>
      </c>
    </row>
    <row r="290" spans="1:50" x14ac:dyDescent="0.3">
      <c r="A290">
        <v>291</v>
      </c>
      <c r="B290" t="s">
        <v>6549</v>
      </c>
      <c r="C290" t="s">
        <v>6550</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6551</v>
      </c>
      <c r="AL290" s="1" t="s">
        <v>6552</v>
      </c>
      <c r="AM290" s="1">
        <v>0.45</v>
      </c>
      <c r="AN290" s="1">
        <v>0.15</v>
      </c>
      <c r="AO290" s="1">
        <v>0.3</v>
      </c>
      <c r="AP290" s="1">
        <v>0.15</v>
      </c>
      <c r="AQ290" s="1">
        <v>3</v>
      </c>
      <c r="AR290" t="s">
        <v>5650</v>
      </c>
      <c r="AS290">
        <v>0</v>
      </c>
      <c r="AT290" t="s">
        <v>1806</v>
      </c>
      <c r="AU290">
        <v>10</v>
      </c>
      <c r="AV290">
        <v>18098</v>
      </c>
      <c r="AW290">
        <v>0</v>
      </c>
      <c r="AX290" t="b">
        <v>0</v>
      </c>
    </row>
    <row r="291" spans="1:50" x14ac:dyDescent="0.3">
      <c r="A291">
        <v>292</v>
      </c>
      <c r="B291" t="s">
        <v>6553</v>
      </c>
      <c r="C291" t="s">
        <v>6554</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6555</v>
      </c>
      <c r="AJ291">
        <v>0</v>
      </c>
      <c r="AK291" s="1" t="s">
        <v>6556</v>
      </c>
      <c r="AL291" s="1" t="s">
        <v>6557</v>
      </c>
      <c r="AM291" s="1">
        <v>0.45</v>
      </c>
      <c r="AN291" s="1">
        <v>0.15</v>
      </c>
      <c r="AO291" s="1">
        <v>0.3</v>
      </c>
      <c r="AP291" s="1">
        <v>0.15</v>
      </c>
      <c r="AQ291" s="1">
        <v>3</v>
      </c>
      <c r="AR291" t="s">
        <v>5498</v>
      </c>
      <c r="AS291">
        <v>0</v>
      </c>
      <c r="AT291" t="s">
        <v>6558</v>
      </c>
      <c r="AU291">
        <v>10</v>
      </c>
      <c r="AV291">
        <v>18099</v>
      </c>
      <c r="AW291">
        <v>0</v>
      </c>
      <c r="AX291" t="b">
        <v>0</v>
      </c>
    </row>
    <row r="292" spans="1:50" x14ac:dyDescent="0.3">
      <c r="A292">
        <v>293</v>
      </c>
      <c r="B292" t="s">
        <v>6609</v>
      </c>
      <c r="C292" t="s">
        <v>6610</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6611</v>
      </c>
      <c r="AL292" s="1" t="s">
        <v>6612</v>
      </c>
      <c r="AM292" s="1">
        <v>0.23</v>
      </c>
      <c r="AN292" s="1">
        <v>0.23</v>
      </c>
      <c r="AO292" s="1">
        <v>0.33</v>
      </c>
      <c r="AP292" s="1">
        <v>0.33</v>
      </c>
      <c r="AQ292" s="1">
        <v>3</v>
      </c>
      <c r="AR292" t="s">
        <v>6613</v>
      </c>
      <c r="AS292">
        <v>0</v>
      </c>
      <c r="AT292" t="s">
        <v>1806</v>
      </c>
      <c r="AU292">
        <v>10</v>
      </c>
      <c r="AV292">
        <v>20048</v>
      </c>
      <c r="AW292">
        <v>0</v>
      </c>
      <c r="AX292" t="b">
        <v>0</v>
      </c>
    </row>
    <row r="293" spans="1:50" x14ac:dyDescent="0.3">
      <c r="A293">
        <v>294</v>
      </c>
      <c r="B293" t="s">
        <v>6614</v>
      </c>
      <c r="C293" t="s">
        <v>6615</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6616</v>
      </c>
      <c r="AL293" s="1" t="s">
        <v>6617</v>
      </c>
      <c r="AM293" s="1">
        <v>0.45</v>
      </c>
      <c r="AN293" s="1">
        <v>0.15</v>
      </c>
      <c r="AO293" s="1">
        <v>0.3</v>
      </c>
      <c r="AP293" s="1">
        <v>0.15</v>
      </c>
      <c r="AQ293" s="1">
        <v>3</v>
      </c>
      <c r="AR293" t="s">
        <v>1521</v>
      </c>
      <c r="AS293">
        <v>0</v>
      </c>
      <c r="AT293" t="s">
        <v>6618</v>
      </c>
      <c r="AU293">
        <v>10</v>
      </c>
      <c r="AV293">
        <v>18100</v>
      </c>
      <c r="AW293">
        <v>0</v>
      </c>
      <c r="AX293" t="b">
        <v>0</v>
      </c>
    </row>
    <row r="294" spans="1:50" x14ac:dyDescent="0.3">
      <c r="A294">
        <v>295</v>
      </c>
      <c r="B294" t="s">
        <v>6621</v>
      </c>
      <c r="C294" t="s">
        <v>6622</v>
      </c>
      <c r="D294">
        <v>5</v>
      </c>
      <c r="E294">
        <v>1</v>
      </c>
      <c r="F294">
        <v>18</v>
      </c>
      <c r="G294" s="1" t="s">
        <v>328</v>
      </c>
      <c r="H294" s="1" t="s">
        <v>328</v>
      </c>
      <c r="I294" s="1" t="s">
        <v>328</v>
      </c>
      <c r="J294" s="1" t="s">
        <v>328</v>
      </c>
      <c r="K294" s="1" t="s">
        <v>328</v>
      </c>
      <c r="L294" s="1" t="s">
        <v>402</v>
      </c>
      <c r="M294" s="1" t="s">
        <v>6623</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6624</v>
      </c>
      <c r="AJ294">
        <v>0</v>
      </c>
      <c r="AK294" s="1" t="s">
        <v>6625</v>
      </c>
      <c r="AL294" s="1" t="s">
        <v>6626</v>
      </c>
      <c r="AM294" s="1">
        <v>0.45</v>
      </c>
      <c r="AN294" s="1">
        <v>0.15</v>
      </c>
      <c r="AO294" s="1">
        <v>0.3</v>
      </c>
      <c r="AP294" s="1">
        <v>0.15</v>
      </c>
      <c r="AQ294" s="1">
        <v>3</v>
      </c>
      <c r="AR294" t="s">
        <v>6627</v>
      </c>
      <c r="AS294">
        <v>0</v>
      </c>
      <c r="AT294" t="s">
        <v>6628</v>
      </c>
      <c r="AU294">
        <v>10</v>
      </c>
      <c r="AV294">
        <v>18101</v>
      </c>
      <c r="AW294">
        <v>0</v>
      </c>
      <c r="AX294" t="b">
        <v>0</v>
      </c>
    </row>
    <row r="295" spans="1:50" x14ac:dyDescent="0.3">
      <c r="A295">
        <v>296</v>
      </c>
      <c r="B295" t="s">
        <v>6731</v>
      </c>
      <c r="C295" t="s">
        <v>6732</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6754</v>
      </c>
      <c r="AH295" s="1">
        <v>3600</v>
      </c>
      <c r="AI295" t="s">
        <v>1843</v>
      </c>
      <c r="AJ295">
        <v>0</v>
      </c>
      <c r="AK295" s="1" t="s">
        <v>6733</v>
      </c>
      <c r="AL295" s="1" t="s">
        <v>6734</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6735</v>
      </c>
      <c r="C296" t="s">
        <v>6736</v>
      </c>
      <c r="D296">
        <v>5</v>
      </c>
      <c r="E296">
        <v>3</v>
      </c>
      <c r="F296">
        <v>20</v>
      </c>
      <c r="G296" s="1" t="s">
        <v>328</v>
      </c>
      <c r="H296" s="1" t="s">
        <v>328</v>
      </c>
      <c r="I296" s="1" t="s">
        <v>344</v>
      </c>
      <c r="J296" s="1" t="s">
        <v>328</v>
      </c>
      <c r="K296" s="1" t="s">
        <v>328</v>
      </c>
      <c r="L296" s="1" t="s">
        <v>6623</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6755</v>
      </c>
      <c r="AH296" s="1">
        <v>3360</v>
      </c>
      <c r="AI296" t="s">
        <v>1843</v>
      </c>
      <c r="AJ296">
        <v>0</v>
      </c>
      <c r="AK296" s="1" t="s">
        <v>6729</v>
      </c>
      <c r="AL296" s="1" t="s">
        <v>6737</v>
      </c>
      <c r="AM296" s="1">
        <v>0.55000000000000004</v>
      </c>
      <c r="AN296" s="1">
        <v>0.16</v>
      </c>
      <c r="AO296" s="1">
        <v>0.6</v>
      </c>
      <c r="AP296" s="1">
        <v>0.16</v>
      </c>
      <c r="AQ296" s="1">
        <v>3</v>
      </c>
      <c r="AR296" t="s">
        <v>6738</v>
      </c>
      <c r="AS296">
        <v>0</v>
      </c>
      <c r="AT296" t="s">
        <v>1806</v>
      </c>
      <c r="AU296">
        <v>10</v>
      </c>
      <c r="AV296">
        <v>20049</v>
      </c>
      <c r="AW296">
        <v>0</v>
      </c>
      <c r="AX296" t="b">
        <v>0</v>
      </c>
    </row>
    <row r="297" spans="1:50" x14ac:dyDescent="0.3">
      <c r="A297">
        <v>298</v>
      </c>
      <c r="B297" t="s">
        <v>6739</v>
      </c>
      <c r="C297" t="s">
        <v>6740</v>
      </c>
      <c r="D297">
        <v>5</v>
      </c>
      <c r="E297">
        <v>2</v>
      </c>
      <c r="F297">
        <v>19</v>
      </c>
      <c r="G297" s="1" t="s">
        <v>398</v>
      </c>
      <c r="H297" s="1" t="s">
        <v>328</v>
      </c>
      <c r="I297" s="1" t="s">
        <v>328</v>
      </c>
      <c r="J297" s="1" t="s">
        <v>328</v>
      </c>
      <c r="K297" s="1" t="s">
        <v>328</v>
      </c>
      <c r="L297" s="1" t="s">
        <v>328</v>
      </c>
      <c r="M297" s="1" t="s">
        <v>328</v>
      </c>
      <c r="N297" s="1" t="s">
        <v>6741</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6756</v>
      </c>
      <c r="AH297" s="1">
        <v>3300</v>
      </c>
      <c r="AI297" t="s">
        <v>1843</v>
      </c>
      <c r="AJ297">
        <v>0</v>
      </c>
      <c r="AK297" s="1" t="s">
        <v>6730</v>
      </c>
      <c r="AL297" s="1" t="s">
        <v>6742</v>
      </c>
      <c r="AM297" s="1">
        <v>0.08</v>
      </c>
      <c r="AN297" s="1">
        <v>0.5</v>
      </c>
      <c r="AO297" s="1">
        <v>0.3</v>
      </c>
      <c r="AP297" s="1">
        <v>0.3</v>
      </c>
      <c r="AQ297" s="1">
        <v>3</v>
      </c>
      <c r="AR297" t="s">
        <v>6743</v>
      </c>
      <c r="AS297">
        <v>0</v>
      </c>
      <c r="AT297" t="s">
        <v>1806</v>
      </c>
      <c r="AU297">
        <v>10</v>
      </c>
      <c r="AV297">
        <v>19044</v>
      </c>
      <c r="AW297">
        <v>0</v>
      </c>
      <c r="AX297" t="b">
        <v>0</v>
      </c>
    </row>
    <row r="298" spans="1:50" x14ac:dyDescent="0.3">
      <c r="A298">
        <v>299</v>
      </c>
      <c r="B298" t="s">
        <v>6744</v>
      </c>
      <c r="C298" t="s">
        <v>6745</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6758</v>
      </c>
      <c r="AH298" s="1">
        <v>3060</v>
      </c>
      <c r="AI298" t="s">
        <v>1843</v>
      </c>
      <c r="AJ298">
        <v>0</v>
      </c>
      <c r="AK298" s="1" t="s">
        <v>6746</v>
      </c>
      <c r="AL298" s="1" t="s">
        <v>6747</v>
      </c>
      <c r="AM298" s="1">
        <v>0.3</v>
      </c>
      <c r="AN298" s="1">
        <v>0.23</v>
      </c>
      <c r="AO298" s="1">
        <v>0.15</v>
      </c>
      <c r="AP298" s="1">
        <v>0.38</v>
      </c>
      <c r="AQ298" s="1">
        <v>3</v>
      </c>
      <c r="AR298" t="s">
        <v>6748</v>
      </c>
      <c r="AS298">
        <v>0</v>
      </c>
      <c r="AT298" t="s">
        <v>1806</v>
      </c>
      <c r="AU298">
        <v>10</v>
      </c>
      <c r="AV298">
        <v>20050</v>
      </c>
      <c r="AW298">
        <v>0</v>
      </c>
      <c r="AX298" t="b">
        <v>0</v>
      </c>
    </row>
    <row r="299" spans="1:50" x14ac:dyDescent="0.3">
      <c r="A299">
        <v>300</v>
      </c>
      <c r="B299" t="s">
        <v>6749</v>
      </c>
      <c r="C299" t="s">
        <v>6750</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6751</v>
      </c>
      <c r="AJ299">
        <v>0</v>
      </c>
      <c r="AK299" s="1" t="s">
        <v>6752</v>
      </c>
      <c r="AL299" s="1" t="s">
        <v>6753</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6761</v>
      </c>
      <c r="C300" t="s">
        <v>6762</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6763</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6764</v>
      </c>
      <c r="C301" t="s">
        <v>6765</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6766</v>
      </c>
      <c r="AJ301">
        <v>0</v>
      </c>
      <c r="AK301" s="1" t="s">
        <v>6767</v>
      </c>
      <c r="AL301" s="1" t="s">
        <v>6768</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6769</v>
      </c>
      <c r="C302" t="s">
        <v>6770</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6771</v>
      </c>
      <c r="AL302" s="1" t="s">
        <v>6772</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6773</v>
      </c>
      <c r="C303" t="s">
        <v>6774</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6775</v>
      </c>
      <c r="AJ303">
        <v>0</v>
      </c>
      <c r="AK303" s="1" t="s">
        <v>6776</v>
      </c>
      <c r="AL303" s="1" t="s">
        <v>6777</v>
      </c>
      <c r="AM303" s="1">
        <v>0.45</v>
      </c>
      <c r="AN303" s="1">
        <v>0.15</v>
      </c>
      <c r="AO303" s="1">
        <v>0.3</v>
      </c>
      <c r="AP303" s="1">
        <v>0.15</v>
      </c>
      <c r="AQ303" s="1">
        <v>3</v>
      </c>
      <c r="AR303" t="s">
        <v>6778</v>
      </c>
      <c r="AS303">
        <v>0</v>
      </c>
      <c r="AT303" t="s">
        <v>6779</v>
      </c>
      <c r="AU303">
        <v>10</v>
      </c>
      <c r="AV303">
        <v>18106</v>
      </c>
      <c r="AW303">
        <v>0</v>
      </c>
      <c r="AX303" t="b">
        <v>0</v>
      </c>
    </row>
    <row r="304" spans="1:50" x14ac:dyDescent="0.3">
      <c r="A304">
        <v>305</v>
      </c>
      <c r="B304" t="s">
        <v>6790</v>
      </c>
      <c r="C304" t="s">
        <v>6791</v>
      </c>
      <c r="D304">
        <v>5</v>
      </c>
      <c r="E304">
        <v>1</v>
      </c>
      <c r="F304">
        <v>4</v>
      </c>
      <c r="G304" s="1" t="s">
        <v>328</v>
      </c>
      <c r="H304" s="1" t="s">
        <v>328</v>
      </c>
      <c r="I304" s="1" t="s">
        <v>6792</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6837</v>
      </c>
      <c r="AH304" s="1">
        <v>3060</v>
      </c>
      <c r="AI304" t="s">
        <v>1843</v>
      </c>
      <c r="AJ304">
        <v>0</v>
      </c>
      <c r="AK304" s="1" t="s">
        <v>328</v>
      </c>
      <c r="AL304" s="1" t="s">
        <v>6793</v>
      </c>
      <c r="AM304" s="1">
        <v>0.45</v>
      </c>
      <c r="AN304" s="1">
        <v>0.15</v>
      </c>
      <c r="AO304" s="1">
        <v>0.3</v>
      </c>
      <c r="AP304" s="1">
        <v>0.15</v>
      </c>
      <c r="AQ304" s="1">
        <v>1</v>
      </c>
      <c r="AR304" t="s">
        <v>1584</v>
      </c>
      <c r="AS304">
        <v>0</v>
      </c>
      <c r="AT304" t="s">
        <v>6794</v>
      </c>
      <c r="AU304">
        <v>10</v>
      </c>
      <c r="AV304">
        <v>4002</v>
      </c>
      <c r="AW304">
        <v>0</v>
      </c>
      <c r="AX304" t="b">
        <v>0</v>
      </c>
    </row>
    <row r="305" spans="1:50" x14ac:dyDescent="0.3">
      <c r="A305">
        <v>306</v>
      </c>
      <c r="B305" t="s">
        <v>6795</v>
      </c>
      <c r="C305" t="s">
        <v>6796</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6838</v>
      </c>
      <c r="AH305" s="1">
        <v>1800</v>
      </c>
      <c r="AI305" t="s">
        <v>1843</v>
      </c>
      <c r="AJ305">
        <v>0</v>
      </c>
      <c r="AK305" s="1" t="s">
        <v>328</v>
      </c>
      <c r="AL305" s="1" t="s">
        <v>6797</v>
      </c>
      <c r="AM305" s="1">
        <v>0.55000000000000004</v>
      </c>
      <c r="AN305" s="1">
        <v>0.23</v>
      </c>
      <c r="AO305" s="1">
        <v>0.23</v>
      </c>
      <c r="AP305" s="1">
        <v>0.23</v>
      </c>
      <c r="AQ305" s="1">
        <v>1</v>
      </c>
      <c r="AR305" t="s">
        <v>6798</v>
      </c>
      <c r="AS305">
        <v>0</v>
      </c>
      <c r="AT305" t="s">
        <v>1806</v>
      </c>
      <c r="AU305">
        <v>10</v>
      </c>
      <c r="AV305">
        <v>22001</v>
      </c>
      <c r="AW305">
        <v>0</v>
      </c>
      <c r="AX305" t="b">
        <v>0</v>
      </c>
    </row>
    <row r="306" spans="1:50" x14ac:dyDescent="0.3">
      <c r="A306">
        <v>307</v>
      </c>
      <c r="B306" t="s">
        <v>6799</v>
      </c>
      <c r="C306" t="s">
        <v>6800</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6839</v>
      </c>
      <c r="AH306" s="1">
        <v>2640</v>
      </c>
      <c r="AI306" t="s">
        <v>1843</v>
      </c>
      <c r="AJ306">
        <v>0</v>
      </c>
      <c r="AK306" s="1" t="s">
        <v>328</v>
      </c>
      <c r="AL306" s="1" t="s">
        <v>6801</v>
      </c>
      <c r="AM306" s="1">
        <v>0.55000000000000004</v>
      </c>
      <c r="AN306" s="1">
        <v>0.23</v>
      </c>
      <c r="AO306" s="1">
        <v>0.23</v>
      </c>
      <c r="AP306" s="1">
        <v>0.23</v>
      </c>
      <c r="AQ306" s="1">
        <v>1</v>
      </c>
      <c r="AR306" t="s">
        <v>6802</v>
      </c>
      <c r="AS306">
        <v>0</v>
      </c>
      <c r="AT306" t="s">
        <v>1806</v>
      </c>
      <c r="AU306">
        <v>10</v>
      </c>
      <c r="AV306">
        <v>22001</v>
      </c>
      <c r="AW306">
        <v>0</v>
      </c>
      <c r="AX306" t="b">
        <v>0</v>
      </c>
    </row>
    <row r="307" spans="1:50" x14ac:dyDescent="0.3">
      <c r="A307">
        <v>308</v>
      </c>
      <c r="B307" t="s">
        <v>6803</v>
      </c>
      <c r="C307" t="s">
        <v>6804</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6840</v>
      </c>
      <c r="AH307" s="1">
        <v>3360</v>
      </c>
      <c r="AI307" t="s">
        <v>1843</v>
      </c>
      <c r="AJ307">
        <v>0</v>
      </c>
      <c r="AK307" s="1" t="s">
        <v>328</v>
      </c>
      <c r="AL307" s="1" t="s">
        <v>6805</v>
      </c>
      <c r="AM307" s="1">
        <v>0.55000000000000004</v>
      </c>
      <c r="AN307" s="1">
        <v>0.23</v>
      </c>
      <c r="AO307" s="1">
        <v>0.23</v>
      </c>
      <c r="AP307" s="1">
        <v>0.23</v>
      </c>
      <c r="AQ307" s="1">
        <v>1</v>
      </c>
      <c r="AR307" t="s">
        <v>6806</v>
      </c>
      <c r="AS307">
        <v>0</v>
      </c>
      <c r="AT307" t="s">
        <v>1806</v>
      </c>
      <c r="AU307">
        <v>10</v>
      </c>
      <c r="AV307">
        <v>22001</v>
      </c>
      <c r="AW307">
        <v>0</v>
      </c>
      <c r="AX307" t="b">
        <v>0</v>
      </c>
    </row>
    <row r="308" spans="1:50" x14ac:dyDescent="0.3">
      <c r="A308">
        <v>309</v>
      </c>
      <c r="B308" t="s">
        <v>6807</v>
      </c>
      <c r="C308" t="s">
        <v>6808</v>
      </c>
      <c r="D308">
        <v>5</v>
      </c>
      <c r="E308">
        <v>3</v>
      </c>
      <c r="F308">
        <v>9</v>
      </c>
      <c r="G308" s="1" t="s">
        <v>337</v>
      </c>
      <c r="H308" s="1" t="s">
        <v>328</v>
      </c>
      <c r="I308" s="1" t="s">
        <v>328</v>
      </c>
      <c r="J308" s="1" t="s">
        <v>328</v>
      </c>
      <c r="K308" s="1" t="s">
        <v>6809</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6930</v>
      </c>
      <c r="AH308" s="1">
        <v>3120</v>
      </c>
      <c r="AI308" t="s">
        <v>1843</v>
      </c>
      <c r="AJ308">
        <v>0</v>
      </c>
      <c r="AK308" s="1" t="s">
        <v>328</v>
      </c>
      <c r="AL308" s="1" t="s">
        <v>6810</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6811</v>
      </c>
      <c r="C309" t="s">
        <v>6812</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6841</v>
      </c>
      <c r="AH309" s="1">
        <v>2580</v>
      </c>
      <c r="AI309" t="s">
        <v>6766</v>
      </c>
      <c r="AJ309">
        <v>0</v>
      </c>
      <c r="AK309" s="1" t="s">
        <v>328</v>
      </c>
      <c r="AL309" s="1" t="s">
        <v>6813</v>
      </c>
      <c r="AM309" s="1">
        <v>0.55000000000000004</v>
      </c>
      <c r="AN309" s="1">
        <v>0.16</v>
      </c>
      <c r="AO309" s="1">
        <v>0.6</v>
      </c>
      <c r="AP309" s="1">
        <v>0.16</v>
      </c>
      <c r="AQ309" s="1">
        <v>1</v>
      </c>
      <c r="AR309" t="s">
        <v>1475</v>
      </c>
      <c r="AS309">
        <v>0</v>
      </c>
      <c r="AT309" t="s">
        <v>6814</v>
      </c>
      <c r="AU309">
        <v>10</v>
      </c>
      <c r="AV309">
        <v>23001</v>
      </c>
      <c r="AW309">
        <v>0</v>
      </c>
      <c r="AX309" t="b">
        <v>0</v>
      </c>
    </row>
    <row r="310" spans="1:50" x14ac:dyDescent="0.3">
      <c r="A310">
        <v>311</v>
      </c>
      <c r="B310" t="s">
        <v>6815</v>
      </c>
      <c r="C310" t="s">
        <v>6816</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6842</v>
      </c>
      <c r="AH310" s="1">
        <v>3600</v>
      </c>
      <c r="AI310" t="s">
        <v>1843</v>
      </c>
      <c r="AJ310">
        <v>0</v>
      </c>
      <c r="AK310" s="1" t="s">
        <v>328</v>
      </c>
      <c r="AL310" s="1" t="s">
        <v>6817</v>
      </c>
      <c r="AM310" s="1">
        <v>0.55000000000000004</v>
      </c>
      <c r="AN310" s="1">
        <v>0.16</v>
      </c>
      <c r="AO310" s="1">
        <v>0.6</v>
      </c>
      <c r="AP310" s="1">
        <v>0.16</v>
      </c>
      <c r="AQ310" s="1">
        <v>1</v>
      </c>
      <c r="AR310" t="s">
        <v>1473</v>
      </c>
      <c r="AS310">
        <v>0</v>
      </c>
      <c r="AT310" t="s">
        <v>6818</v>
      </c>
      <c r="AU310">
        <v>10</v>
      </c>
      <c r="AV310">
        <v>23001</v>
      </c>
      <c r="AW310">
        <v>0</v>
      </c>
      <c r="AX310" t="b">
        <v>0</v>
      </c>
    </row>
    <row r="311" spans="1:50" x14ac:dyDescent="0.3">
      <c r="A311">
        <v>312</v>
      </c>
      <c r="B311" t="s">
        <v>6819</v>
      </c>
      <c r="C311" t="s">
        <v>6820</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6931</v>
      </c>
      <c r="AH311" s="1">
        <v>1920</v>
      </c>
      <c r="AI311" t="s">
        <v>1843</v>
      </c>
      <c r="AJ311">
        <v>0</v>
      </c>
      <c r="AK311" s="1" t="s">
        <v>328</v>
      </c>
      <c r="AL311" s="1" t="s">
        <v>6821</v>
      </c>
      <c r="AM311" s="1">
        <v>0.1</v>
      </c>
      <c r="AN311" s="1">
        <v>0.1</v>
      </c>
      <c r="AO311" s="1">
        <v>0.1</v>
      </c>
      <c r="AP311" s="1">
        <v>0.55000000000000004</v>
      </c>
      <c r="AQ311" s="1">
        <v>1</v>
      </c>
      <c r="AR311" t="s">
        <v>1493</v>
      </c>
      <c r="AS311">
        <v>0</v>
      </c>
      <c r="AT311" t="s">
        <v>6822</v>
      </c>
      <c r="AU311">
        <v>10</v>
      </c>
      <c r="AV311">
        <v>21001</v>
      </c>
      <c r="AW311">
        <v>0</v>
      </c>
      <c r="AX311" t="b">
        <v>0</v>
      </c>
    </row>
    <row r="312" spans="1:50" x14ac:dyDescent="0.3">
      <c r="A312">
        <v>313</v>
      </c>
      <c r="B312" t="s">
        <v>6823</v>
      </c>
      <c r="C312" t="s">
        <v>6824</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6932</v>
      </c>
      <c r="AH312" s="1">
        <v>2940</v>
      </c>
      <c r="AI312" t="s">
        <v>1843</v>
      </c>
      <c r="AJ312">
        <v>0</v>
      </c>
      <c r="AK312" s="1" t="s">
        <v>328</v>
      </c>
      <c r="AL312" s="1" t="s">
        <v>6825</v>
      </c>
      <c r="AM312" s="1">
        <v>0.1</v>
      </c>
      <c r="AN312" s="1">
        <v>0.1</v>
      </c>
      <c r="AO312" s="1">
        <v>0.1</v>
      </c>
      <c r="AP312" s="1">
        <v>0.55000000000000004</v>
      </c>
      <c r="AQ312" s="1">
        <v>1</v>
      </c>
      <c r="AR312" t="s">
        <v>1470</v>
      </c>
      <c r="AS312">
        <v>0</v>
      </c>
      <c r="AT312" t="s">
        <v>6826</v>
      </c>
      <c r="AU312">
        <v>10</v>
      </c>
      <c r="AV312">
        <v>21001</v>
      </c>
      <c r="AW312">
        <v>0</v>
      </c>
      <c r="AX312" t="b">
        <v>0</v>
      </c>
    </row>
    <row r="313" spans="1:50" x14ac:dyDescent="0.3">
      <c r="A313">
        <v>314</v>
      </c>
      <c r="B313" t="s">
        <v>6827</v>
      </c>
      <c r="C313" t="s">
        <v>6828</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6933</v>
      </c>
      <c r="AH313" s="1">
        <v>3540</v>
      </c>
      <c r="AI313" t="s">
        <v>1843</v>
      </c>
      <c r="AJ313">
        <v>0</v>
      </c>
      <c r="AK313" s="1" t="s">
        <v>328</v>
      </c>
      <c r="AL313" s="1" t="s">
        <v>6829</v>
      </c>
      <c r="AM313" s="1">
        <v>0.1</v>
      </c>
      <c r="AN313" s="1">
        <v>0.1</v>
      </c>
      <c r="AO313" s="1">
        <v>0.1</v>
      </c>
      <c r="AP313" s="1">
        <v>0.55000000000000004</v>
      </c>
      <c r="AQ313" s="1">
        <v>1</v>
      </c>
      <c r="AR313" t="s">
        <v>1493</v>
      </c>
      <c r="AS313">
        <v>0</v>
      </c>
      <c r="AT313" t="s">
        <v>6830</v>
      </c>
      <c r="AU313">
        <v>10</v>
      </c>
      <c r="AV313">
        <v>21001</v>
      </c>
      <c r="AW313">
        <v>0</v>
      </c>
      <c r="AX313" t="b">
        <v>0</v>
      </c>
    </row>
    <row r="314" spans="1:50" x14ac:dyDescent="0.3">
      <c r="A314">
        <v>315</v>
      </c>
      <c r="B314" t="s">
        <v>6831</v>
      </c>
      <c r="C314" t="s">
        <v>6832</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6833</v>
      </c>
      <c r="AL314" s="1" t="s">
        <v>6834</v>
      </c>
      <c r="AM314" s="1">
        <v>0.45</v>
      </c>
      <c r="AN314" s="1">
        <v>0.15</v>
      </c>
      <c r="AO314" s="1">
        <v>0.3</v>
      </c>
      <c r="AP314" s="1">
        <v>0.15</v>
      </c>
      <c r="AQ314" s="1">
        <v>3</v>
      </c>
      <c r="AR314" t="s">
        <v>6835</v>
      </c>
      <c r="AS314">
        <v>0</v>
      </c>
      <c r="AT314" t="s">
        <v>6836</v>
      </c>
      <c r="AU314">
        <v>10</v>
      </c>
      <c r="AV314">
        <v>18080</v>
      </c>
      <c r="AW314">
        <v>0</v>
      </c>
      <c r="AX314" t="b">
        <v>0</v>
      </c>
    </row>
    <row r="315" spans="1:50" x14ac:dyDescent="0.3">
      <c r="A315">
        <v>316</v>
      </c>
      <c r="B315" t="s">
        <v>6863</v>
      </c>
      <c r="C315" t="s">
        <v>6864</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6865</v>
      </c>
      <c r="AL315" s="1" t="s">
        <v>6866</v>
      </c>
      <c r="AM315" s="1">
        <v>0.45</v>
      </c>
      <c r="AN315" s="1">
        <v>0.15</v>
      </c>
      <c r="AO315" s="1">
        <v>0.3</v>
      </c>
      <c r="AP315" s="1">
        <v>0.15</v>
      </c>
      <c r="AQ315" s="1">
        <v>3</v>
      </c>
      <c r="AR315" t="s">
        <v>1514</v>
      </c>
      <c r="AS315">
        <v>0</v>
      </c>
      <c r="AT315" t="s">
        <v>6867</v>
      </c>
      <c r="AU315">
        <v>10</v>
      </c>
      <c r="AV315">
        <v>18081</v>
      </c>
      <c r="AW315">
        <v>0</v>
      </c>
      <c r="AX315" t="b">
        <v>0</v>
      </c>
    </row>
    <row r="316" spans="1:50" x14ac:dyDescent="0.3">
      <c r="A316">
        <v>317</v>
      </c>
      <c r="B316" t="s">
        <v>6907</v>
      </c>
      <c r="C316" t="s">
        <v>6908</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6901</v>
      </c>
      <c r="AH316" s="1">
        <v>3600</v>
      </c>
      <c r="AI316" t="s">
        <v>1843</v>
      </c>
      <c r="AJ316">
        <v>0</v>
      </c>
      <c r="AK316" s="1" t="s">
        <v>6909</v>
      </c>
      <c r="AL316" s="1" t="s">
        <v>6910</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6911</v>
      </c>
      <c r="C317" t="s">
        <v>6912</v>
      </c>
      <c r="D317">
        <v>5</v>
      </c>
      <c r="E317">
        <v>2</v>
      </c>
      <c r="F317">
        <v>19</v>
      </c>
      <c r="G317" s="1" t="s">
        <v>470</v>
      </c>
      <c r="H317" s="1" t="s">
        <v>328</v>
      </c>
      <c r="I317" s="1" t="s">
        <v>328</v>
      </c>
      <c r="J317" s="1" t="s">
        <v>328</v>
      </c>
      <c r="K317" s="1" t="s">
        <v>328</v>
      </c>
      <c r="L317" s="1" t="s">
        <v>328</v>
      </c>
      <c r="M317" s="1" t="s">
        <v>328</v>
      </c>
      <c r="N317" s="1" t="s">
        <v>6913</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6893</v>
      </c>
      <c r="AH317" s="1">
        <v>3600</v>
      </c>
      <c r="AI317" t="s">
        <v>1843</v>
      </c>
      <c r="AJ317">
        <v>0</v>
      </c>
      <c r="AK317" s="1" t="s">
        <v>6914</v>
      </c>
      <c r="AL317" s="1" t="s">
        <v>6915</v>
      </c>
      <c r="AM317" s="1">
        <v>0.08</v>
      </c>
      <c r="AN317" s="1">
        <v>0.5</v>
      </c>
      <c r="AO317" s="1">
        <v>0.3</v>
      </c>
      <c r="AP317" s="1">
        <v>0.3</v>
      </c>
      <c r="AQ317" s="1">
        <v>3</v>
      </c>
      <c r="AR317" t="s">
        <v>6916</v>
      </c>
      <c r="AS317">
        <v>0</v>
      </c>
      <c r="AT317" t="s">
        <v>1806</v>
      </c>
      <c r="AU317">
        <v>10</v>
      </c>
      <c r="AV317">
        <v>19046</v>
      </c>
      <c r="AW317">
        <v>0</v>
      </c>
      <c r="AX317" t="b">
        <v>0</v>
      </c>
    </row>
    <row r="318" spans="1:50" x14ac:dyDescent="0.3">
      <c r="A318">
        <v>319</v>
      </c>
      <c r="B318" t="s">
        <v>6926</v>
      </c>
      <c r="C318" t="s">
        <v>6927</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6928</v>
      </c>
      <c r="AM318" s="1">
        <v>0.15</v>
      </c>
      <c r="AN318" s="1">
        <v>0.6</v>
      </c>
      <c r="AO318" s="1">
        <v>0.38</v>
      </c>
      <c r="AP318" s="1">
        <v>0.23</v>
      </c>
      <c r="AQ318" s="1">
        <v>3</v>
      </c>
      <c r="AR318" t="s">
        <v>1473</v>
      </c>
      <c r="AS318">
        <v>0</v>
      </c>
      <c r="AT318" t="s">
        <v>6929</v>
      </c>
      <c r="AU318">
        <v>10</v>
      </c>
      <c r="AV318">
        <v>19047</v>
      </c>
      <c r="AW318">
        <v>0</v>
      </c>
      <c r="AX318" t="b">
        <v>0</v>
      </c>
    </row>
    <row r="319" spans="1:50" x14ac:dyDescent="0.3">
      <c r="A319">
        <v>320</v>
      </c>
      <c r="B319" t="s">
        <v>6934</v>
      </c>
      <c r="C319" t="s">
        <v>6935</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6936</v>
      </c>
      <c r="AL319" s="1" t="s">
        <v>6937</v>
      </c>
      <c r="AM319" s="1">
        <v>0.3</v>
      </c>
      <c r="AN319" s="1">
        <v>0.25</v>
      </c>
      <c r="AO319" s="1">
        <v>0.12</v>
      </c>
      <c r="AP319" s="1">
        <v>0.38</v>
      </c>
      <c r="AQ319" s="1">
        <v>3</v>
      </c>
      <c r="AR319" t="s">
        <v>6938</v>
      </c>
      <c r="AS319">
        <v>0</v>
      </c>
      <c r="AT319" t="s">
        <v>1806</v>
      </c>
      <c r="AU319">
        <v>10</v>
      </c>
      <c r="AV319">
        <v>20051</v>
      </c>
      <c r="AW319">
        <v>0</v>
      </c>
      <c r="AX319" t="b">
        <v>1</v>
      </c>
    </row>
    <row r="320" spans="1:50" x14ac:dyDescent="0.3">
      <c r="A320">
        <v>321</v>
      </c>
      <c r="B320" t="s">
        <v>6939</v>
      </c>
      <c r="C320" t="s">
        <v>6940</v>
      </c>
      <c r="D320">
        <v>5</v>
      </c>
      <c r="E320">
        <v>2</v>
      </c>
      <c r="F320">
        <v>19</v>
      </c>
      <c r="G320" s="1" t="s">
        <v>470</v>
      </c>
      <c r="H320" s="1" t="s">
        <v>328</v>
      </c>
      <c r="I320" s="1" t="s">
        <v>328</v>
      </c>
      <c r="J320" s="1" t="s">
        <v>328</v>
      </c>
      <c r="K320" s="1" t="s">
        <v>328</v>
      </c>
      <c r="L320" s="1" t="s">
        <v>328</v>
      </c>
      <c r="M320" s="1" t="s">
        <v>328</v>
      </c>
      <c r="N320" s="1" t="s">
        <v>6941</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6942</v>
      </c>
      <c r="AM320" s="1">
        <v>0.08</v>
      </c>
      <c r="AN320" s="1">
        <v>0.5</v>
      </c>
      <c r="AO320" s="1">
        <v>0.3</v>
      </c>
      <c r="AP320" s="1">
        <v>0.3</v>
      </c>
      <c r="AQ320" s="1">
        <v>3</v>
      </c>
      <c r="AR320" t="s">
        <v>6943</v>
      </c>
      <c r="AS320">
        <v>0</v>
      </c>
      <c r="AT320" t="s">
        <v>6944</v>
      </c>
      <c r="AU320">
        <v>10</v>
      </c>
      <c r="AV320">
        <v>19048</v>
      </c>
      <c r="AW320">
        <v>0</v>
      </c>
      <c r="AX320" t="b">
        <v>1</v>
      </c>
    </row>
    <row r="321" spans="1:50" x14ac:dyDescent="0.3">
      <c r="A321">
        <v>322</v>
      </c>
      <c r="B321" t="s">
        <v>6945</v>
      </c>
      <c r="C321" t="s">
        <v>6946</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6947</v>
      </c>
      <c r="AL321" s="1" t="s">
        <v>6948</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6949</v>
      </c>
      <c r="C322" t="s">
        <v>6950</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6951</v>
      </c>
      <c r="AJ322">
        <v>0</v>
      </c>
      <c r="AK322" s="1" t="s">
        <v>6952</v>
      </c>
      <c r="AL322" s="1" t="s">
        <v>6953</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6954</v>
      </c>
      <c r="C323" t="s">
        <v>6955</v>
      </c>
      <c r="D323">
        <v>5</v>
      </c>
      <c r="E323">
        <v>1</v>
      </c>
      <c r="F323">
        <v>18</v>
      </c>
      <c r="G323" s="1" t="s">
        <v>398</v>
      </c>
      <c r="H323" s="1" t="s">
        <v>335</v>
      </c>
      <c r="I323" s="1" t="s">
        <v>328</v>
      </c>
      <c r="J323" s="1" t="s">
        <v>328</v>
      </c>
      <c r="K323" s="1" t="s">
        <v>328</v>
      </c>
      <c r="L323" s="1" t="s">
        <v>328</v>
      </c>
      <c r="M323" s="1" t="s">
        <v>6545</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6956</v>
      </c>
      <c r="AL323" s="1" t="s">
        <v>6957</v>
      </c>
      <c r="AM323" s="1">
        <v>0.45</v>
      </c>
      <c r="AN323" s="1">
        <v>0.15</v>
      </c>
      <c r="AO323" s="1">
        <v>0.3</v>
      </c>
      <c r="AP323" s="1">
        <v>0.15</v>
      </c>
      <c r="AQ323" s="1">
        <v>3</v>
      </c>
      <c r="AR323" t="s">
        <v>6548</v>
      </c>
      <c r="AS323">
        <v>0</v>
      </c>
      <c r="AT323" t="s">
        <v>1806</v>
      </c>
      <c r="AU323">
        <v>10</v>
      </c>
      <c r="AV323">
        <v>18110</v>
      </c>
      <c r="AW323">
        <v>0</v>
      </c>
      <c r="AX323" t="b">
        <v>1</v>
      </c>
    </row>
    <row r="324" spans="1:50" x14ac:dyDescent="0.3">
      <c r="A324">
        <v>325</v>
      </c>
      <c r="B324" t="s">
        <v>7052</v>
      </c>
      <c r="C324" t="s">
        <v>7053</v>
      </c>
      <c r="D324">
        <v>5</v>
      </c>
      <c r="E324">
        <v>1</v>
      </c>
      <c r="F324">
        <v>18</v>
      </c>
      <c r="G324" s="1" t="s">
        <v>328</v>
      </c>
      <c r="H324" s="1" t="s">
        <v>328</v>
      </c>
      <c r="I324" s="1" t="s">
        <v>328</v>
      </c>
      <c r="J324" s="1" t="s">
        <v>328</v>
      </c>
      <c r="K324" s="1" t="s">
        <v>328</v>
      </c>
      <c r="L324" s="1" t="s">
        <v>413</v>
      </c>
      <c r="M324" s="1" t="s">
        <v>7054</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7055</v>
      </c>
      <c r="AL324" s="1" t="s">
        <v>7056</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7057</v>
      </c>
      <c r="C325" t="s">
        <v>7058</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7011</v>
      </c>
      <c r="AH325" s="1">
        <v>2700</v>
      </c>
      <c r="AI325" t="s">
        <v>1843</v>
      </c>
      <c r="AJ325">
        <v>0</v>
      </c>
      <c r="AK325" s="1" t="s">
        <v>7059</v>
      </c>
      <c r="AL325" s="1" t="s">
        <v>7060</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7061</v>
      </c>
      <c r="C326" t="s">
        <v>7062</v>
      </c>
      <c r="D326">
        <v>5</v>
      </c>
      <c r="E326">
        <v>2</v>
      </c>
      <c r="F326">
        <v>19</v>
      </c>
      <c r="G326" s="1" t="s">
        <v>389</v>
      </c>
      <c r="H326" s="1" t="s">
        <v>7063</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6970</v>
      </c>
      <c r="AH326" s="1">
        <v>3600</v>
      </c>
      <c r="AI326" t="s">
        <v>1843</v>
      </c>
      <c r="AJ326">
        <v>0</v>
      </c>
      <c r="AK326" s="1" t="s">
        <v>7064</v>
      </c>
      <c r="AL326" s="1" t="s">
        <v>7065</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7066</v>
      </c>
      <c r="C327" t="s">
        <v>7067</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6980</v>
      </c>
      <c r="AH327" s="1">
        <v>3600</v>
      </c>
      <c r="AI327" t="s">
        <v>1843</v>
      </c>
      <c r="AJ327">
        <v>0</v>
      </c>
      <c r="AK327" s="1" t="s">
        <v>7068</v>
      </c>
      <c r="AL327" s="1" t="s">
        <v>7069</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7070</v>
      </c>
      <c r="C328" t="s">
        <v>7071</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6995</v>
      </c>
      <c r="AH328" s="1">
        <v>3060</v>
      </c>
      <c r="AI328" t="s">
        <v>1843</v>
      </c>
      <c r="AJ328">
        <v>0</v>
      </c>
      <c r="AK328" s="1" t="s">
        <v>7072</v>
      </c>
      <c r="AL328" s="1" t="s">
        <v>7073</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7074</v>
      </c>
      <c r="C329" t="s">
        <v>7075</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7004</v>
      </c>
      <c r="AH329" s="1">
        <v>3060</v>
      </c>
      <c r="AI329" t="s">
        <v>1843</v>
      </c>
      <c r="AJ329">
        <v>0</v>
      </c>
      <c r="AK329" s="1" t="s">
        <v>7076</v>
      </c>
      <c r="AL329" s="1" t="s">
        <v>7077</v>
      </c>
      <c r="AM329" s="1">
        <v>0.3</v>
      </c>
      <c r="AN329" s="1">
        <v>0.23</v>
      </c>
      <c r="AO329" s="1">
        <v>0.15</v>
      </c>
      <c r="AP329" s="1">
        <v>0.38</v>
      </c>
      <c r="AQ329" s="1">
        <v>3</v>
      </c>
      <c r="AR329" t="s">
        <v>7078</v>
      </c>
      <c r="AS329">
        <v>0</v>
      </c>
      <c r="AT329" t="s">
        <v>1806</v>
      </c>
      <c r="AU329">
        <v>10</v>
      </c>
      <c r="AV329">
        <v>20053</v>
      </c>
      <c r="AW329">
        <v>0</v>
      </c>
      <c r="AX329" t="b">
        <v>0</v>
      </c>
    </row>
    <row r="330" spans="1:50" x14ac:dyDescent="0.3">
      <c r="A330">
        <v>331</v>
      </c>
      <c r="B330" t="s">
        <v>7079</v>
      </c>
      <c r="C330" t="s">
        <v>7080</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7019</v>
      </c>
      <c r="AH330" s="1">
        <v>3060</v>
      </c>
      <c r="AI330" t="s">
        <v>1843</v>
      </c>
      <c r="AJ330">
        <v>0</v>
      </c>
      <c r="AK330" s="1" t="s">
        <v>7081</v>
      </c>
      <c r="AL330" s="1" t="s">
        <v>7082</v>
      </c>
      <c r="AM330" s="1">
        <v>0.23</v>
      </c>
      <c r="AN330" s="1">
        <v>0.23</v>
      </c>
      <c r="AO330" s="1">
        <v>0.33</v>
      </c>
      <c r="AP330" s="1">
        <v>0.38</v>
      </c>
      <c r="AQ330" s="1">
        <v>3</v>
      </c>
      <c r="AR330" t="s">
        <v>7083</v>
      </c>
      <c r="AS330">
        <v>0</v>
      </c>
      <c r="AT330" t="s">
        <v>1806</v>
      </c>
      <c r="AU330">
        <v>10</v>
      </c>
      <c r="AV330">
        <v>20054</v>
      </c>
      <c r="AW330">
        <v>0</v>
      </c>
      <c r="AX330" t="b">
        <v>0</v>
      </c>
    </row>
    <row r="331" spans="1:50" x14ac:dyDescent="0.3">
      <c r="A331">
        <v>332</v>
      </c>
      <c r="B331" t="s">
        <v>7098</v>
      </c>
      <c r="C331" t="s">
        <v>7099</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7100</v>
      </c>
      <c r="AJ331">
        <v>0</v>
      </c>
      <c r="AK331" s="1" t="s">
        <v>7101</v>
      </c>
      <c r="AL331" s="1" t="s">
        <v>7102</v>
      </c>
      <c r="AM331" s="1">
        <v>0.45</v>
      </c>
      <c r="AN331" s="1">
        <v>0.15</v>
      </c>
      <c r="AO331" s="1">
        <v>0.3</v>
      </c>
      <c r="AP331" s="1">
        <v>0.15</v>
      </c>
      <c r="AQ331" s="1">
        <v>3</v>
      </c>
      <c r="AR331" t="s">
        <v>1572</v>
      </c>
      <c r="AS331">
        <v>0</v>
      </c>
      <c r="AT331" t="s">
        <v>7103</v>
      </c>
      <c r="AU331">
        <v>10</v>
      </c>
      <c r="AV331">
        <v>18113</v>
      </c>
      <c r="AW331">
        <v>0</v>
      </c>
      <c r="AX331" t="b">
        <v>0</v>
      </c>
    </row>
    <row r="332" spans="1:50" x14ac:dyDescent="0.3">
      <c r="A332">
        <v>333</v>
      </c>
      <c r="B332" t="s">
        <v>7171</v>
      </c>
      <c r="C332" t="s">
        <v>7172</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7141</v>
      </c>
      <c r="AH332" s="1">
        <v>3540</v>
      </c>
      <c r="AI332" t="s">
        <v>1843</v>
      </c>
      <c r="AJ332">
        <v>0</v>
      </c>
      <c r="AK332" s="1" t="s">
        <v>7170</v>
      </c>
      <c r="AL332" s="1" t="s">
        <v>7173</v>
      </c>
      <c r="AM332" s="1">
        <v>0.1</v>
      </c>
      <c r="AN332" s="1">
        <v>0.1</v>
      </c>
      <c r="AO332" s="1">
        <v>0.1</v>
      </c>
      <c r="AP332" s="1">
        <v>0.55000000000000004</v>
      </c>
      <c r="AQ332" s="1">
        <v>3</v>
      </c>
      <c r="AR332" t="s">
        <v>1473</v>
      </c>
      <c r="AS332">
        <v>0</v>
      </c>
      <c r="AT332" t="s">
        <v>6830</v>
      </c>
      <c r="AU332">
        <v>10</v>
      </c>
      <c r="AV332">
        <v>20055</v>
      </c>
      <c r="AW332">
        <v>0</v>
      </c>
      <c r="AX332" t="b">
        <v>0</v>
      </c>
    </row>
    <row r="333" spans="1:50" x14ac:dyDescent="0.3">
      <c r="A333">
        <v>334</v>
      </c>
      <c r="B333" t="s">
        <v>7174</v>
      </c>
      <c r="C333" t="s">
        <v>7175</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7148</v>
      </c>
      <c r="AH333" s="1">
        <v>3120</v>
      </c>
      <c r="AI333" t="s">
        <v>1843</v>
      </c>
      <c r="AJ333">
        <v>0</v>
      </c>
      <c r="AK333" s="1" t="s">
        <v>7176</v>
      </c>
      <c r="AL333" s="1" t="s">
        <v>7177</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7178</v>
      </c>
      <c r="C334" t="s">
        <v>7179</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7192</v>
      </c>
      <c r="AH334" s="1">
        <v>3600</v>
      </c>
      <c r="AI334" t="s">
        <v>6500</v>
      </c>
      <c r="AJ334">
        <v>0</v>
      </c>
      <c r="AK334" s="1" t="s">
        <v>7169</v>
      </c>
      <c r="AL334" s="1" t="s">
        <v>7180</v>
      </c>
      <c r="AM334" s="1">
        <v>0.48</v>
      </c>
      <c r="AN334" s="1">
        <v>0.48</v>
      </c>
      <c r="AO334" s="1">
        <v>0.08</v>
      </c>
      <c r="AP334" s="1">
        <v>0.25</v>
      </c>
      <c r="AQ334" s="1">
        <v>3</v>
      </c>
      <c r="AR334" t="s">
        <v>1493</v>
      </c>
      <c r="AS334">
        <v>0</v>
      </c>
      <c r="AT334" t="s">
        <v>6502</v>
      </c>
      <c r="AU334">
        <v>10</v>
      </c>
      <c r="AV334">
        <v>19052</v>
      </c>
      <c r="AW334">
        <v>0</v>
      </c>
      <c r="AX334" t="b">
        <v>0</v>
      </c>
    </row>
    <row r="335" spans="1:50" x14ac:dyDescent="0.3">
      <c r="A335">
        <v>336</v>
      </c>
      <c r="B335" t="s">
        <v>7181</v>
      </c>
      <c r="C335" t="s">
        <v>7182</v>
      </c>
      <c r="D335">
        <v>5</v>
      </c>
      <c r="E335">
        <v>3</v>
      </c>
      <c r="F335">
        <v>20</v>
      </c>
      <c r="G335" s="1" t="s">
        <v>328</v>
      </c>
      <c r="H335" s="1" t="s">
        <v>328</v>
      </c>
      <c r="I335" s="1" t="s">
        <v>328</v>
      </c>
      <c r="J335" s="1" t="s">
        <v>330</v>
      </c>
      <c r="K335" s="1" t="s">
        <v>328</v>
      </c>
      <c r="L335" s="1" t="s">
        <v>328</v>
      </c>
      <c r="M335" s="1" t="s">
        <v>328</v>
      </c>
      <c r="N335" s="1" t="s">
        <v>328</v>
      </c>
      <c r="O335" s="1" t="s">
        <v>7183</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7163</v>
      </c>
      <c r="AH335" s="1">
        <v>3060</v>
      </c>
      <c r="AI335" t="s">
        <v>1843</v>
      </c>
      <c r="AJ335">
        <v>0</v>
      </c>
      <c r="AK335" s="1" t="s">
        <v>7184</v>
      </c>
      <c r="AL335" s="1" t="s">
        <v>7185</v>
      </c>
      <c r="AM335" s="1">
        <v>0.23</v>
      </c>
      <c r="AN335" s="1">
        <v>0.23</v>
      </c>
      <c r="AO335" s="1">
        <v>0.33</v>
      </c>
      <c r="AP335" s="1">
        <v>0.38</v>
      </c>
      <c r="AQ335" s="1">
        <v>3</v>
      </c>
      <c r="AR335" t="s">
        <v>1585</v>
      </c>
      <c r="AS335">
        <v>0</v>
      </c>
      <c r="AT335" t="s">
        <v>7186</v>
      </c>
      <c r="AU335">
        <v>10</v>
      </c>
      <c r="AV335">
        <v>20057</v>
      </c>
      <c r="AW335">
        <v>0</v>
      </c>
      <c r="AX335" t="b">
        <v>0</v>
      </c>
    </row>
    <row r="336" spans="1:50" x14ac:dyDescent="0.3">
      <c r="A336">
        <v>339</v>
      </c>
      <c r="B336" t="s">
        <v>7187</v>
      </c>
      <c r="C336" t="s">
        <v>7188</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7189</v>
      </c>
      <c r="AL336" s="1" t="s">
        <v>7190</v>
      </c>
      <c r="AM336" s="1">
        <v>0.08</v>
      </c>
      <c r="AN336" s="1">
        <v>0.5</v>
      </c>
      <c r="AO336" s="1">
        <v>0.3</v>
      </c>
      <c r="AP336" s="1">
        <v>0.3</v>
      </c>
      <c r="AQ336" s="1">
        <v>3</v>
      </c>
      <c r="AR336" t="s">
        <v>1552</v>
      </c>
      <c r="AS336">
        <v>0</v>
      </c>
      <c r="AT336" t="s">
        <v>7191</v>
      </c>
      <c r="AU336">
        <v>10</v>
      </c>
      <c r="AV336">
        <v>19053</v>
      </c>
      <c r="AW336">
        <v>0</v>
      </c>
      <c r="AX336" t="b">
        <v>0</v>
      </c>
    </row>
    <row r="337" spans="1:50" x14ac:dyDescent="0.3">
      <c r="A337">
        <v>337</v>
      </c>
      <c r="B337" t="s">
        <v>7280</v>
      </c>
      <c r="C337" t="s">
        <v>7281</v>
      </c>
      <c r="D337">
        <v>5</v>
      </c>
      <c r="E337">
        <v>2</v>
      </c>
      <c r="F337">
        <v>19</v>
      </c>
      <c r="G337" s="1" t="s">
        <v>328</v>
      </c>
      <c r="H337" s="1" t="s">
        <v>328</v>
      </c>
      <c r="I337" s="1" t="s">
        <v>328</v>
      </c>
      <c r="J337" s="1" t="s">
        <v>328</v>
      </c>
      <c r="K337" s="1" t="s">
        <v>470</v>
      </c>
      <c r="L337" s="1" t="s">
        <v>328</v>
      </c>
      <c r="M337" s="1" t="s">
        <v>328</v>
      </c>
      <c r="N337" s="1" t="s">
        <v>6913</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7589</v>
      </c>
      <c r="AH337" s="1">
        <v>3300</v>
      </c>
      <c r="AI337" t="s">
        <v>1843</v>
      </c>
      <c r="AJ337">
        <v>0</v>
      </c>
      <c r="AK337" s="1" t="s">
        <v>7282</v>
      </c>
      <c r="AL337" s="1" t="s">
        <v>7283</v>
      </c>
      <c r="AM337" s="1">
        <v>0.08</v>
      </c>
      <c r="AN337" s="1">
        <v>0.5</v>
      </c>
      <c r="AO337" s="1">
        <v>0.3</v>
      </c>
      <c r="AP337" s="1">
        <v>0.3</v>
      </c>
      <c r="AQ337" s="1">
        <v>3</v>
      </c>
      <c r="AR337" t="s">
        <v>7284</v>
      </c>
      <c r="AS337">
        <v>0</v>
      </c>
      <c r="AT337" t="s">
        <v>7285</v>
      </c>
      <c r="AU337">
        <v>10</v>
      </c>
      <c r="AV337">
        <v>19053</v>
      </c>
      <c r="AW337">
        <v>3</v>
      </c>
      <c r="AX337" t="b">
        <v>0</v>
      </c>
    </row>
    <row r="338" spans="1:50" x14ac:dyDescent="0.3">
      <c r="A338">
        <v>338</v>
      </c>
      <c r="B338" t="s">
        <v>7286</v>
      </c>
      <c r="C338" t="s">
        <v>7287</v>
      </c>
      <c r="D338">
        <v>5</v>
      </c>
      <c r="E338">
        <v>1</v>
      </c>
      <c r="F338">
        <v>16</v>
      </c>
      <c r="G338" s="1" t="s">
        <v>328</v>
      </c>
      <c r="H338" s="1" t="s">
        <v>328</v>
      </c>
      <c r="I338" s="1" t="s">
        <v>328</v>
      </c>
      <c r="J338" s="1" t="s">
        <v>328</v>
      </c>
      <c r="K338" s="1" t="s">
        <v>470</v>
      </c>
      <c r="L338" s="1" t="s">
        <v>328</v>
      </c>
      <c r="M338" s="1" t="s">
        <v>6623</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7590</v>
      </c>
      <c r="AH338" s="1">
        <v>3600</v>
      </c>
      <c r="AI338" t="s">
        <v>1918</v>
      </c>
      <c r="AJ338">
        <v>0</v>
      </c>
      <c r="AK338" s="1" t="s">
        <v>7288</v>
      </c>
      <c r="AL338" s="1" t="s">
        <v>7289</v>
      </c>
      <c r="AM338" s="1">
        <v>0.5</v>
      </c>
      <c r="AN338" s="1">
        <v>0.25</v>
      </c>
      <c r="AO338" s="1">
        <v>0.55000000000000004</v>
      </c>
      <c r="AP338" s="1">
        <v>0.15</v>
      </c>
      <c r="AQ338" s="1">
        <v>3</v>
      </c>
      <c r="AR338" t="s">
        <v>7290</v>
      </c>
      <c r="AS338">
        <v>0</v>
      </c>
      <c r="AT338" t="s">
        <v>7291</v>
      </c>
      <c r="AU338">
        <v>10</v>
      </c>
      <c r="AV338">
        <v>18114</v>
      </c>
      <c r="AW338">
        <v>4</v>
      </c>
      <c r="AX338" t="b">
        <v>0</v>
      </c>
    </row>
    <row r="339" spans="1:50" x14ac:dyDescent="0.3">
      <c r="A339">
        <v>340</v>
      </c>
      <c r="B339" t="s">
        <v>7292</v>
      </c>
      <c r="C339" t="s">
        <v>7293</v>
      </c>
      <c r="D339">
        <v>5</v>
      </c>
      <c r="E339">
        <v>2</v>
      </c>
      <c r="F339">
        <v>19</v>
      </c>
      <c r="G339" s="1" t="s">
        <v>364</v>
      </c>
      <c r="H339" s="1" t="s">
        <v>328</v>
      </c>
      <c r="I339" s="1" t="s">
        <v>328</v>
      </c>
      <c r="J339" s="1" t="s">
        <v>328</v>
      </c>
      <c r="K339" s="1" t="s">
        <v>328</v>
      </c>
      <c r="L339" s="1" t="s">
        <v>328</v>
      </c>
      <c r="M339" s="1" t="s">
        <v>328</v>
      </c>
      <c r="N339" s="1" t="s">
        <v>7294</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7302</v>
      </c>
      <c r="AH339" s="1">
        <v>3300</v>
      </c>
      <c r="AI339" t="s">
        <v>1843</v>
      </c>
      <c r="AJ339">
        <v>0</v>
      </c>
      <c r="AK339" s="1" t="s">
        <v>380</v>
      </c>
      <c r="AL339" s="1" t="s">
        <v>7295</v>
      </c>
      <c r="AM339" s="1">
        <v>0.08</v>
      </c>
      <c r="AN339" s="1">
        <v>0.5</v>
      </c>
      <c r="AO339" s="1">
        <v>0.3</v>
      </c>
      <c r="AP339" s="1">
        <v>0.3</v>
      </c>
      <c r="AQ339" s="1">
        <v>3</v>
      </c>
      <c r="AR339" t="s">
        <v>6943</v>
      </c>
      <c r="AS339">
        <v>0</v>
      </c>
      <c r="AT339" t="s">
        <v>7296</v>
      </c>
      <c r="AU339">
        <v>10</v>
      </c>
      <c r="AV339">
        <v>19055</v>
      </c>
      <c r="AW339">
        <v>0</v>
      </c>
      <c r="AX339" t="b">
        <v>0</v>
      </c>
    </row>
    <row r="340" spans="1:50" x14ac:dyDescent="0.3">
      <c r="A340">
        <v>341</v>
      </c>
      <c r="B340" t="s">
        <v>7297</v>
      </c>
      <c r="C340" t="s">
        <v>7298</v>
      </c>
      <c r="D340">
        <v>5</v>
      </c>
      <c r="E340">
        <v>2</v>
      </c>
      <c r="F340">
        <v>19</v>
      </c>
      <c r="G340" s="1" t="s">
        <v>470</v>
      </c>
      <c r="H340" s="1" t="s">
        <v>328</v>
      </c>
      <c r="I340" s="1" t="s">
        <v>328</v>
      </c>
      <c r="J340" s="1" t="s">
        <v>328</v>
      </c>
      <c r="K340" s="1" t="s">
        <v>328</v>
      </c>
      <c r="L340" s="1" t="s">
        <v>328</v>
      </c>
      <c r="M340" s="1" t="s">
        <v>328</v>
      </c>
      <c r="N340" s="1" t="s">
        <v>7299</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6978</v>
      </c>
      <c r="AL340" s="1" t="s">
        <v>7300</v>
      </c>
      <c r="AM340" s="1">
        <v>0.08</v>
      </c>
      <c r="AN340" s="1">
        <v>0.5</v>
      </c>
      <c r="AO340" s="1">
        <v>0.3</v>
      </c>
      <c r="AP340" s="1">
        <v>0.3</v>
      </c>
      <c r="AQ340" s="1">
        <v>3</v>
      </c>
      <c r="AR340" t="s">
        <v>6943</v>
      </c>
      <c r="AS340">
        <v>0</v>
      </c>
      <c r="AT340" t="s">
        <v>7301</v>
      </c>
      <c r="AU340">
        <v>10</v>
      </c>
      <c r="AV340">
        <v>19056</v>
      </c>
      <c r="AW340">
        <v>0</v>
      </c>
      <c r="AX340" t="b">
        <v>0</v>
      </c>
    </row>
    <row r="341" spans="1:50" x14ac:dyDescent="0.3">
      <c r="A341">
        <v>342</v>
      </c>
      <c r="B341" t="s">
        <v>7428</v>
      </c>
      <c r="C341" t="s">
        <v>7429</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7591</v>
      </c>
      <c r="AH341" s="1">
        <v>3600</v>
      </c>
      <c r="AI341" t="s">
        <v>1843</v>
      </c>
      <c r="AJ341">
        <v>0</v>
      </c>
      <c r="AK341" s="1" t="s">
        <v>7430</v>
      </c>
      <c r="AL341" s="1" t="s">
        <v>7431</v>
      </c>
      <c r="AM341" s="1">
        <v>0.48</v>
      </c>
      <c r="AN341" s="1">
        <v>0.48</v>
      </c>
      <c r="AO341" s="1">
        <v>0.08</v>
      </c>
      <c r="AP341" s="1">
        <v>0.25</v>
      </c>
      <c r="AQ341" s="1">
        <v>3</v>
      </c>
      <c r="AR341" t="s">
        <v>1470</v>
      </c>
      <c r="AS341">
        <v>0</v>
      </c>
      <c r="AT341" t="s">
        <v>7432</v>
      </c>
      <c r="AU341">
        <v>10</v>
      </c>
      <c r="AV341">
        <v>19057</v>
      </c>
      <c r="AW341">
        <v>5</v>
      </c>
      <c r="AX341" t="b">
        <v>0</v>
      </c>
    </row>
    <row r="342" spans="1:50" x14ac:dyDescent="0.3">
      <c r="A342">
        <v>343</v>
      </c>
      <c r="B342" t="s">
        <v>7433</v>
      </c>
      <c r="C342" t="s">
        <v>7434</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7592</v>
      </c>
      <c r="AH342" s="1">
        <v>3600</v>
      </c>
      <c r="AI342" t="s">
        <v>1843</v>
      </c>
      <c r="AJ342">
        <v>0</v>
      </c>
      <c r="AK342" s="1" t="s">
        <v>7435</v>
      </c>
      <c r="AL342" s="1" t="s">
        <v>7436</v>
      </c>
      <c r="AM342" s="1">
        <v>0.48</v>
      </c>
      <c r="AN342" s="1">
        <v>0.48</v>
      </c>
      <c r="AO342" s="1">
        <v>0.08</v>
      </c>
      <c r="AP342" s="1">
        <v>0.25</v>
      </c>
      <c r="AQ342" s="1">
        <v>3</v>
      </c>
      <c r="AR342" t="s">
        <v>1470</v>
      </c>
      <c r="AS342">
        <v>0</v>
      </c>
      <c r="AT342" t="s">
        <v>7437</v>
      </c>
      <c r="AU342">
        <v>10</v>
      </c>
      <c r="AV342">
        <v>19058</v>
      </c>
      <c r="AW342">
        <v>6</v>
      </c>
      <c r="AX342" t="b">
        <v>0</v>
      </c>
    </row>
    <row r="343" spans="1:50" x14ac:dyDescent="0.3">
      <c r="A343">
        <v>344</v>
      </c>
      <c r="B343" t="s">
        <v>7442</v>
      </c>
      <c r="C343" t="s">
        <v>7443</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7444</v>
      </c>
      <c r="AL343" s="1" t="s">
        <v>7445</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7446</v>
      </c>
      <c r="C344" t="s">
        <v>7447</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7448</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7449</v>
      </c>
      <c r="C345" t="s">
        <v>7450</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7451</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7452</v>
      </c>
      <c r="C346" t="s">
        <v>7453</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7454</v>
      </c>
      <c r="AL346" s="1" t="s">
        <v>7455</v>
      </c>
      <c r="AM346" s="1">
        <v>0.23</v>
      </c>
      <c r="AN346" s="1">
        <v>0.23</v>
      </c>
      <c r="AO346" s="1">
        <v>0.33</v>
      </c>
      <c r="AP346" s="1">
        <v>0.38</v>
      </c>
      <c r="AQ346" s="1">
        <v>3</v>
      </c>
      <c r="AR346" t="s">
        <v>7456</v>
      </c>
      <c r="AS346">
        <v>0</v>
      </c>
      <c r="AT346" t="s">
        <v>7457</v>
      </c>
      <c r="AU346">
        <v>10</v>
      </c>
      <c r="AV346">
        <v>20058</v>
      </c>
      <c r="AW346">
        <v>0</v>
      </c>
      <c r="AX346" t="b">
        <v>0</v>
      </c>
    </row>
    <row r="347" spans="1:50" x14ac:dyDescent="0.3">
      <c r="A347">
        <v>348</v>
      </c>
      <c r="B347" t="s">
        <v>7495</v>
      </c>
      <c r="C347" t="s">
        <v>7496</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7593</v>
      </c>
      <c r="AH347" s="1">
        <v>3600</v>
      </c>
      <c r="AI347" t="s">
        <v>1843</v>
      </c>
      <c r="AJ347">
        <v>0</v>
      </c>
      <c r="AK347" s="1" t="s">
        <v>7497</v>
      </c>
      <c r="AL347" s="1" t="s">
        <v>7498</v>
      </c>
      <c r="AM347" s="1">
        <v>0.48</v>
      </c>
      <c r="AN347" s="1">
        <v>0.48</v>
      </c>
      <c r="AO347" s="1">
        <v>0.08</v>
      </c>
      <c r="AP347" s="1">
        <v>0.25</v>
      </c>
      <c r="AQ347" s="1">
        <v>3</v>
      </c>
      <c r="AR347" t="s">
        <v>1528</v>
      </c>
      <c r="AS347">
        <v>0</v>
      </c>
      <c r="AT347" t="s">
        <v>7499</v>
      </c>
      <c r="AU347">
        <v>10</v>
      </c>
      <c r="AV347">
        <v>19060</v>
      </c>
      <c r="AW347">
        <v>7</v>
      </c>
      <c r="AX347" t="b">
        <v>0</v>
      </c>
    </row>
    <row r="348" spans="1:50" x14ac:dyDescent="0.3">
      <c r="A348">
        <v>349</v>
      </c>
      <c r="B348" t="s">
        <v>7500</v>
      </c>
      <c r="C348" t="s">
        <v>7501</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7594</v>
      </c>
      <c r="AH348" s="1">
        <v>3540</v>
      </c>
      <c r="AI348" t="s">
        <v>1843</v>
      </c>
      <c r="AJ348">
        <v>0</v>
      </c>
      <c r="AK348" s="1" t="s">
        <v>7502</v>
      </c>
      <c r="AL348" s="1" t="s">
        <v>7503</v>
      </c>
      <c r="AM348" s="1">
        <v>0.1</v>
      </c>
      <c r="AN348" s="1">
        <v>0.1</v>
      </c>
      <c r="AO348" s="1">
        <v>0.1</v>
      </c>
      <c r="AP348" s="1">
        <v>0.55000000000000004</v>
      </c>
      <c r="AQ348" s="1">
        <v>3</v>
      </c>
      <c r="AR348" t="s">
        <v>1475</v>
      </c>
      <c r="AS348">
        <v>0</v>
      </c>
      <c r="AT348" t="s">
        <v>7504</v>
      </c>
      <c r="AU348">
        <v>10</v>
      </c>
      <c r="AV348">
        <v>20059</v>
      </c>
      <c r="AW348">
        <v>8</v>
      </c>
      <c r="AX348" t="b">
        <v>0</v>
      </c>
    </row>
    <row r="349" spans="1:50" x14ac:dyDescent="0.3">
      <c r="A349">
        <v>350</v>
      </c>
      <c r="B349" t="s">
        <v>7507</v>
      </c>
      <c r="C349" t="s">
        <v>7508</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7509</v>
      </c>
      <c r="AM349" s="1">
        <v>0.3</v>
      </c>
      <c r="AN349" s="1">
        <v>0.25</v>
      </c>
      <c r="AO349" s="1">
        <v>0.12</v>
      </c>
      <c r="AP349" s="1">
        <v>0.38</v>
      </c>
      <c r="AQ349" s="1">
        <v>3</v>
      </c>
      <c r="AR349" t="s">
        <v>1757</v>
      </c>
      <c r="AS349">
        <v>0</v>
      </c>
      <c r="AT349" t="s">
        <v>7510</v>
      </c>
      <c r="AU349">
        <v>10</v>
      </c>
      <c r="AV349">
        <v>20060</v>
      </c>
      <c r="AW349">
        <v>0</v>
      </c>
      <c r="AX349" t="b">
        <v>0</v>
      </c>
    </row>
    <row r="350" spans="1:50" x14ac:dyDescent="0.3">
      <c r="A350">
        <v>351</v>
      </c>
      <c r="B350" t="s">
        <v>7511</v>
      </c>
      <c r="C350" t="s">
        <v>7512</v>
      </c>
      <c r="D350">
        <v>5</v>
      </c>
      <c r="E350">
        <v>3</v>
      </c>
      <c r="F350">
        <v>20</v>
      </c>
      <c r="G350" s="1" t="s">
        <v>408</v>
      </c>
      <c r="H350" s="1" t="s">
        <v>328</v>
      </c>
      <c r="I350" s="1" t="s">
        <v>7513</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7595</v>
      </c>
      <c r="AH350" s="1">
        <v>3120</v>
      </c>
      <c r="AI350" t="s">
        <v>1843</v>
      </c>
      <c r="AJ350">
        <v>0</v>
      </c>
      <c r="AK350" s="1" t="s">
        <v>7514</v>
      </c>
      <c r="AL350" s="1" t="s">
        <v>7515</v>
      </c>
      <c r="AM350" s="1">
        <v>0.3</v>
      </c>
      <c r="AN350" s="1">
        <v>0.25</v>
      </c>
      <c r="AO350" s="1">
        <v>0.12</v>
      </c>
      <c r="AP350" s="1">
        <v>0.38</v>
      </c>
      <c r="AQ350" s="1">
        <v>3</v>
      </c>
      <c r="AR350" t="s">
        <v>1757</v>
      </c>
      <c r="AS350">
        <v>0</v>
      </c>
      <c r="AT350" t="s">
        <v>7516</v>
      </c>
      <c r="AU350">
        <v>10</v>
      </c>
      <c r="AV350">
        <v>20061</v>
      </c>
      <c r="AW350">
        <v>9</v>
      </c>
      <c r="AX350" t="b">
        <v>0</v>
      </c>
    </row>
    <row r="351" spans="1:50" x14ac:dyDescent="0.3">
      <c r="A351">
        <v>352</v>
      </c>
      <c r="B351" t="s">
        <v>7517</v>
      </c>
      <c r="C351" t="s">
        <v>7518</v>
      </c>
      <c r="D351">
        <v>5</v>
      </c>
      <c r="E351">
        <v>3</v>
      </c>
      <c r="F351">
        <v>20</v>
      </c>
      <c r="G351" s="1" t="s">
        <v>331</v>
      </c>
      <c r="H351" s="1" t="s">
        <v>328</v>
      </c>
      <c r="I351" s="1" t="s">
        <v>328</v>
      </c>
      <c r="J351" s="1" t="s">
        <v>328</v>
      </c>
      <c r="K351" s="1" t="s">
        <v>328</v>
      </c>
      <c r="L351" s="1" t="s">
        <v>328</v>
      </c>
      <c r="M351" s="1" t="s">
        <v>7519</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7588</v>
      </c>
      <c r="AH351" s="1">
        <v>3120</v>
      </c>
      <c r="AI351" t="s">
        <v>1843</v>
      </c>
      <c r="AJ351">
        <v>0</v>
      </c>
      <c r="AK351" s="1" t="s">
        <v>7520</v>
      </c>
      <c r="AL351" s="1" t="s">
        <v>7521</v>
      </c>
      <c r="AM351" s="1">
        <v>0.3</v>
      </c>
      <c r="AN351" s="1">
        <v>0.25</v>
      </c>
      <c r="AO351" s="1">
        <v>0.12</v>
      </c>
      <c r="AP351" s="1">
        <v>0.38</v>
      </c>
      <c r="AQ351" s="1">
        <v>3</v>
      </c>
      <c r="AR351" t="s">
        <v>7522</v>
      </c>
      <c r="AS351">
        <v>0</v>
      </c>
      <c r="AT351" t="s">
        <v>7523</v>
      </c>
      <c r="AU351">
        <v>10</v>
      </c>
      <c r="AV351">
        <v>20062</v>
      </c>
      <c r="AW351">
        <v>10</v>
      </c>
      <c r="AX351" t="b">
        <v>0</v>
      </c>
    </row>
    <row r="352" spans="1:50" x14ac:dyDescent="0.3">
      <c r="A352">
        <v>353</v>
      </c>
      <c r="B352" t="s">
        <v>7524</v>
      </c>
      <c r="C352" t="s">
        <v>7525</v>
      </c>
      <c r="D352">
        <v>5</v>
      </c>
      <c r="E352">
        <v>3</v>
      </c>
      <c r="F352">
        <v>20</v>
      </c>
      <c r="G352" s="1" t="s">
        <v>328</v>
      </c>
      <c r="H352" s="1" t="s">
        <v>328</v>
      </c>
      <c r="I352" s="1" t="s">
        <v>7526</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7527</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7531</v>
      </c>
      <c r="C353" t="s">
        <v>7532</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7533</v>
      </c>
      <c r="AM353" s="1">
        <v>0.55000000000000004</v>
      </c>
      <c r="AN353" s="1">
        <v>0.16</v>
      </c>
      <c r="AO353" s="1">
        <v>0.6</v>
      </c>
      <c r="AP353" s="1">
        <v>0.16</v>
      </c>
      <c r="AQ353" s="1">
        <v>3</v>
      </c>
      <c r="AR353" t="s">
        <v>7534</v>
      </c>
      <c r="AS353">
        <v>0</v>
      </c>
      <c r="AT353" t="s">
        <v>7535</v>
      </c>
      <c r="AU353">
        <v>10</v>
      </c>
      <c r="AV353">
        <v>20064</v>
      </c>
      <c r="AW353">
        <v>0</v>
      </c>
      <c r="AX353" t="b">
        <v>0</v>
      </c>
    </row>
    <row r="354" spans="1:50" x14ac:dyDescent="0.3">
      <c r="A354">
        <v>355</v>
      </c>
      <c r="B354" t="s">
        <v>7570</v>
      </c>
      <c r="C354" t="s">
        <v>7571</v>
      </c>
      <c r="D354">
        <v>5</v>
      </c>
      <c r="E354">
        <v>3</v>
      </c>
      <c r="F354">
        <v>20</v>
      </c>
      <c r="G354" s="1" t="s">
        <v>328</v>
      </c>
      <c r="H354" s="1" t="s">
        <v>328</v>
      </c>
      <c r="I354" s="1" t="s">
        <v>7572</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7587</v>
      </c>
      <c r="AH354" s="1">
        <v>3120</v>
      </c>
      <c r="AI354" t="s">
        <v>1843</v>
      </c>
      <c r="AJ354">
        <v>0</v>
      </c>
      <c r="AK354" s="1" t="s">
        <v>7573</v>
      </c>
      <c r="AL354" s="1" t="s">
        <v>7574</v>
      </c>
      <c r="AM354" s="1">
        <v>0.3</v>
      </c>
      <c r="AN354" s="1">
        <v>0.25</v>
      </c>
      <c r="AO354" s="1">
        <v>0.12</v>
      </c>
      <c r="AP354" s="1">
        <v>0.38</v>
      </c>
      <c r="AQ354" s="1">
        <v>3</v>
      </c>
      <c r="AR354" t="s">
        <v>1757</v>
      </c>
      <c r="AS354">
        <v>0</v>
      </c>
      <c r="AT354" t="s">
        <v>7575</v>
      </c>
      <c r="AU354">
        <v>10</v>
      </c>
      <c r="AV354">
        <v>20065</v>
      </c>
      <c r="AW354">
        <v>11</v>
      </c>
      <c r="AX354" t="b">
        <v>0</v>
      </c>
    </row>
    <row r="355" spans="1:50" x14ac:dyDescent="0.3">
      <c r="A355">
        <v>356</v>
      </c>
      <c r="B355" t="s">
        <v>7576</v>
      </c>
      <c r="C355" t="s">
        <v>7577</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7586</v>
      </c>
      <c r="AH355" s="1">
        <v>3600</v>
      </c>
      <c r="AI355" t="s">
        <v>1843</v>
      </c>
      <c r="AJ355">
        <v>0</v>
      </c>
      <c r="AK355" s="1" t="s">
        <v>7578</v>
      </c>
      <c r="AL355" s="1" t="s">
        <v>7579</v>
      </c>
      <c r="AM355" s="1">
        <v>0.15</v>
      </c>
      <c r="AN355" s="1">
        <v>0.6</v>
      </c>
      <c r="AO355" s="1">
        <v>0.38</v>
      </c>
      <c r="AP355" s="1">
        <v>0.23</v>
      </c>
      <c r="AQ355" s="1">
        <v>3</v>
      </c>
      <c r="AR355" t="s">
        <v>1475</v>
      </c>
      <c r="AS355">
        <v>0</v>
      </c>
      <c r="AT355" t="s">
        <v>7580</v>
      </c>
      <c r="AU355">
        <v>10</v>
      </c>
      <c r="AV355">
        <v>19061</v>
      </c>
      <c r="AW355">
        <v>12</v>
      </c>
      <c r="AX355" t="b">
        <v>0</v>
      </c>
    </row>
    <row r="356" spans="1:50" x14ac:dyDescent="0.3">
      <c r="A356">
        <v>357</v>
      </c>
      <c r="B356" t="s">
        <v>7581</v>
      </c>
      <c r="C356" t="s">
        <v>7582</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7583</v>
      </c>
      <c r="AL356" s="1" t="s">
        <v>7584</v>
      </c>
      <c r="AM356" s="1">
        <v>0.3</v>
      </c>
      <c r="AN356" s="1">
        <v>0.25</v>
      </c>
      <c r="AO356" s="1">
        <v>0.12</v>
      </c>
      <c r="AP356" s="1">
        <v>0.38</v>
      </c>
      <c r="AQ356" s="1">
        <v>3</v>
      </c>
      <c r="AR356" t="s">
        <v>1757</v>
      </c>
      <c r="AS356">
        <v>0</v>
      </c>
      <c r="AT356" t="s">
        <v>7585</v>
      </c>
      <c r="AU356">
        <v>10</v>
      </c>
      <c r="AV356">
        <v>20066</v>
      </c>
      <c r="AW356">
        <v>0</v>
      </c>
      <c r="AX356" t="b">
        <v>0</v>
      </c>
    </row>
    <row r="357" spans="1:50" x14ac:dyDescent="0.3">
      <c r="A357">
        <v>358</v>
      </c>
      <c r="B357" t="s">
        <v>7606</v>
      </c>
      <c r="C357" t="s">
        <v>7607</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7631</v>
      </c>
      <c r="AH357" s="1">
        <v>3600</v>
      </c>
      <c r="AI357" t="s">
        <v>1843</v>
      </c>
      <c r="AJ357">
        <v>0</v>
      </c>
      <c r="AK357" s="1" t="s">
        <v>7608</v>
      </c>
      <c r="AL357" s="1" t="s">
        <v>7609</v>
      </c>
      <c r="AM357" s="1">
        <v>0.48</v>
      </c>
      <c r="AN357" s="1">
        <v>0.48</v>
      </c>
      <c r="AO357" s="1">
        <v>0.08</v>
      </c>
      <c r="AP357" s="1">
        <v>0.25</v>
      </c>
      <c r="AQ357" s="1">
        <v>3</v>
      </c>
      <c r="AR357" t="s">
        <v>7610</v>
      </c>
      <c r="AS357">
        <v>0</v>
      </c>
      <c r="AT357" t="s">
        <v>7611</v>
      </c>
      <c r="AU357">
        <v>10</v>
      </c>
      <c r="AV357">
        <v>19062</v>
      </c>
      <c r="AX357" t="b">
        <v>0</v>
      </c>
    </row>
    <row r="358" spans="1:50" x14ac:dyDescent="0.3">
      <c r="A358">
        <v>359</v>
      </c>
      <c r="B358" t="s">
        <v>7612</v>
      </c>
      <c r="C358" t="s">
        <v>7613</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7632</v>
      </c>
      <c r="AH358" s="1">
        <v>3600</v>
      </c>
      <c r="AI358" t="s">
        <v>1843</v>
      </c>
      <c r="AJ358">
        <v>0</v>
      </c>
      <c r="AK358" s="1" t="s">
        <v>7614</v>
      </c>
      <c r="AL358" s="1" t="s">
        <v>7615</v>
      </c>
      <c r="AM358" s="1">
        <v>0.48</v>
      </c>
      <c r="AN358" s="1">
        <v>0.48</v>
      </c>
      <c r="AO358" s="1">
        <v>0.08</v>
      </c>
      <c r="AP358" s="1">
        <v>0.25</v>
      </c>
      <c r="AQ358" s="1">
        <v>3</v>
      </c>
      <c r="AR358" t="s">
        <v>1521</v>
      </c>
      <c r="AS358">
        <v>0</v>
      </c>
      <c r="AT358" t="s">
        <v>7616</v>
      </c>
      <c r="AU358">
        <v>10</v>
      </c>
      <c r="AV358">
        <v>19063</v>
      </c>
      <c r="AX358" t="b">
        <v>0</v>
      </c>
    </row>
    <row r="359" spans="1:50" x14ac:dyDescent="0.3">
      <c r="A359">
        <v>361</v>
      </c>
      <c r="B359" t="s">
        <v>7617</v>
      </c>
      <c r="C359" t="s">
        <v>7618</v>
      </c>
      <c r="D359">
        <v>5</v>
      </c>
      <c r="E359">
        <v>2</v>
      </c>
      <c r="F359">
        <v>19</v>
      </c>
      <c r="G359" s="1" t="s">
        <v>7619</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7620</v>
      </c>
      <c r="AL359" s="1" t="s">
        <v>7621</v>
      </c>
      <c r="AM359" s="1">
        <v>0.08</v>
      </c>
      <c r="AN359" s="1">
        <v>0.5</v>
      </c>
      <c r="AO359" s="1">
        <v>0.3</v>
      </c>
      <c r="AP359" s="1">
        <v>0.3</v>
      </c>
      <c r="AQ359" s="1">
        <v>3</v>
      </c>
      <c r="AR359" t="s">
        <v>7622</v>
      </c>
      <c r="AS359">
        <v>0</v>
      </c>
      <c r="AT359" t="s">
        <v>1806</v>
      </c>
      <c r="AU359">
        <v>10</v>
      </c>
      <c r="AV359">
        <v>19064</v>
      </c>
      <c r="AX359" t="b">
        <v>0</v>
      </c>
    </row>
    <row r="360" spans="1:50" x14ac:dyDescent="0.3">
      <c r="A360">
        <v>362</v>
      </c>
      <c r="B360" t="s">
        <v>7623</v>
      </c>
      <c r="C360" t="s">
        <v>7624</v>
      </c>
      <c r="D360">
        <v>5</v>
      </c>
      <c r="E360">
        <v>2</v>
      </c>
      <c r="F360">
        <v>19</v>
      </c>
      <c r="G360" s="1" t="s">
        <v>470</v>
      </c>
      <c r="H360" s="1" t="s">
        <v>328</v>
      </c>
      <c r="I360" s="1" t="s">
        <v>328</v>
      </c>
      <c r="J360" s="1" t="s">
        <v>328</v>
      </c>
      <c r="K360" s="1" t="s">
        <v>328</v>
      </c>
      <c r="L360" s="1" t="s">
        <v>328</v>
      </c>
      <c r="M360" s="1" t="s">
        <v>328</v>
      </c>
      <c r="N360" s="1" t="s">
        <v>7299</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7625</v>
      </c>
      <c r="AL360" s="1" t="s">
        <v>7626</v>
      </c>
      <c r="AM360" s="1">
        <v>0.08</v>
      </c>
      <c r="AN360" s="1">
        <v>0.5</v>
      </c>
      <c r="AO360" s="1">
        <v>0.3</v>
      </c>
      <c r="AP360" s="1">
        <v>0.3</v>
      </c>
      <c r="AQ360" s="1">
        <v>3</v>
      </c>
      <c r="AR360" t="s">
        <v>6943</v>
      </c>
      <c r="AS360">
        <v>0</v>
      </c>
      <c r="AT360" t="s">
        <v>1806</v>
      </c>
      <c r="AU360">
        <v>10</v>
      </c>
      <c r="AV360">
        <v>19065</v>
      </c>
      <c r="AX360" t="b">
        <v>0</v>
      </c>
    </row>
    <row r="361" spans="1:50" x14ac:dyDescent="0.3">
      <c r="A361">
        <v>363</v>
      </c>
      <c r="B361" t="s">
        <v>7627</v>
      </c>
      <c r="C361" t="s">
        <v>7628</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7629</v>
      </c>
      <c r="AL361" s="1" t="s">
        <v>7630</v>
      </c>
      <c r="AM361" s="1">
        <v>0.3</v>
      </c>
      <c r="AN361" s="1">
        <v>0.23</v>
      </c>
      <c r="AO361" s="1">
        <v>0.15</v>
      </c>
      <c r="AP361" s="1">
        <v>0.38</v>
      </c>
      <c r="AQ361" s="1">
        <v>3</v>
      </c>
      <c r="AR361" t="s">
        <v>1583</v>
      </c>
      <c r="AS361">
        <v>0</v>
      </c>
      <c r="AT361" t="s">
        <v>1806</v>
      </c>
      <c r="AU361">
        <v>10</v>
      </c>
      <c r="AV361">
        <v>20068</v>
      </c>
      <c r="AX361" t="b">
        <v>0</v>
      </c>
    </row>
    <row r="362" spans="1:50" x14ac:dyDescent="0.3">
      <c r="A362">
        <v>360</v>
      </c>
      <c r="B362" t="s">
        <v>7634</v>
      </c>
      <c r="C362" t="s">
        <v>7635</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7636</v>
      </c>
      <c r="AL362" s="1" t="s">
        <v>7637</v>
      </c>
      <c r="AM362" s="1">
        <v>0.3</v>
      </c>
      <c r="AN362" s="1">
        <v>0.23</v>
      </c>
      <c r="AO362" s="1">
        <v>0.15</v>
      </c>
      <c r="AP362" s="1">
        <v>0.38</v>
      </c>
      <c r="AQ362" s="1">
        <v>3</v>
      </c>
      <c r="AR362" t="s">
        <v>7638</v>
      </c>
      <c r="AS362">
        <v>0</v>
      </c>
      <c r="AT362" t="s">
        <v>1806</v>
      </c>
      <c r="AU362">
        <v>10</v>
      </c>
      <c r="AV362">
        <v>20067</v>
      </c>
      <c r="AX362" t="b">
        <v>0</v>
      </c>
    </row>
    <row r="363" spans="1:50" x14ac:dyDescent="0.3">
      <c r="A363">
        <v>364</v>
      </c>
      <c r="B363" t="s">
        <v>7639</v>
      </c>
      <c r="C363" t="s">
        <v>7640</v>
      </c>
      <c r="D363">
        <v>5</v>
      </c>
      <c r="E363">
        <v>3</v>
      </c>
      <c r="F363">
        <v>20</v>
      </c>
      <c r="G363" s="1" t="s">
        <v>328</v>
      </c>
      <c r="H363" s="1" t="s">
        <v>328</v>
      </c>
      <c r="I363" s="1" t="s">
        <v>328</v>
      </c>
      <c r="J363" s="1" t="s">
        <v>364</v>
      </c>
      <c r="K363" s="1" t="s">
        <v>328</v>
      </c>
      <c r="L363" s="1" t="s">
        <v>328</v>
      </c>
      <c r="M363" s="1" t="s">
        <v>328</v>
      </c>
      <c r="N363" s="1" t="s">
        <v>328</v>
      </c>
      <c r="O363" s="1" t="s">
        <v>7183</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5631</v>
      </c>
      <c r="AH363" s="1">
        <v>3060</v>
      </c>
      <c r="AI363" t="s">
        <v>1843</v>
      </c>
      <c r="AJ363">
        <v>0</v>
      </c>
      <c r="AK363" s="1" t="s">
        <v>5285</v>
      </c>
      <c r="AL363" s="1" t="s">
        <v>7641</v>
      </c>
      <c r="AM363" s="1">
        <v>0.23</v>
      </c>
      <c r="AN363" s="1">
        <v>0.23</v>
      </c>
      <c r="AO363" s="1">
        <v>0.33</v>
      </c>
      <c r="AP363" s="1">
        <v>0.38</v>
      </c>
      <c r="AQ363" s="1">
        <v>3</v>
      </c>
      <c r="AR363" t="s">
        <v>1585</v>
      </c>
      <c r="AS363">
        <v>0</v>
      </c>
      <c r="AT363" t="s">
        <v>7642</v>
      </c>
      <c r="AU363">
        <v>10</v>
      </c>
      <c r="AV363">
        <v>20069</v>
      </c>
      <c r="AX363" t="b">
        <v>0</v>
      </c>
    </row>
    <row r="364" spans="1:50" x14ac:dyDescent="0.3">
      <c r="A364">
        <v>365</v>
      </c>
      <c r="B364" t="s">
        <v>7746</v>
      </c>
      <c r="C364" t="s">
        <v>7747</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7773</v>
      </c>
      <c r="AH364" s="1">
        <v>3360</v>
      </c>
      <c r="AI364" t="s">
        <v>1843</v>
      </c>
      <c r="AJ364">
        <v>0</v>
      </c>
      <c r="AK364" s="1" t="s">
        <v>7748</v>
      </c>
      <c r="AL364" s="1" t="s">
        <v>7749</v>
      </c>
      <c r="AM364" s="1">
        <v>0.55000000000000004</v>
      </c>
      <c r="AN364" s="1">
        <v>0.16</v>
      </c>
      <c r="AO364" s="1">
        <v>0.6</v>
      </c>
      <c r="AP364" s="1">
        <v>0.16</v>
      </c>
      <c r="AQ364" s="1">
        <v>3</v>
      </c>
      <c r="AR364" t="s">
        <v>7750</v>
      </c>
      <c r="AS364">
        <v>0</v>
      </c>
      <c r="AT364" t="s">
        <v>7751</v>
      </c>
      <c r="AU364">
        <v>10</v>
      </c>
      <c r="AV364">
        <v>20070</v>
      </c>
      <c r="AX364" t="b">
        <v>0</v>
      </c>
    </row>
    <row r="365" spans="1:50" x14ac:dyDescent="0.3">
      <c r="A365">
        <v>366</v>
      </c>
      <c r="B365" t="s">
        <v>7752</v>
      </c>
      <c r="C365" t="s">
        <v>7753</v>
      </c>
      <c r="D365">
        <v>5</v>
      </c>
      <c r="E365">
        <v>2</v>
      </c>
      <c r="F365">
        <v>19</v>
      </c>
      <c r="G365" s="1" t="s">
        <v>328</v>
      </c>
      <c r="H365" s="1" t="s">
        <v>328</v>
      </c>
      <c r="I365" s="1" t="s">
        <v>328</v>
      </c>
      <c r="J365" s="1" t="s">
        <v>328</v>
      </c>
      <c r="K365" s="1" t="s">
        <v>328</v>
      </c>
      <c r="L365" s="1" t="s">
        <v>335</v>
      </c>
      <c r="M365" s="1" t="s">
        <v>328</v>
      </c>
      <c r="N365" s="1" t="s">
        <v>7299</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7772</v>
      </c>
      <c r="AH365" s="1">
        <v>3300</v>
      </c>
      <c r="AI365" t="s">
        <v>1843</v>
      </c>
      <c r="AJ365">
        <v>0</v>
      </c>
      <c r="AK365" s="1" t="s">
        <v>7754</v>
      </c>
      <c r="AL365" s="1" t="s">
        <v>7755</v>
      </c>
      <c r="AM365" s="1">
        <v>0.08</v>
      </c>
      <c r="AN365" s="1">
        <v>0.5</v>
      </c>
      <c r="AO365" s="1">
        <v>0.3</v>
      </c>
      <c r="AP365" s="1">
        <v>0.3</v>
      </c>
      <c r="AQ365" s="1">
        <v>3</v>
      </c>
      <c r="AR365" t="s">
        <v>7756</v>
      </c>
      <c r="AS365">
        <v>0</v>
      </c>
      <c r="AT365" t="s">
        <v>7757</v>
      </c>
      <c r="AU365">
        <v>10</v>
      </c>
      <c r="AV365">
        <v>19066</v>
      </c>
      <c r="AX365" t="b">
        <v>0</v>
      </c>
    </row>
    <row r="366" spans="1:50" x14ac:dyDescent="0.3">
      <c r="A366">
        <v>367</v>
      </c>
      <c r="B366" t="s">
        <v>7791</v>
      </c>
      <c r="C366" t="s">
        <v>7792</v>
      </c>
      <c r="D366">
        <v>5</v>
      </c>
      <c r="E366">
        <v>3</v>
      </c>
      <c r="F366">
        <v>20</v>
      </c>
      <c r="G366" s="1" t="s">
        <v>328</v>
      </c>
      <c r="H366" s="1" t="s">
        <v>331</v>
      </c>
      <c r="I366" s="1" t="s">
        <v>7793</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7794</v>
      </c>
      <c r="AL366" s="1" t="s">
        <v>7795</v>
      </c>
      <c r="AM366" s="1">
        <v>0.3</v>
      </c>
      <c r="AN366" s="1">
        <v>0.25</v>
      </c>
      <c r="AO366" s="1">
        <v>0.12</v>
      </c>
      <c r="AP366" s="1">
        <v>0.38</v>
      </c>
      <c r="AQ366" s="1">
        <v>3</v>
      </c>
      <c r="AR366" t="s">
        <v>7796</v>
      </c>
      <c r="AS366">
        <v>0</v>
      </c>
      <c r="AT366" t="s">
        <v>7797</v>
      </c>
      <c r="AU366">
        <v>10</v>
      </c>
      <c r="AV366">
        <v>20071</v>
      </c>
      <c r="AX366" t="b">
        <v>0</v>
      </c>
    </row>
    <row r="367" spans="1:50" x14ac:dyDescent="0.3">
      <c r="A367">
        <v>368</v>
      </c>
      <c r="B367" t="s">
        <v>7810</v>
      </c>
      <c r="C367" t="s">
        <v>7811</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7821</v>
      </c>
      <c r="AH367" s="1">
        <v>3600</v>
      </c>
      <c r="AI367" t="s">
        <v>1843</v>
      </c>
      <c r="AJ367">
        <v>0</v>
      </c>
      <c r="AK367" s="1" t="s">
        <v>7812</v>
      </c>
      <c r="AL367" s="1" t="s">
        <v>7813</v>
      </c>
      <c r="AM367" s="1">
        <v>0.15</v>
      </c>
      <c r="AN367" s="1">
        <v>0.6</v>
      </c>
      <c r="AO367" s="1">
        <v>0.38</v>
      </c>
      <c r="AP367" s="1">
        <v>0.23</v>
      </c>
      <c r="AQ367" s="1">
        <v>3</v>
      </c>
      <c r="AR367" t="s">
        <v>1529</v>
      </c>
      <c r="AS367">
        <v>0</v>
      </c>
      <c r="AT367" t="s">
        <v>7814</v>
      </c>
      <c r="AU367">
        <v>10</v>
      </c>
      <c r="AV367">
        <v>19067</v>
      </c>
      <c r="AX367" t="b">
        <v>0</v>
      </c>
    </row>
    <row r="368" spans="1:50" x14ac:dyDescent="0.3">
      <c r="A368">
        <v>369</v>
      </c>
      <c r="B368" t="s">
        <v>7815</v>
      </c>
      <c r="C368" t="s">
        <v>7816</v>
      </c>
      <c r="D368">
        <v>5</v>
      </c>
      <c r="E368">
        <v>2</v>
      </c>
      <c r="F368">
        <v>19</v>
      </c>
      <c r="G368" s="1" t="s">
        <v>470</v>
      </c>
      <c r="H368" s="1" t="s">
        <v>328</v>
      </c>
      <c r="I368" s="1" t="s">
        <v>328</v>
      </c>
      <c r="J368" s="1" t="s">
        <v>328</v>
      </c>
      <c r="K368" s="1" t="s">
        <v>328</v>
      </c>
      <c r="L368" s="1" t="s">
        <v>328</v>
      </c>
      <c r="M368" s="1" t="s">
        <v>328</v>
      </c>
      <c r="N368" s="1" t="s">
        <v>6941</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7820</v>
      </c>
      <c r="AH368" s="1">
        <v>3300</v>
      </c>
      <c r="AI368" t="s">
        <v>1843</v>
      </c>
      <c r="AJ368">
        <v>0</v>
      </c>
      <c r="AK368" s="1" t="s">
        <v>7817</v>
      </c>
      <c r="AL368" s="1" t="s">
        <v>7818</v>
      </c>
      <c r="AM368" s="1">
        <v>0.08</v>
      </c>
      <c r="AN368" s="1">
        <v>0.5</v>
      </c>
      <c r="AO368" s="1">
        <v>0.3</v>
      </c>
      <c r="AP368" s="1">
        <v>0.3</v>
      </c>
      <c r="AQ368" s="1">
        <v>3</v>
      </c>
      <c r="AR368" t="s">
        <v>6943</v>
      </c>
      <c r="AS368">
        <v>0</v>
      </c>
      <c r="AT368" t="s">
        <v>7819</v>
      </c>
      <c r="AU368">
        <v>10</v>
      </c>
      <c r="AV368">
        <v>19068</v>
      </c>
      <c r="AX368" t="b">
        <v>0</v>
      </c>
    </row>
    <row r="369" spans="1:50" x14ac:dyDescent="0.3">
      <c r="A369">
        <v>370</v>
      </c>
      <c r="B369" t="s">
        <v>7980</v>
      </c>
      <c r="C369" t="s">
        <v>7981</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7982</v>
      </c>
      <c r="AL369" s="1" t="s">
        <v>7983</v>
      </c>
      <c r="AM369" s="1">
        <v>0.15</v>
      </c>
      <c r="AN369" s="1">
        <v>0.6</v>
      </c>
      <c r="AO369" s="1">
        <v>0.38</v>
      </c>
      <c r="AP369" s="1">
        <v>0.23</v>
      </c>
      <c r="AQ369" s="1">
        <v>3</v>
      </c>
      <c r="AR369" t="s">
        <v>1473</v>
      </c>
      <c r="AS369">
        <v>0</v>
      </c>
      <c r="AT369" t="s">
        <v>7984</v>
      </c>
      <c r="AU369">
        <v>10</v>
      </c>
      <c r="AV369">
        <v>19069</v>
      </c>
      <c r="AX369" t="b">
        <v>0</v>
      </c>
    </row>
    <row r="370" spans="1:50" x14ac:dyDescent="0.3">
      <c r="A370">
        <v>371</v>
      </c>
      <c r="B370" t="s">
        <v>7985</v>
      </c>
      <c r="C370" t="s">
        <v>7986</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7996</v>
      </c>
      <c r="AH370" s="1">
        <v>3360</v>
      </c>
      <c r="AI370" t="s">
        <v>1843</v>
      </c>
      <c r="AJ370">
        <v>0</v>
      </c>
      <c r="AK370" s="1" t="s">
        <v>7987</v>
      </c>
      <c r="AL370" s="1" t="s">
        <v>7988</v>
      </c>
      <c r="AM370" s="1">
        <v>0.55000000000000004</v>
      </c>
      <c r="AN370" s="1">
        <v>0.16</v>
      </c>
      <c r="AO370" s="1">
        <v>0.6</v>
      </c>
      <c r="AP370" s="1">
        <v>0.16</v>
      </c>
      <c r="AQ370" s="1">
        <v>3</v>
      </c>
      <c r="AR370" t="s">
        <v>7989</v>
      </c>
      <c r="AS370">
        <v>0</v>
      </c>
      <c r="AT370" t="s">
        <v>7990</v>
      </c>
      <c r="AU370">
        <v>10</v>
      </c>
      <c r="AV370">
        <v>20072</v>
      </c>
      <c r="AX370" t="b">
        <v>0</v>
      </c>
    </row>
    <row r="371" spans="1:50" x14ac:dyDescent="0.3">
      <c r="A371">
        <v>372</v>
      </c>
      <c r="B371" t="s">
        <v>7991</v>
      </c>
      <c r="C371" t="s">
        <v>7992</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7997</v>
      </c>
      <c r="AH371" s="1">
        <v>3420</v>
      </c>
      <c r="AI371" t="s">
        <v>1843</v>
      </c>
      <c r="AJ371">
        <v>0</v>
      </c>
      <c r="AK371" s="1" t="s">
        <v>7993</v>
      </c>
      <c r="AL371" s="1" t="s">
        <v>7994</v>
      </c>
      <c r="AM371" s="1">
        <v>0.08</v>
      </c>
      <c r="AN371" s="1">
        <v>0.39</v>
      </c>
      <c r="AO371" s="1">
        <v>0.08</v>
      </c>
      <c r="AP371" s="1">
        <v>0.48</v>
      </c>
      <c r="AQ371" s="1">
        <v>3</v>
      </c>
      <c r="AR371" t="s">
        <v>1470</v>
      </c>
      <c r="AS371">
        <v>0</v>
      </c>
      <c r="AT371" t="s">
        <v>7995</v>
      </c>
      <c r="AU371">
        <v>10</v>
      </c>
      <c r="AV371">
        <v>19070</v>
      </c>
      <c r="AX371" t="b">
        <v>0</v>
      </c>
    </row>
    <row r="372" spans="1:50" x14ac:dyDescent="0.3">
      <c r="A372">
        <v>373</v>
      </c>
      <c r="B372" t="s">
        <v>7998</v>
      </c>
      <c r="C372" t="s">
        <v>7999</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8000</v>
      </c>
      <c r="AM372" s="1">
        <v>0.08</v>
      </c>
      <c r="AN372" s="1">
        <v>0.5</v>
      </c>
      <c r="AO372" s="1">
        <v>0.3</v>
      </c>
      <c r="AP372" s="1">
        <v>0.3</v>
      </c>
      <c r="AQ372" s="1">
        <v>3</v>
      </c>
      <c r="AR372" t="s">
        <v>1552</v>
      </c>
      <c r="AS372">
        <v>759303</v>
      </c>
      <c r="AT372" t="s">
        <v>8001</v>
      </c>
      <c r="AU372">
        <v>10</v>
      </c>
      <c r="AV372">
        <v>19071</v>
      </c>
      <c r="AX372" t="b">
        <v>0</v>
      </c>
    </row>
    <row r="373" spans="1:50" x14ac:dyDescent="0.3">
      <c r="A373">
        <v>374</v>
      </c>
      <c r="B373" t="s">
        <v>8002</v>
      </c>
      <c r="C373" t="s">
        <v>8003</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8012</v>
      </c>
      <c r="AH373" s="1">
        <v>3060</v>
      </c>
      <c r="AI373" t="s">
        <v>1843</v>
      </c>
      <c r="AJ373">
        <v>0</v>
      </c>
      <c r="AK373" s="1" t="s">
        <v>8004</v>
      </c>
      <c r="AL373" s="1" t="s">
        <v>8005</v>
      </c>
      <c r="AM373" s="1">
        <v>0.3</v>
      </c>
      <c r="AN373" s="1">
        <v>0.23</v>
      </c>
      <c r="AO373" s="1">
        <v>0.15</v>
      </c>
      <c r="AP373" s="1">
        <v>0.38</v>
      </c>
      <c r="AQ373" s="1">
        <v>3</v>
      </c>
      <c r="AR373" t="s">
        <v>7078</v>
      </c>
      <c r="AS373">
        <v>0</v>
      </c>
      <c r="AT373" t="s">
        <v>8006</v>
      </c>
      <c r="AU373">
        <v>10</v>
      </c>
      <c r="AV373">
        <v>20073</v>
      </c>
      <c r="AX373" t="b">
        <v>0</v>
      </c>
    </row>
    <row r="374" spans="1:50" x14ac:dyDescent="0.3">
      <c r="A374">
        <v>375</v>
      </c>
      <c r="B374" t="s">
        <v>8007</v>
      </c>
      <c r="C374" t="s">
        <v>8008</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8013</v>
      </c>
      <c r="AH374" s="1">
        <v>3540</v>
      </c>
      <c r="AI374" t="s">
        <v>1843</v>
      </c>
      <c r="AJ374">
        <v>0</v>
      </c>
      <c r="AK374" s="1" t="s">
        <v>8009</v>
      </c>
      <c r="AL374" s="1" t="s">
        <v>8010</v>
      </c>
      <c r="AM374" s="1">
        <v>0.45</v>
      </c>
      <c r="AN374" s="1">
        <v>0.15</v>
      </c>
      <c r="AO374" s="1">
        <v>0.3</v>
      </c>
      <c r="AP374" s="1">
        <v>0.15</v>
      </c>
      <c r="AQ374" s="1">
        <v>3</v>
      </c>
      <c r="AR374" t="s">
        <v>1577</v>
      </c>
      <c r="AS374">
        <v>0</v>
      </c>
      <c r="AT374" t="s">
        <v>8011</v>
      </c>
      <c r="AU374">
        <v>10</v>
      </c>
      <c r="AV374">
        <v>18116</v>
      </c>
      <c r="AX374" t="b">
        <v>0</v>
      </c>
    </row>
    <row r="375" spans="1:50" x14ac:dyDescent="0.3">
      <c r="A375">
        <v>376</v>
      </c>
      <c r="B375" t="s">
        <v>8027</v>
      </c>
      <c r="C375" t="s">
        <v>8028</v>
      </c>
      <c r="D375">
        <v>5</v>
      </c>
      <c r="E375">
        <v>3</v>
      </c>
      <c r="F375">
        <v>20</v>
      </c>
      <c r="G375" s="1" t="s">
        <v>328</v>
      </c>
      <c r="H375" s="1" t="s">
        <v>328</v>
      </c>
      <c r="I375" s="1" t="s">
        <v>331</v>
      </c>
      <c r="J375" s="1" t="s">
        <v>328</v>
      </c>
      <c r="K375" s="1" t="s">
        <v>328</v>
      </c>
      <c r="L375" s="1" t="s">
        <v>328</v>
      </c>
      <c r="M375" s="1" t="s">
        <v>328</v>
      </c>
      <c r="N375" s="1" t="s">
        <v>328</v>
      </c>
      <c r="O375" s="1" t="s">
        <v>7183</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8029</v>
      </c>
      <c r="AL375" s="1" t="s">
        <v>8030</v>
      </c>
      <c r="AM375" s="1">
        <v>0.23</v>
      </c>
      <c r="AN375" s="1">
        <v>0.23</v>
      </c>
      <c r="AO375" s="1">
        <v>0.33</v>
      </c>
      <c r="AP375" s="1">
        <v>0.38</v>
      </c>
      <c r="AQ375" s="1">
        <v>3</v>
      </c>
      <c r="AR375" t="s">
        <v>1477</v>
      </c>
      <c r="AS375">
        <v>0</v>
      </c>
      <c r="AT375" t="s">
        <v>8031</v>
      </c>
      <c r="AU375">
        <v>10</v>
      </c>
      <c r="AV375">
        <v>20074</v>
      </c>
      <c r="AX375" t="b">
        <v>0</v>
      </c>
    </row>
    <row r="376" spans="1:50" x14ac:dyDescent="0.3">
      <c r="A376">
        <v>377</v>
      </c>
      <c r="B376" t="s">
        <v>8032</v>
      </c>
      <c r="C376" t="s">
        <v>8033</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8034</v>
      </c>
      <c r="AM376" s="1">
        <v>0.3</v>
      </c>
      <c r="AN376" s="1">
        <v>0.23</v>
      </c>
      <c r="AO376" s="1">
        <v>0.15</v>
      </c>
      <c r="AP376" s="1">
        <v>0.38</v>
      </c>
      <c r="AQ376" s="1">
        <v>3</v>
      </c>
      <c r="AR376" t="s">
        <v>1583</v>
      </c>
      <c r="AS376">
        <v>0</v>
      </c>
      <c r="AT376" t="s">
        <v>1806</v>
      </c>
      <c r="AU376">
        <v>10</v>
      </c>
      <c r="AV376">
        <v>20075</v>
      </c>
      <c r="AX376" t="b">
        <v>0</v>
      </c>
    </row>
    <row r="377" spans="1:50" x14ac:dyDescent="0.3">
      <c r="A377">
        <v>378</v>
      </c>
      <c r="B377" t="s">
        <v>8035</v>
      </c>
      <c r="C377" t="s">
        <v>8036</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8037</v>
      </c>
      <c r="AL377" s="1" t="s">
        <v>8038</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8039</v>
      </c>
      <c r="C378" t="s">
        <v>8040</v>
      </c>
      <c r="D378">
        <v>5</v>
      </c>
      <c r="E378">
        <v>3</v>
      </c>
      <c r="F378">
        <v>20</v>
      </c>
      <c r="G378" s="1" t="s">
        <v>408</v>
      </c>
      <c r="H378" s="1" t="s">
        <v>328</v>
      </c>
      <c r="I378" s="1" t="s">
        <v>7513</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8041</v>
      </c>
      <c r="AL378" s="1" t="s">
        <v>8042</v>
      </c>
      <c r="AM378" s="1">
        <v>0.3</v>
      </c>
      <c r="AN378" s="1">
        <v>0.25</v>
      </c>
      <c r="AO378" s="1">
        <v>0.12</v>
      </c>
      <c r="AP378" s="1">
        <v>0.38</v>
      </c>
      <c r="AQ378" s="1">
        <v>3</v>
      </c>
      <c r="AR378" t="s">
        <v>1757</v>
      </c>
      <c r="AS378">
        <v>0</v>
      </c>
      <c r="AT378" t="s">
        <v>1806</v>
      </c>
      <c r="AU378">
        <v>10</v>
      </c>
      <c r="AV378">
        <v>20076</v>
      </c>
      <c r="AX378" t="b">
        <v>0</v>
      </c>
    </row>
    <row r="379" spans="1:50" x14ac:dyDescent="0.3">
      <c r="A379">
        <v>380</v>
      </c>
      <c r="B379" t="s">
        <v>8077</v>
      </c>
      <c r="C379" t="s">
        <v>8078</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8093</v>
      </c>
      <c r="AH379" s="1">
        <v>3120</v>
      </c>
      <c r="AI379" t="s">
        <v>1843</v>
      </c>
      <c r="AJ379">
        <v>0</v>
      </c>
      <c r="AK379" s="1" t="s">
        <v>8076</v>
      </c>
      <c r="AL379" s="1" t="s">
        <v>8079</v>
      </c>
      <c r="AM379" s="1">
        <v>0.3</v>
      </c>
      <c r="AN379" s="1">
        <v>0.25</v>
      </c>
      <c r="AO379" s="1">
        <v>0.12</v>
      </c>
      <c r="AP379" s="1">
        <v>0.38</v>
      </c>
      <c r="AQ379" s="1">
        <v>3</v>
      </c>
      <c r="AR379" t="s">
        <v>1475</v>
      </c>
      <c r="AS379">
        <v>0</v>
      </c>
      <c r="AT379" t="s">
        <v>1806</v>
      </c>
      <c r="AU379">
        <v>10</v>
      </c>
      <c r="AV379">
        <v>20062</v>
      </c>
      <c r="AX379" t="b">
        <v>0</v>
      </c>
    </row>
    <row r="380" spans="1:50" x14ac:dyDescent="0.3">
      <c r="A380">
        <v>381</v>
      </c>
      <c r="B380" t="s">
        <v>8080</v>
      </c>
      <c r="C380" t="s">
        <v>8081</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8094</v>
      </c>
      <c r="AH380" s="1">
        <v>3120</v>
      </c>
      <c r="AI380" t="s">
        <v>1843</v>
      </c>
      <c r="AJ380">
        <v>0</v>
      </c>
      <c r="AK380" s="1" t="s">
        <v>8075</v>
      </c>
      <c r="AL380" s="1" t="s">
        <v>8082</v>
      </c>
      <c r="AM380" s="1">
        <v>0.3</v>
      </c>
      <c r="AN380" s="1">
        <v>0.25</v>
      </c>
      <c r="AO380" s="1">
        <v>0.12</v>
      </c>
      <c r="AP380" s="1">
        <v>0.38</v>
      </c>
      <c r="AQ380" s="1">
        <v>3</v>
      </c>
      <c r="AR380" t="s">
        <v>1478</v>
      </c>
      <c r="AS380">
        <v>0</v>
      </c>
      <c r="AT380" t="s">
        <v>1806</v>
      </c>
      <c r="AU380">
        <v>10</v>
      </c>
      <c r="AV380">
        <v>20079</v>
      </c>
      <c r="AX380" t="b">
        <v>0</v>
      </c>
    </row>
    <row r="381" spans="1:50" x14ac:dyDescent="0.3">
      <c r="A381">
        <v>382</v>
      </c>
      <c r="B381" t="s">
        <v>8083</v>
      </c>
      <c r="C381" t="s">
        <v>8084</v>
      </c>
      <c r="D381">
        <v>5</v>
      </c>
      <c r="E381">
        <v>2</v>
      </c>
      <c r="F381">
        <v>19</v>
      </c>
      <c r="G381" s="1" t="s">
        <v>328</v>
      </c>
      <c r="H381" s="1" t="s">
        <v>328</v>
      </c>
      <c r="I381" s="1" t="s">
        <v>328</v>
      </c>
      <c r="J381" s="1" t="s">
        <v>328</v>
      </c>
      <c r="K381" s="1" t="s">
        <v>328</v>
      </c>
      <c r="L381" s="1" t="s">
        <v>338</v>
      </c>
      <c r="M381" s="1" t="s">
        <v>328</v>
      </c>
      <c r="N381" s="1" t="s">
        <v>8085</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8062</v>
      </c>
      <c r="AH381" s="1">
        <v>3300</v>
      </c>
      <c r="AI381" t="s">
        <v>1843</v>
      </c>
      <c r="AJ381">
        <v>0</v>
      </c>
      <c r="AK381" s="1" t="s">
        <v>8086</v>
      </c>
      <c r="AL381" s="1" t="s">
        <v>8087</v>
      </c>
      <c r="AM381" s="1">
        <v>0.08</v>
      </c>
      <c r="AN381" s="1">
        <v>0.5</v>
      </c>
      <c r="AO381" s="1">
        <v>0.3</v>
      </c>
      <c r="AP381" s="1">
        <v>0.3</v>
      </c>
      <c r="AQ381" s="1">
        <v>3</v>
      </c>
      <c r="AR381" t="s">
        <v>7756</v>
      </c>
      <c r="AS381">
        <v>0</v>
      </c>
      <c r="AT381" t="s">
        <v>1806</v>
      </c>
      <c r="AU381">
        <v>10</v>
      </c>
      <c r="AV381">
        <v>19073</v>
      </c>
      <c r="AX381" t="b">
        <v>0</v>
      </c>
    </row>
    <row r="382" spans="1:50" x14ac:dyDescent="0.3">
      <c r="A382">
        <v>383</v>
      </c>
      <c r="B382" t="s">
        <v>8088</v>
      </c>
      <c r="C382" t="s">
        <v>8089</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8068</v>
      </c>
      <c r="AH382" s="1">
        <v>3060</v>
      </c>
      <c r="AI382" t="s">
        <v>1843</v>
      </c>
      <c r="AJ382">
        <v>0</v>
      </c>
      <c r="AK382" s="1" t="s">
        <v>8090</v>
      </c>
      <c r="AL382" s="1" t="s">
        <v>8091</v>
      </c>
      <c r="AM382" s="1">
        <v>0.3</v>
      </c>
      <c r="AN382" s="1">
        <v>0.23</v>
      </c>
      <c r="AO382" s="1">
        <v>0.15</v>
      </c>
      <c r="AP382" s="1">
        <v>0.38</v>
      </c>
      <c r="AQ382" s="1">
        <v>3</v>
      </c>
      <c r="AR382" t="s">
        <v>8092</v>
      </c>
      <c r="AS382">
        <v>0</v>
      </c>
      <c r="AT382" t="s">
        <v>1806</v>
      </c>
      <c r="AU382">
        <v>10</v>
      </c>
      <c r="AV382">
        <v>20080</v>
      </c>
      <c r="AX382" t="b">
        <v>0</v>
      </c>
    </row>
    <row r="383" spans="1:50" x14ac:dyDescent="0.3">
      <c r="A383">
        <v>384</v>
      </c>
      <c r="B383" t="s">
        <v>8105</v>
      </c>
      <c r="C383" t="s">
        <v>8106</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8116</v>
      </c>
      <c r="AH383" s="1">
        <v>3120</v>
      </c>
      <c r="AI383" t="s">
        <v>1843</v>
      </c>
      <c r="AJ383">
        <v>0</v>
      </c>
      <c r="AK383" s="1" t="s">
        <v>8107</v>
      </c>
      <c r="AL383" s="1" t="s">
        <v>8108</v>
      </c>
      <c r="AM383" s="1">
        <v>0.3</v>
      </c>
      <c r="AN383" s="1">
        <v>0.25</v>
      </c>
      <c r="AO383" s="1">
        <v>0.12</v>
      </c>
      <c r="AP383" s="1">
        <v>0.38</v>
      </c>
      <c r="AQ383" s="1">
        <v>3</v>
      </c>
      <c r="AR383" t="s">
        <v>1478</v>
      </c>
      <c r="AS383">
        <v>0</v>
      </c>
      <c r="AT383" t="s">
        <v>8109</v>
      </c>
      <c r="AU383">
        <v>10</v>
      </c>
      <c r="AV383">
        <v>20081</v>
      </c>
      <c r="AX383" t="b">
        <v>0</v>
      </c>
    </row>
    <row r="384" spans="1:50" x14ac:dyDescent="0.3">
      <c r="A384">
        <v>385</v>
      </c>
      <c r="B384" t="s">
        <v>8110</v>
      </c>
      <c r="C384" t="s">
        <v>8111</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8117</v>
      </c>
      <c r="AH384" s="1">
        <v>3420</v>
      </c>
      <c r="AI384" t="s">
        <v>1843</v>
      </c>
      <c r="AJ384">
        <v>0</v>
      </c>
      <c r="AK384" s="1" t="s">
        <v>8112</v>
      </c>
      <c r="AL384" s="1" t="s">
        <v>8113</v>
      </c>
      <c r="AM384" s="1">
        <v>0.1</v>
      </c>
      <c r="AN384" s="1">
        <v>0.1</v>
      </c>
      <c r="AO384" s="1">
        <v>0.1</v>
      </c>
      <c r="AP384" s="1">
        <v>0.55000000000000004</v>
      </c>
      <c r="AQ384" s="1">
        <v>3</v>
      </c>
      <c r="AR384" t="s">
        <v>8114</v>
      </c>
      <c r="AS384">
        <v>0</v>
      </c>
      <c r="AT384" t="s">
        <v>8115</v>
      </c>
      <c r="AU384">
        <v>10</v>
      </c>
      <c r="AV384">
        <v>20082</v>
      </c>
      <c r="AX384" t="b">
        <v>0</v>
      </c>
    </row>
    <row r="385" spans="1:50" x14ac:dyDescent="0.3">
      <c r="A385">
        <v>386</v>
      </c>
      <c r="B385" t="s">
        <v>8141</v>
      </c>
      <c r="C385" t="s">
        <v>8142</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8143</v>
      </c>
      <c r="AL385" s="1" t="s">
        <v>8144</v>
      </c>
      <c r="AM385" s="1">
        <v>0.45</v>
      </c>
      <c r="AN385" s="1">
        <v>0.15</v>
      </c>
      <c r="AO385" s="1">
        <v>0.3</v>
      </c>
      <c r="AP385" s="1">
        <v>0.15</v>
      </c>
      <c r="AQ385" s="1">
        <v>3</v>
      </c>
      <c r="AR385" t="s">
        <v>1514</v>
      </c>
      <c r="AS385">
        <v>0</v>
      </c>
      <c r="AT385" t="s">
        <v>8145</v>
      </c>
      <c r="AU385">
        <v>10</v>
      </c>
      <c r="AV385">
        <v>18118</v>
      </c>
      <c r="AX385" t="b">
        <v>0</v>
      </c>
    </row>
    <row r="386" spans="1:50" x14ac:dyDescent="0.3">
      <c r="A386">
        <v>387</v>
      </c>
      <c r="B386" t="s">
        <v>8146</v>
      </c>
      <c r="C386" t="s">
        <v>8147</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8119</v>
      </c>
      <c r="AH386" s="1">
        <v>3600</v>
      </c>
      <c r="AI386" t="s">
        <v>1843</v>
      </c>
      <c r="AJ386">
        <v>0</v>
      </c>
      <c r="AK386" s="1" t="s">
        <v>8148</v>
      </c>
      <c r="AL386" s="1" t="s">
        <v>8149</v>
      </c>
      <c r="AM386" s="1">
        <v>0.3</v>
      </c>
      <c r="AN386" s="1">
        <v>0.23</v>
      </c>
      <c r="AO386" s="1">
        <v>0.15</v>
      </c>
      <c r="AP386" s="1">
        <v>0.38</v>
      </c>
      <c r="AQ386" s="1">
        <v>3</v>
      </c>
      <c r="AR386" t="s">
        <v>1757</v>
      </c>
      <c r="AS386">
        <v>0</v>
      </c>
      <c r="AT386" t="s">
        <v>1806</v>
      </c>
      <c r="AU386">
        <v>10</v>
      </c>
      <c r="AV386">
        <v>20077</v>
      </c>
      <c r="AX386" t="b">
        <v>0</v>
      </c>
    </row>
    <row r="387" spans="1:50" x14ac:dyDescent="0.3">
      <c r="A387">
        <v>388</v>
      </c>
      <c r="B387" t="s">
        <v>8150</v>
      </c>
      <c r="C387" t="s">
        <v>8151</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8127</v>
      </c>
      <c r="AH387" s="1">
        <v>3060</v>
      </c>
      <c r="AI387" t="s">
        <v>1843</v>
      </c>
      <c r="AJ387">
        <v>0</v>
      </c>
      <c r="AK387" s="1" t="s">
        <v>8152</v>
      </c>
      <c r="AL387" s="1" t="s">
        <v>8153</v>
      </c>
      <c r="AM387" s="1">
        <v>0.3</v>
      </c>
      <c r="AN387" s="1">
        <v>0.23</v>
      </c>
      <c r="AO387" s="1">
        <v>0.15</v>
      </c>
      <c r="AP387" s="1">
        <v>0.38</v>
      </c>
      <c r="AQ387" s="1">
        <v>3</v>
      </c>
      <c r="AR387" t="s">
        <v>7078</v>
      </c>
      <c r="AS387">
        <v>0</v>
      </c>
      <c r="AT387" t="s">
        <v>1806</v>
      </c>
      <c r="AU387">
        <v>10</v>
      </c>
      <c r="AV387">
        <v>20078</v>
      </c>
      <c r="AX387" t="b">
        <v>0</v>
      </c>
    </row>
    <row r="388" spans="1:50" x14ac:dyDescent="0.3">
      <c r="A388">
        <v>389</v>
      </c>
      <c r="B388" t="s">
        <v>8154</v>
      </c>
      <c r="C388" t="s">
        <v>8155</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8158</v>
      </c>
      <c r="AH388" s="1">
        <v>2700</v>
      </c>
      <c r="AI388" t="s">
        <v>1843</v>
      </c>
      <c r="AJ388">
        <v>0</v>
      </c>
      <c r="AK388" s="1" t="s">
        <v>8156</v>
      </c>
      <c r="AL388" s="1" t="s">
        <v>8157</v>
      </c>
      <c r="AM388" s="1">
        <v>0.45</v>
      </c>
      <c r="AN388" s="1">
        <v>0.15</v>
      </c>
      <c r="AO388" s="1">
        <v>0.3</v>
      </c>
      <c r="AP388" s="1">
        <v>0.15</v>
      </c>
      <c r="AQ388" s="1">
        <v>3</v>
      </c>
      <c r="AR388" t="s">
        <v>1561</v>
      </c>
      <c r="AS388">
        <v>0</v>
      </c>
      <c r="AT388" t="s">
        <v>1806</v>
      </c>
      <c r="AU388">
        <v>10</v>
      </c>
      <c r="AV388">
        <v>18117</v>
      </c>
      <c r="AX388" t="b">
        <v>0</v>
      </c>
    </row>
    <row r="389" spans="1:50" x14ac:dyDescent="0.3">
      <c r="A389">
        <v>390</v>
      </c>
      <c r="B389" t="s">
        <v>8159</v>
      </c>
      <c r="C389" t="s">
        <v>8160</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8170</v>
      </c>
      <c r="AH389" s="1">
        <v>3600</v>
      </c>
      <c r="AI389" t="s">
        <v>1843</v>
      </c>
      <c r="AJ389">
        <v>0</v>
      </c>
      <c r="AK389" s="1" t="s">
        <v>8161</v>
      </c>
      <c r="AL389" s="1" t="s">
        <v>8162</v>
      </c>
      <c r="AM389" s="1">
        <v>0.3</v>
      </c>
      <c r="AN389" s="1">
        <v>0.25</v>
      </c>
      <c r="AO389" s="1">
        <v>0.12</v>
      </c>
      <c r="AP389" s="1">
        <v>0.38</v>
      </c>
      <c r="AQ389" s="1">
        <v>3</v>
      </c>
      <c r="AR389" t="s">
        <v>8163</v>
      </c>
      <c r="AS389">
        <v>0</v>
      </c>
      <c r="AT389" t="s">
        <v>8164</v>
      </c>
      <c r="AU389">
        <v>10</v>
      </c>
      <c r="AV389">
        <v>20079</v>
      </c>
      <c r="AX389" t="b">
        <v>0</v>
      </c>
    </row>
    <row r="390" spans="1:50" x14ac:dyDescent="0.3">
      <c r="A390">
        <v>391</v>
      </c>
      <c r="B390" t="s">
        <v>8165</v>
      </c>
      <c r="C390" t="s">
        <v>8166</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8171</v>
      </c>
      <c r="AH390" s="1">
        <v>3600</v>
      </c>
      <c r="AI390" t="s">
        <v>1918</v>
      </c>
      <c r="AJ390">
        <v>0</v>
      </c>
      <c r="AK390" s="1" t="s">
        <v>8167</v>
      </c>
      <c r="AL390" s="1" t="s">
        <v>8168</v>
      </c>
      <c r="AM390" s="1">
        <v>0.48</v>
      </c>
      <c r="AN390" s="1">
        <v>0.48</v>
      </c>
      <c r="AO390" s="1">
        <v>0.08</v>
      </c>
      <c r="AP390" s="1">
        <v>0.25</v>
      </c>
      <c r="AQ390" s="1">
        <v>3</v>
      </c>
      <c r="AR390" t="s">
        <v>1493</v>
      </c>
      <c r="AS390">
        <v>0</v>
      </c>
      <c r="AT390" t="s">
        <v>8169</v>
      </c>
      <c r="AU390">
        <v>10</v>
      </c>
      <c r="AV390">
        <v>19074</v>
      </c>
      <c r="AX390" t="b">
        <v>0</v>
      </c>
    </row>
    <row r="391" spans="1:50" x14ac:dyDescent="0.3">
      <c r="A391">
        <v>392</v>
      </c>
      <c r="B391" t="s">
        <v>8172</v>
      </c>
      <c r="C391" t="s">
        <v>8173</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8174</v>
      </c>
      <c r="AL391" s="1" t="s">
        <v>8175</v>
      </c>
      <c r="AM391" s="1">
        <v>0.48</v>
      </c>
      <c r="AN391" s="1">
        <v>0.48</v>
      </c>
      <c r="AO391" s="1">
        <v>0.08</v>
      </c>
      <c r="AP391" s="1">
        <v>0.25</v>
      </c>
      <c r="AQ391" s="1">
        <v>3</v>
      </c>
      <c r="AR391" t="s">
        <v>1489</v>
      </c>
      <c r="AS391">
        <v>0</v>
      </c>
      <c r="AT391" t="s">
        <v>8176</v>
      </c>
      <c r="AU391">
        <v>10</v>
      </c>
      <c r="AV391">
        <v>19075</v>
      </c>
      <c r="AX391" t="b">
        <v>0</v>
      </c>
    </row>
    <row r="392" spans="1:50" x14ac:dyDescent="0.3">
      <c r="A392">
        <v>393</v>
      </c>
      <c r="B392" t="s">
        <v>8177</v>
      </c>
      <c r="C392" t="s">
        <v>8178</v>
      </c>
      <c r="D392">
        <v>5</v>
      </c>
      <c r="E392">
        <v>2</v>
      </c>
      <c r="F392">
        <v>19</v>
      </c>
      <c r="G392" s="1" t="s">
        <v>328</v>
      </c>
      <c r="H392" s="1" t="s">
        <v>328</v>
      </c>
      <c r="I392" s="1" t="s">
        <v>328</v>
      </c>
      <c r="J392" s="1" t="s">
        <v>328</v>
      </c>
      <c r="K392" s="1" t="s">
        <v>328</v>
      </c>
      <c r="L392" s="1" t="s">
        <v>335</v>
      </c>
      <c r="M392" s="1" t="s">
        <v>328</v>
      </c>
      <c r="N392" s="1" t="s">
        <v>7299</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8187</v>
      </c>
      <c r="AH392" s="1">
        <v>3300</v>
      </c>
      <c r="AI392" t="s">
        <v>1843</v>
      </c>
      <c r="AJ392">
        <v>0</v>
      </c>
      <c r="AK392" s="1" t="s">
        <v>8179</v>
      </c>
      <c r="AL392" s="1" t="s">
        <v>8180</v>
      </c>
      <c r="AM392" s="1">
        <v>0.08</v>
      </c>
      <c r="AN392" s="1">
        <v>0.5</v>
      </c>
      <c r="AO392" s="1">
        <v>0.3</v>
      </c>
      <c r="AP392" s="1">
        <v>0.3</v>
      </c>
      <c r="AQ392" s="1">
        <v>3</v>
      </c>
      <c r="AR392" t="s">
        <v>7756</v>
      </c>
      <c r="AS392">
        <v>0</v>
      </c>
      <c r="AT392" t="s">
        <v>8181</v>
      </c>
      <c r="AU392">
        <v>10</v>
      </c>
      <c r="AV392">
        <v>19076</v>
      </c>
      <c r="AX392" t="b">
        <v>0</v>
      </c>
    </row>
    <row r="393" spans="1:50" x14ac:dyDescent="0.3">
      <c r="A393">
        <v>394</v>
      </c>
      <c r="B393" t="s">
        <v>8182</v>
      </c>
      <c r="C393" t="s">
        <v>8183</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8188</v>
      </c>
      <c r="AH393" s="1">
        <v>3060</v>
      </c>
      <c r="AI393" t="s">
        <v>1843</v>
      </c>
      <c r="AJ393">
        <v>0</v>
      </c>
      <c r="AK393" s="1" t="s">
        <v>486</v>
      </c>
      <c r="AL393" s="1" t="s">
        <v>8184</v>
      </c>
      <c r="AM393" s="1">
        <v>0.23</v>
      </c>
      <c r="AN393" s="1">
        <v>0.23</v>
      </c>
      <c r="AO393" s="1">
        <v>0.33</v>
      </c>
      <c r="AP393" s="1">
        <v>0.38</v>
      </c>
      <c r="AQ393" s="1">
        <v>3</v>
      </c>
      <c r="AR393" t="s">
        <v>8185</v>
      </c>
      <c r="AS393">
        <v>0</v>
      </c>
      <c r="AT393" t="s">
        <v>8186</v>
      </c>
      <c r="AU393">
        <v>10</v>
      </c>
      <c r="AV393">
        <v>20081</v>
      </c>
      <c r="AX393" t="b">
        <v>0</v>
      </c>
    </row>
    <row r="394" spans="1:50" x14ac:dyDescent="0.3">
      <c r="A394">
        <v>395</v>
      </c>
      <c r="B394" t="s">
        <v>8205</v>
      </c>
      <c r="C394" t="s">
        <v>8206</v>
      </c>
      <c r="D394">
        <v>5</v>
      </c>
      <c r="E394">
        <v>3</v>
      </c>
      <c r="F394">
        <v>20</v>
      </c>
      <c r="G394" s="1" t="s">
        <v>328</v>
      </c>
      <c r="H394" s="1" t="s">
        <v>331</v>
      </c>
      <c r="I394" s="1" t="s">
        <v>7793</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8207</v>
      </c>
      <c r="AM394" s="1">
        <v>0.3</v>
      </c>
      <c r="AN394" s="1">
        <v>0.25</v>
      </c>
      <c r="AO394" s="1">
        <v>0.12</v>
      </c>
      <c r="AP394" s="1">
        <v>0.38</v>
      </c>
      <c r="AQ394" s="1">
        <v>3</v>
      </c>
      <c r="AR394" t="s">
        <v>7796</v>
      </c>
      <c r="AS394">
        <v>0</v>
      </c>
      <c r="AT394" t="s">
        <v>1806</v>
      </c>
      <c r="AU394">
        <v>10</v>
      </c>
      <c r="AV394">
        <v>20082</v>
      </c>
      <c r="AX394" t="b">
        <v>0</v>
      </c>
    </row>
    <row r="395" spans="1:50" x14ac:dyDescent="0.3">
      <c r="A395">
        <v>396</v>
      </c>
      <c r="B395" t="s">
        <v>8208</v>
      </c>
      <c r="C395" t="s">
        <v>8209</v>
      </c>
      <c r="D395">
        <v>5</v>
      </c>
      <c r="E395">
        <v>3</v>
      </c>
      <c r="F395">
        <v>20</v>
      </c>
      <c r="G395" s="1" t="s">
        <v>328</v>
      </c>
      <c r="H395" s="1" t="s">
        <v>328</v>
      </c>
      <c r="I395" s="1" t="s">
        <v>7513</v>
      </c>
      <c r="J395" s="1" t="s">
        <v>328</v>
      </c>
      <c r="K395" s="1" t="s">
        <v>328</v>
      </c>
      <c r="L395" s="1" t="s">
        <v>7619</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8214</v>
      </c>
      <c r="AH395" s="1">
        <v>3120</v>
      </c>
      <c r="AI395" t="s">
        <v>1843</v>
      </c>
      <c r="AJ395">
        <v>0</v>
      </c>
      <c r="AK395" s="1" t="s">
        <v>8204</v>
      </c>
      <c r="AL395" s="1" t="s">
        <v>8210</v>
      </c>
      <c r="AM395" s="1">
        <v>0.3</v>
      </c>
      <c r="AN395" s="1">
        <v>0.25</v>
      </c>
      <c r="AO395" s="1">
        <v>0.12</v>
      </c>
      <c r="AP395" s="1">
        <v>0.38</v>
      </c>
      <c r="AQ395" s="1">
        <v>3</v>
      </c>
      <c r="AR395" t="s">
        <v>8211</v>
      </c>
      <c r="AS395">
        <v>0</v>
      </c>
      <c r="AT395" t="s">
        <v>8212</v>
      </c>
      <c r="AU395">
        <v>10</v>
      </c>
      <c r="AV395">
        <v>20080</v>
      </c>
      <c r="AX395" t="b">
        <v>0</v>
      </c>
    </row>
    <row r="396" spans="1:50" x14ac:dyDescent="0.3">
      <c r="A396">
        <v>397</v>
      </c>
      <c r="B396" t="s">
        <v>8333</v>
      </c>
      <c r="C396" t="s">
        <v>8334</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8335</v>
      </c>
      <c r="AL396" s="1" t="s">
        <v>8336</v>
      </c>
      <c r="AM396" s="1">
        <v>0.55000000000000004</v>
      </c>
      <c r="AN396" s="1">
        <v>0.23</v>
      </c>
      <c r="AO396" s="1">
        <v>0.23</v>
      </c>
      <c r="AP396" s="1">
        <v>0.23</v>
      </c>
      <c r="AQ396" s="1">
        <v>3</v>
      </c>
      <c r="AR396" t="s">
        <v>8337</v>
      </c>
      <c r="AS396">
        <v>0</v>
      </c>
      <c r="AT396" t="s">
        <v>8338</v>
      </c>
      <c r="AU396">
        <v>10</v>
      </c>
      <c r="AV396">
        <v>18118</v>
      </c>
      <c r="AX396" t="b">
        <v>0</v>
      </c>
    </row>
    <row r="397" spans="1:50" x14ac:dyDescent="0.3">
      <c r="A397">
        <v>398</v>
      </c>
      <c r="B397" t="s">
        <v>8365</v>
      </c>
      <c r="C397" t="s">
        <v>8366</v>
      </c>
      <c r="D397">
        <v>5</v>
      </c>
      <c r="E397">
        <v>2</v>
      </c>
      <c r="F397">
        <v>19</v>
      </c>
      <c r="G397" s="1" t="s">
        <v>335</v>
      </c>
      <c r="H397" s="1" t="s">
        <v>328</v>
      </c>
      <c r="I397" s="1" t="s">
        <v>328</v>
      </c>
      <c r="J397" s="1" t="s">
        <v>328</v>
      </c>
      <c r="K397" s="1" t="s">
        <v>328</v>
      </c>
      <c r="L397" s="1" t="s">
        <v>328</v>
      </c>
      <c r="M397" s="1" t="s">
        <v>328</v>
      </c>
      <c r="N397" s="1" t="s">
        <v>8085</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8376</v>
      </c>
      <c r="AH397" s="1">
        <v>3300</v>
      </c>
      <c r="AI397" t="s">
        <v>1843</v>
      </c>
      <c r="AJ397">
        <v>0</v>
      </c>
      <c r="AK397" s="1" t="s">
        <v>8367</v>
      </c>
      <c r="AL397" s="1" t="s">
        <v>8368</v>
      </c>
      <c r="AM397" s="1">
        <v>0.08</v>
      </c>
      <c r="AN397" s="1">
        <v>0.5</v>
      </c>
      <c r="AO397" s="1">
        <v>0.3</v>
      </c>
      <c r="AP397" s="1">
        <v>0.3</v>
      </c>
      <c r="AQ397" s="1">
        <v>3</v>
      </c>
      <c r="AR397" t="s">
        <v>7622</v>
      </c>
      <c r="AS397">
        <v>0</v>
      </c>
      <c r="AT397" t="s">
        <v>8369</v>
      </c>
      <c r="AU397">
        <v>10</v>
      </c>
      <c r="AV397">
        <v>19077</v>
      </c>
      <c r="AX397" t="b">
        <v>0</v>
      </c>
    </row>
    <row r="398" spans="1:50" x14ac:dyDescent="0.3">
      <c r="A398">
        <v>399</v>
      </c>
      <c r="B398" t="s">
        <v>8370</v>
      </c>
      <c r="C398" t="s">
        <v>8371</v>
      </c>
      <c r="D398">
        <v>5</v>
      </c>
      <c r="E398">
        <v>2</v>
      </c>
      <c r="F398">
        <v>19</v>
      </c>
      <c r="G398" s="1" t="s">
        <v>470</v>
      </c>
      <c r="H398" s="1" t="s">
        <v>335</v>
      </c>
      <c r="I398" s="1" t="s">
        <v>328</v>
      </c>
      <c r="J398" s="1" t="s">
        <v>328</v>
      </c>
      <c r="K398" s="1" t="s">
        <v>328</v>
      </c>
      <c r="L398" s="1" t="s">
        <v>328</v>
      </c>
      <c r="M398" s="1" t="s">
        <v>328</v>
      </c>
      <c r="N398" s="1" t="s">
        <v>7299</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8375</v>
      </c>
      <c r="AH398" s="1">
        <v>3300</v>
      </c>
      <c r="AI398" t="s">
        <v>1843</v>
      </c>
      <c r="AJ398">
        <v>0</v>
      </c>
      <c r="AK398" s="1" t="s">
        <v>6865</v>
      </c>
      <c r="AL398" s="1" t="s">
        <v>8372</v>
      </c>
      <c r="AM398" s="1">
        <v>0.08</v>
      </c>
      <c r="AN398" s="1">
        <v>0.5</v>
      </c>
      <c r="AO398" s="1">
        <v>0.3</v>
      </c>
      <c r="AP398" s="1">
        <v>0.3</v>
      </c>
      <c r="AQ398" s="1">
        <v>3</v>
      </c>
      <c r="AR398" t="s">
        <v>8373</v>
      </c>
      <c r="AS398">
        <v>0</v>
      </c>
      <c r="AT398" t="s">
        <v>8374</v>
      </c>
      <c r="AU398">
        <v>10</v>
      </c>
      <c r="AV398">
        <v>19078</v>
      </c>
      <c r="AX398" t="b">
        <v>0</v>
      </c>
    </row>
    <row r="399" spans="1:50" x14ac:dyDescent="0.3">
      <c r="A399">
        <v>400</v>
      </c>
      <c r="B399" t="s">
        <v>8377</v>
      </c>
      <c r="C399" t="s">
        <v>8378</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8379</v>
      </c>
      <c r="AL399" s="1" t="s">
        <v>8380</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8381</v>
      </c>
      <c r="C400" t="s">
        <v>8382</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8383</v>
      </c>
      <c r="AM400" s="1">
        <v>0.3</v>
      </c>
      <c r="AN400" s="1">
        <v>0.23</v>
      </c>
      <c r="AO400" s="1">
        <v>0.15</v>
      </c>
      <c r="AP400" s="1">
        <v>0.38</v>
      </c>
      <c r="AQ400" s="1">
        <v>3</v>
      </c>
      <c r="AR400" t="s">
        <v>1583</v>
      </c>
      <c r="AS400">
        <v>0</v>
      </c>
      <c r="AT400" t="s">
        <v>1806</v>
      </c>
      <c r="AU400">
        <v>10</v>
      </c>
      <c r="AV400">
        <v>20082</v>
      </c>
      <c r="AX400">
        <v>0</v>
      </c>
    </row>
    <row r="401" spans="1:50" x14ac:dyDescent="0.3">
      <c r="A401">
        <v>402</v>
      </c>
      <c r="B401" t="s">
        <v>8384</v>
      </c>
      <c r="C401" t="s">
        <v>8385</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8386</v>
      </c>
      <c r="AL401" s="1" t="s">
        <v>8387</v>
      </c>
      <c r="AM401" s="1">
        <v>0.48</v>
      </c>
      <c r="AN401" s="1">
        <v>0.48</v>
      </c>
      <c r="AO401" s="1">
        <v>0.08</v>
      </c>
      <c r="AP401" s="1">
        <v>0.25</v>
      </c>
      <c r="AQ401" s="1">
        <v>3</v>
      </c>
      <c r="AR401" t="s">
        <v>1470</v>
      </c>
      <c r="AS401">
        <v>0</v>
      </c>
      <c r="AT401" t="s">
        <v>2468</v>
      </c>
      <c r="AU401">
        <v>10</v>
      </c>
      <c r="AV401">
        <v>19079</v>
      </c>
      <c r="AX401">
        <v>0</v>
      </c>
    </row>
    <row r="402" spans="1:50" x14ac:dyDescent="0.3">
      <c r="A402">
        <v>403</v>
      </c>
      <c r="B402" t="s">
        <v>8388</v>
      </c>
      <c r="C402" t="s">
        <v>8389</v>
      </c>
      <c r="D402">
        <v>5</v>
      </c>
      <c r="E402">
        <v>2</v>
      </c>
      <c r="F402">
        <v>19</v>
      </c>
      <c r="G402" s="1" t="s">
        <v>385</v>
      </c>
      <c r="H402" s="1" t="s">
        <v>328</v>
      </c>
      <c r="I402" s="1" t="s">
        <v>328</v>
      </c>
      <c r="J402" s="1" t="s">
        <v>328</v>
      </c>
      <c r="K402" s="1" t="s">
        <v>7063</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8390</v>
      </c>
      <c r="AM402" s="1">
        <v>0.48</v>
      </c>
      <c r="AN402" s="1">
        <v>0.48</v>
      </c>
      <c r="AO402" s="1">
        <v>0.08</v>
      </c>
      <c r="AP402" s="1">
        <v>0.25</v>
      </c>
      <c r="AQ402" s="1">
        <v>3</v>
      </c>
      <c r="AR402" t="s">
        <v>1473</v>
      </c>
      <c r="AS402">
        <v>0</v>
      </c>
      <c r="AT402" t="s">
        <v>8391</v>
      </c>
      <c r="AU402">
        <v>10</v>
      </c>
      <c r="AV402">
        <v>19080</v>
      </c>
      <c r="AX402">
        <v>0</v>
      </c>
    </row>
    <row r="403" spans="1:50" x14ac:dyDescent="0.3">
      <c r="A403">
        <v>404</v>
      </c>
      <c r="B403" t="s">
        <v>8406</v>
      </c>
      <c r="C403" t="s">
        <v>8407</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8431</v>
      </c>
      <c r="AH403" s="1">
        <v>3120</v>
      </c>
      <c r="AI403" t="s">
        <v>1843</v>
      </c>
      <c r="AJ403">
        <v>0</v>
      </c>
      <c r="AK403" s="1" t="s">
        <v>8408</v>
      </c>
      <c r="AL403" s="1" t="s">
        <v>8409</v>
      </c>
      <c r="AM403" s="1">
        <v>0.3</v>
      </c>
      <c r="AN403" s="1">
        <v>0.25</v>
      </c>
      <c r="AO403" s="1">
        <v>0.12</v>
      </c>
      <c r="AP403" s="1">
        <v>0.38</v>
      </c>
      <c r="AQ403" s="1">
        <v>3</v>
      </c>
      <c r="AR403" t="s">
        <v>1757</v>
      </c>
      <c r="AS403">
        <v>0</v>
      </c>
      <c r="AT403" t="s">
        <v>8410</v>
      </c>
      <c r="AU403">
        <v>10</v>
      </c>
      <c r="AV403">
        <v>20083</v>
      </c>
      <c r="AX403">
        <v>0</v>
      </c>
    </row>
    <row r="404" spans="1:50" x14ac:dyDescent="0.3">
      <c r="A404">
        <v>405</v>
      </c>
      <c r="B404" t="s">
        <v>8411</v>
      </c>
      <c r="C404" t="s">
        <v>8412</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8413</v>
      </c>
      <c r="AL404" s="1" t="s">
        <v>8414</v>
      </c>
      <c r="AM404" s="1">
        <v>0.55000000000000004</v>
      </c>
      <c r="AN404" s="1">
        <v>0.16</v>
      </c>
      <c r="AO404" s="1">
        <v>0.6</v>
      </c>
      <c r="AP404" s="1">
        <v>0.16</v>
      </c>
      <c r="AQ404" s="1">
        <v>3</v>
      </c>
      <c r="AR404" t="s">
        <v>8415</v>
      </c>
      <c r="AS404">
        <v>0</v>
      </c>
      <c r="AT404" t="s">
        <v>6818</v>
      </c>
      <c r="AU404">
        <v>10</v>
      </c>
      <c r="AV404">
        <v>20084</v>
      </c>
      <c r="AX404">
        <v>0</v>
      </c>
    </row>
    <row r="405" spans="1:50" x14ac:dyDescent="0.3">
      <c r="A405">
        <v>406</v>
      </c>
      <c r="B405" t="s">
        <v>8416</v>
      </c>
      <c r="C405" t="s">
        <v>8417</v>
      </c>
      <c r="D405">
        <v>5</v>
      </c>
      <c r="E405">
        <v>1</v>
      </c>
      <c r="F405">
        <v>18</v>
      </c>
      <c r="G405" s="1" t="s">
        <v>328</v>
      </c>
      <c r="H405" s="1" t="s">
        <v>328</v>
      </c>
      <c r="I405" s="1" t="s">
        <v>6792</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8432</v>
      </c>
      <c r="AH405" s="1">
        <v>2820</v>
      </c>
      <c r="AI405" t="s">
        <v>1843</v>
      </c>
      <c r="AJ405">
        <v>0</v>
      </c>
      <c r="AK405" s="1" t="s">
        <v>8418</v>
      </c>
      <c r="AL405" s="1" t="s">
        <v>8419</v>
      </c>
      <c r="AM405" s="1">
        <v>0.45</v>
      </c>
      <c r="AN405" s="1">
        <v>0.15</v>
      </c>
      <c r="AO405" s="1">
        <v>0.3</v>
      </c>
      <c r="AP405" s="1">
        <v>0.15</v>
      </c>
      <c r="AQ405" s="1">
        <v>3</v>
      </c>
      <c r="AR405" t="s">
        <v>1757</v>
      </c>
      <c r="AS405">
        <v>0</v>
      </c>
      <c r="AT405" t="s">
        <v>8420</v>
      </c>
      <c r="AU405">
        <v>10</v>
      </c>
      <c r="AV405">
        <v>18119</v>
      </c>
      <c r="AX405">
        <v>0</v>
      </c>
    </row>
    <row r="406" spans="1:50" x14ac:dyDescent="0.3">
      <c r="A406">
        <v>407</v>
      </c>
      <c r="B406" t="s">
        <v>8421</v>
      </c>
      <c r="C406" t="s">
        <v>8422</v>
      </c>
      <c r="D406">
        <v>5</v>
      </c>
      <c r="E406">
        <v>3</v>
      </c>
      <c r="F406">
        <v>20</v>
      </c>
      <c r="G406" s="1" t="s">
        <v>328</v>
      </c>
      <c r="H406" s="1" t="s">
        <v>342</v>
      </c>
      <c r="I406" s="1" t="s">
        <v>7513</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8433</v>
      </c>
      <c r="AH406" s="1">
        <v>3120</v>
      </c>
      <c r="AI406" t="s">
        <v>1843</v>
      </c>
      <c r="AJ406">
        <v>0</v>
      </c>
      <c r="AK406" s="1" t="s">
        <v>8423</v>
      </c>
      <c r="AL406" s="1" t="s">
        <v>8424</v>
      </c>
      <c r="AM406" s="1">
        <v>0.3</v>
      </c>
      <c r="AN406" s="1">
        <v>0.25</v>
      </c>
      <c r="AO406" s="1">
        <v>0.12</v>
      </c>
      <c r="AP406" s="1">
        <v>0.38</v>
      </c>
      <c r="AQ406" s="1">
        <v>3</v>
      </c>
      <c r="AR406" t="s">
        <v>1757</v>
      </c>
      <c r="AS406">
        <v>0</v>
      </c>
      <c r="AT406" t="s">
        <v>8425</v>
      </c>
      <c r="AU406">
        <v>10</v>
      </c>
      <c r="AV406">
        <v>20085</v>
      </c>
      <c r="AX406">
        <v>0</v>
      </c>
    </row>
    <row r="407" spans="1:50" x14ac:dyDescent="0.3">
      <c r="A407">
        <v>408</v>
      </c>
      <c r="B407" t="s">
        <v>8426</v>
      </c>
      <c r="C407" t="s">
        <v>8427</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8392</v>
      </c>
      <c r="AL407" s="1" t="s">
        <v>8428</v>
      </c>
      <c r="AM407" s="1">
        <v>0.48</v>
      </c>
      <c r="AN407" s="1">
        <v>0.48</v>
      </c>
      <c r="AO407" s="1">
        <v>0.08</v>
      </c>
      <c r="AP407" s="1">
        <v>0.25</v>
      </c>
      <c r="AQ407" s="1">
        <v>3</v>
      </c>
      <c r="AR407" t="s">
        <v>8429</v>
      </c>
      <c r="AS407">
        <v>0</v>
      </c>
      <c r="AT407" t="s">
        <v>8430</v>
      </c>
      <c r="AU407">
        <v>10</v>
      </c>
      <c r="AV407">
        <v>19081</v>
      </c>
      <c r="AX407">
        <v>0</v>
      </c>
    </row>
    <row r="408" spans="1:50" x14ac:dyDescent="0.3">
      <c r="A408">
        <v>409</v>
      </c>
      <c r="B408" t="s">
        <v>8434</v>
      </c>
      <c r="C408" t="s">
        <v>8435</v>
      </c>
      <c r="D408">
        <v>5</v>
      </c>
      <c r="E408">
        <v>3</v>
      </c>
      <c r="F408">
        <v>20</v>
      </c>
      <c r="G408" s="1" t="s">
        <v>328</v>
      </c>
      <c r="H408" s="1" t="s">
        <v>328</v>
      </c>
      <c r="I408" s="1" t="s">
        <v>8436</v>
      </c>
      <c r="J408" s="1" t="s">
        <v>328</v>
      </c>
      <c r="K408" s="1" t="s">
        <v>6792</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8446</v>
      </c>
      <c r="AH408" s="1">
        <v>3060</v>
      </c>
      <c r="AI408" t="s">
        <v>1843</v>
      </c>
      <c r="AJ408">
        <v>0</v>
      </c>
      <c r="AK408" s="1" t="s">
        <v>1721</v>
      </c>
      <c r="AL408" s="1" t="s">
        <v>8437</v>
      </c>
      <c r="AM408" s="1">
        <v>0.3</v>
      </c>
      <c r="AN408" s="1">
        <v>0.23</v>
      </c>
      <c r="AO408" s="1">
        <v>0.15</v>
      </c>
      <c r="AP408" s="1">
        <v>0.38</v>
      </c>
      <c r="AQ408" s="1">
        <v>3</v>
      </c>
      <c r="AR408" t="s">
        <v>8438</v>
      </c>
      <c r="AS408">
        <v>0</v>
      </c>
      <c r="AT408" t="s">
        <v>8439</v>
      </c>
      <c r="AU408">
        <v>10</v>
      </c>
      <c r="AV408">
        <v>20086</v>
      </c>
      <c r="AX408">
        <v>0</v>
      </c>
    </row>
    <row r="409" spans="1:50" x14ac:dyDescent="0.3">
      <c r="A409">
        <v>410</v>
      </c>
      <c r="B409" t="s">
        <v>8440</v>
      </c>
      <c r="C409" t="s">
        <v>8441</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8445</v>
      </c>
      <c r="AH409" s="1">
        <v>3060</v>
      </c>
      <c r="AI409" t="s">
        <v>1843</v>
      </c>
      <c r="AJ409">
        <v>0</v>
      </c>
      <c r="AK409" s="1" t="s">
        <v>8442</v>
      </c>
      <c r="AL409" s="1" t="s">
        <v>8443</v>
      </c>
      <c r="AM409" s="1">
        <v>0.3</v>
      </c>
      <c r="AN409" s="1">
        <v>0.23</v>
      </c>
      <c r="AO409" s="1">
        <v>0.15</v>
      </c>
      <c r="AP409" s="1">
        <v>0.38</v>
      </c>
      <c r="AQ409" s="1">
        <v>3</v>
      </c>
      <c r="AR409" t="s">
        <v>1583</v>
      </c>
      <c r="AS409">
        <v>0</v>
      </c>
      <c r="AT409" t="s">
        <v>8444</v>
      </c>
      <c r="AU409">
        <v>10</v>
      </c>
      <c r="AV409">
        <v>20087</v>
      </c>
      <c r="AX409">
        <v>0</v>
      </c>
    </row>
    <row r="410" spans="1:50" x14ac:dyDescent="0.3">
      <c r="A410">
        <v>411</v>
      </c>
      <c r="B410" t="s">
        <v>8447</v>
      </c>
      <c r="C410" t="s">
        <v>8448</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8449</v>
      </c>
      <c r="AL410" s="1" t="s">
        <v>8450</v>
      </c>
      <c r="AM410" s="1">
        <v>0.33</v>
      </c>
      <c r="AN410" s="1">
        <v>0.22</v>
      </c>
      <c r="AO410" s="1">
        <v>0.5</v>
      </c>
      <c r="AP410" s="1">
        <v>0.18</v>
      </c>
      <c r="AQ410" s="1">
        <v>3</v>
      </c>
      <c r="AR410" t="s">
        <v>1467</v>
      </c>
      <c r="AS410">
        <v>0</v>
      </c>
      <c r="AT410" t="s">
        <v>1806</v>
      </c>
      <c r="AU410">
        <v>10</v>
      </c>
      <c r="AV410">
        <v>18120</v>
      </c>
      <c r="AX410">
        <v>0</v>
      </c>
    </row>
    <row r="411" spans="1:50" x14ac:dyDescent="0.3">
      <c r="A411">
        <v>413</v>
      </c>
      <c r="B411" t="s">
        <v>8451</v>
      </c>
      <c r="C411" t="s">
        <v>8452</v>
      </c>
      <c r="D411">
        <v>5</v>
      </c>
      <c r="E411">
        <v>3</v>
      </c>
      <c r="F411">
        <v>20</v>
      </c>
      <c r="G411" s="1" t="s">
        <v>376</v>
      </c>
      <c r="H411" s="1" t="s">
        <v>328</v>
      </c>
      <c r="I411" s="1" t="s">
        <v>8453</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8454</v>
      </c>
      <c r="AL411" s="1" t="s">
        <v>8455</v>
      </c>
      <c r="AM411" s="1">
        <v>0.3</v>
      </c>
      <c r="AN411" s="1">
        <v>0.25</v>
      </c>
      <c r="AO411" s="1">
        <v>0.12</v>
      </c>
      <c r="AP411" s="1">
        <v>0.38</v>
      </c>
      <c r="AQ411" s="1">
        <v>3</v>
      </c>
      <c r="AR411" t="s">
        <v>1757</v>
      </c>
      <c r="AS411">
        <v>0</v>
      </c>
      <c r="AT411" t="s">
        <v>8456</v>
      </c>
      <c r="AU411">
        <v>10</v>
      </c>
      <c r="AV411">
        <v>20089</v>
      </c>
      <c r="AX411">
        <v>0</v>
      </c>
    </row>
    <row r="412" spans="1:50" x14ac:dyDescent="0.3">
      <c r="A412">
        <v>412</v>
      </c>
      <c r="B412" t="s">
        <v>8468</v>
      </c>
      <c r="C412" t="s">
        <v>8469</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8461</v>
      </c>
      <c r="AH412" s="1">
        <v>3060</v>
      </c>
      <c r="AI412" t="s">
        <v>2406</v>
      </c>
      <c r="AJ412">
        <v>0</v>
      </c>
      <c r="AK412" s="1" t="s">
        <v>8470</v>
      </c>
      <c r="AL412" s="1" t="s">
        <v>8471</v>
      </c>
      <c r="AM412" s="1">
        <v>0.3</v>
      </c>
      <c r="AN412" s="1">
        <v>0.23</v>
      </c>
      <c r="AO412" s="1">
        <v>0.15</v>
      </c>
      <c r="AP412" s="1">
        <v>0.38</v>
      </c>
      <c r="AQ412" s="1">
        <v>3</v>
      </c>
      <c r="AR412" t="s">
        <v>8472</v>
      </c>
      <c r="AS412">
        <v>0</v>
      </c>
      <c r="AT412" t="s">
        <v>8473</v>
      </c>
      <c r="AU412">
        <v>10</v>
      </c>
      <c r="AV412">
        <v>20088</v>
      </c>
      <c r="AX412">
        <v>0</v>
      </c>
    </row>
    <row r="413" spans="1:50" x14ac:dyDescent="0.3">
      <c r="A413">
        <v>414</v>
      </c>
      <c r="B413" t="s">
        <v>8474</v>
      </c>
      <c r="C413" t="s">
        <v>8475</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8484</v>
      </c>
      <c r="AH413" s="1">
        <v>3300</v>
      </c>
      <c r="AI413" t="s">
        <v>1843</v>
      </c>
      <c r="AJ413">
        <v>0</v>
      </c>
      <c r="AK413" s="1" t="s">
        <v>883</v>
      </c>
      <c r="AL413" s="1" t="s">
        <v>8476</v>
      </c>
      <c r="AM413" s="1">
        <v>0.08</v>
      </c>
      <c r="AN413" s="1">
        <v>0.5</v>
      </c>
      <c r="AO413" s="1">
        <v>0.3</v>
      </c>
      <c r="AP413" s="1">
        <v>0.3</v>
      </c>
      <c r="AQ413" s="1">
        <v>3</v>
      </c>
      <c r="AR413" t="s">
        <v>8477</v>
      </c>
      <c r="AS413">
        <v>0</v>
      </c>
      <c r="AT413" t="s">
        <v>8478</v>
      </c>
      <c r="AU413">
        <v>10</v>
      </c>
      <c r="AV413">
        <v>19082</v>
      </c>
      <c r="AX413">
        <v>0</v>
      </c>
    </row>
    <row r="414" spans="1:50" x14ac:dyDescent="0.3">
      <c r="A414">
        <v>415</v>
      </c>
      <c r="B414" t="s">
        <v>8479</v>
      </c>
      <c r="C414" t="s">
        <v>8480</v>
      </c>
      <c r="D414">
        <v>5</v>
      </c>
      <c r="E414">
        <v>3</v>
      </c>
      <c r="F414">
        <v>20</v>
      </c>
      <c r="G414" s="1" t="s">
        <v>328</v>
      </c>
      <c r="H414" s="1" t="s">
        <v>328</v>
      </c>
      <c r="I414" s="1" t="s">
        <v>7572</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8485</v>
      </c>
      <c r="AH414" s="1">
        <v>3120</v>
      </c>
      <c r="AI414" t="s">
        <v>1843</v>
      </c>
      <c r="AJ414">
        <v>0</v>
      </c>
      <c r="AK414" s="1" t="s">
        <v>8481</v>
      </c>
      <c r="AL414" s="1" t="s">
        <v>8482</v>
      </c>
      <c r="AM414" s="1">
        <v>0.3</v>
      </c>
      <c r="AN414" s="1">
        <v>0.25</v>
      </c>
      <c r="AO414" s="1">
        <v>0.12</v>
      </c>
      <c r="AP414" s="1">
        <v>0.38</v>
      </c>
      <c r="AQ414" s="1">
        <v>3</v>
      </c>
      <c r="AR414" t="s">
        <v>1757</v>
      </c>
      <c r="AS414">
        <v>0</v>
      </c>
      <c r="AT414" t="s">
        <v>8483</v>
      </c>
      <c r="AU414">
        <v>10</v>
      </c>
      <c r="AV414">
        <v>20090</v>
      </c>
      <c r="AX414">
        <v>0</v>
      </c>
    </row>
    <row r="415" spans="1:50" x14ac:dyDescent="0.3">
      <c r="A415">
        <v>416</v>
      </c>
      <c r="B415" t="s">
        <v>8495</v>
      </c>
      <c r="C415" t="s">
        <v>8496</v>
      </c>
      <c r="D415">
        <v>5</v>
      </c>
      <c r="E415">
        <v>3</v>
      </c>
      <c r="F415">
        <v>20</v>
      </c>
      <c r="G415" s="1" t="s">
        <v>328</v>
      </c>
      <c r="H415" s="1" t="s">
        <v>328</v>
      </c>
      <c r="I415" s="1" t="s">
        <v>328</v>
      </c>
      <c r="J415" s="1" t="s">
        <v>401</v>
      </c>
      <c r="K415" s="1" t="s">
        <v>328</v>
      </c>
      <c r="L415" s="1" t="s">
        <v>328</v>
      </c>
      <c r="M415" s="1" t="s">
        <v>328</v>
      </c>
      <c r="N415" s="1" t="s">
        <v>328</v>
      </c>
      <c r="O415" s="1" t="s">
        <v>8497</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8489</v>
      </c>
      <c r="AH415" s="1">
        <v>3060</v>
      </c>
      <c r="AI415" t="s">
        <v>1843</v>
      </c>
      <c r="AJ415">
        <v>0</v>
      </c>
      <c r="AK415" s="1" t="s">
        <v>8498</v>
      </c>
      <c r="AL415" s="1" t="s">
        <v>8499</v>
      </c>
      <c r="AM415" s="1">
        <v>0.23</v>
      </c>
      <c r="AN415" s="1">
        <v>0.23</v>
      </c>
      <c r="AO415" s="1">
        <v>0.33</v>
      </c>
      <c r="AP415" s="1">
        <v>0.38</v>
      </c>
      <c r="AQ415" s="1">
        <v>3</v>
      </c>
      <c r="AR415" t="s">
        <v>8500</v>
      </c>
      <c r="AS415">
        <v>0</v>
      </c>
      <c r="AT415" t="s">
        <v>7186</v>
      </c>
      <c r="AU415">
        <v>10</v>
      </c>
      <c r="AV415">
        <v>20058</v>
      </c>
      <c r="AX415">
        <v>0</v>
      </c>
    </row>
    <row r="416" spans="1:50" x14ac:dyDescent="0.3">
      <c r="A416">
        <v>417</v>
      </c>
      <c r="B416" t="s">
        <v>8501</v>
      </c>
      <c r="C416" t="s">
        <v>8502</v>
      </c>
      <c r="D416">
        <v>5</v>
      </c>
      <c r="E416">
        <v>3</v>
      </c>
      <c r="F416">
        <v>20</v>
      </c>
      <c r="G416" s="1" t="s">
        <v>8503</v>
      </c>
      <c r="H416" s="1" t="s">
        <v>328</v>
      </c>
      <c r="I416" s="1" t="s">
        <v>7513</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5680</v>
      </c>
      <c r="AL416" s="1" t="s">
        <v>8504</v>
      </c>
      <c r="AM416" s="1">
        <v>0.3</v>
      </c>
      <c r="AN416" s="1">
        <v>0.25</v>
      </c>
      <c r="AO416" s="1">
        <v>0.12</v>
      </c>
      <c r="AP416" s="1">
        <v>0.38</v>
      </c>
      <c r="AQ416" s="1">
        <v>3</v>
      </c>
      <c r="AR416" t="s">
        <v>1757</v>
      </c>
      <c r="AS416">
        <v>0</v>
      </c>
      <c r="AT416" t="s">
        <v>1806</v>
      </c>
      <c r="AU416">
        <v>10</v>
      </c>
      <c r="AV416">
        <v>20051</v>
      </c>
      <c r="AX416">
        <v>0</v>
      </c>
    </row>
    <row r="417" spans="1:50" x14ac:dyDescent="0.3">
      <c r="A417">
        <v>418</v>
      </c>
      <c r="B417" t="s">
        <v>8514</v>
      </c>
      <c r="C417" t="s">
        <v>8515</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8516</v>
      </c>
      <c r="AL417" s="1" t="s">
        <v>8517</v>
      </c>
      <c r="AM417" s="1">
        <v>0.3</v>
      </c>
      <c r="AN417" s="1">
        <v>0.25</v>
      </c>
      <c r="AO417" s="1">
        <v>0.12</v>
      </c>
      <c r="AP417" s="1">
        <v>0.38</v>
      </c>
      <c r="AQ417" s="1">
        <v>3</v>
      </c>
      <c r="AR417" t="s">
        <v>8518</v>
      </c>
      <c r="AS417">
        <v>0</v>
      </c>
      <c r="AT417" t="s">
        <v>8519</v>
      </c>
      <c r="AU417">
        <v>10</v>
      </c>
      <c r="AV417">
        <v>20093</v>
      </c>
      <c r="AX417">
        <v>0</v>
      </c>
    </row>
    <row r="418" spans="1:50" x14ac:dyDescent="0.3">
      <c r="A418">
        <v>419</v>
      </c>
      <c r="B418" t="s">
        <v>8531</v>
      </c>
      <c r="C418" t="s">
        <v>8532</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8542</v>
      </c>
      <c r="AH418" s="1">
        <v>3600</v>
      </c>
      <c r="AI418" t="s">
        <v>1843</v>
      </c>
      <c r="AJ418">
        <v>0</v>
      </c>
      <c r="AK418" s="1" t="s">
        <v>442</v>
      </c>
      <c r="AL418" s="1" t="s">
        <v>8533</v>
      </c>
      <c r="AM418" s="1">
        <v>0.15</v>
      </c>
      <c r="AN418" s="1">
        <v>0.6</v>
      </c>
      <c r="AO418" s="1">
        <v>0.38</v>
      </c>
      <c r="AP418" s="1">
        <v>0.23</v>
      </c>
      <c r="AQ418" s="1">
        <v>3</v>
      </c>
      <c r="AR418" t="s">
        <v>1475</v>
      </c>
      <c r="AS418">
        <v>0</v>
      </c>
      <c r="AT418" t="s">
        <v>8534</v>
      </c>
      <c r="AU418">
        <v>10</v>
      </c>
      <c r="AV418">
        <v>19083</v>
      </c>
      <c r="AX418">
        <v>0</v>
      </c>
    </row>
    <row r="419" spans="1:50" x14ac:dyDescent="0.3">
      <c r="A419">
        <v>420</v>
      </c>
      <c r="B419" t="s">
        <v>8535</v>
      </c>
      <c r="C419" t="s">
        <v>8536</v>
      </c>
      <c r="D419">
        <v>5</v>
      </c>
      <c r="E419">
        <v>3</v>
      </c>
      <c r="F419">
        <v>20</v>
      </c>
      <c r="G419" s="1" t="s">
        <v>328</v>
      </c>
      <c r="H419" s="1" t="s">
        <v>335</v>
      </c>
      <c r="I419" s="1" t="s">
        <v>328</v>
      </c>
      <c r="J419" s="1" t="s">
        <v>328</v>
      </c>
      <c r="K419" s="1" t="s">
        <v>328</v>
      </c>
      <c r="L419" s="1" t="s">
        <v>328</v>
      </c>
      <c r="M419" s="1" t="s">
        <v>328</v>
      </c>
      <c r="N419" s="1" t="s">
        <v>328</v>
      </c>
      <c r="O419" s="1" t="s">
        <v>8537</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8543</v>
      </c>
      <c r="AH419" s="1">
        <v>3060</v>
      </c>
      <c r="AI419" t="s">
        <v>1843</v>
      </c>
      <c r="AJ419">
        <v>0</v>
      </c>
      <c r="AK419" s="1" t="s">
        <v>8538</v>
      </c>
      <c r="AL419" s="1" t="s">
        <v>8539</v>
      </c>
      <c r="AM419" s="1">
        <v>0.23</v>
      </c>
      <c r="AN419" s="1">
        <v>0.23</v>
      </c>
      <c r="AO419" s="1">
        <v>0.33</v>
      </c>
      <c r="AP419" s="1">
        <v>0.38</v>
      </c>
      <c r="AQ419" s="1">
        <v>3</v>
      </c>
      <c r="AR419" t="s">
        <v>8540</v>
      </c>
      <c r="AS419">
        <v>0</v>
      </c>
      <c r="AT419" t="s">
        <v>8541</v>
      </c>
      <c r="AU419">
        <v>10</v>
      </c>
      <c r="AV419">
        <v>20094</v>
      </c>
      <c r="AX419">
        <v>0</v>
      </c>
    </row>
    <row r="420" spans="1:50" x14ac:dyDescent="0.3">
      <c r="A420">
        <v>421</v>
      </c>
      <c r="B420" t="s">
        <v>8580</v>
      </c>
      <c r="C420" t="s">
        <v>8581</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8582</v>
      </c>
      <c r="AM420" s="1">
        <v>0.48</v>
      </c>
      <c r="AN420" s="1">
        <v>0.48</v>
      </c>
      <c r="AO420" s="1">
        <v>0.08</v>
      </c>
      <c r="AP420" s="1">
        <v>0.25</v>
      </c>
      <c r="AQ420" s="1">
        <v>3</v>
      </c>
      <c r="AR420" t="s">
        <v>1567</v>
      </c>
      <c r="AS420">
        <v>0</v>
      </c>
      <c r="AT420" t="s">
        <v>8583</v>
      </c>
      <c r="AU420">
        <v>10</v>
      </c>
      <c r="AV420">
        <v>19084</v>
      </c>
      <c r="AX420">
        <v>0</v>
      </c>
    </row>
    <row r="421" spans="1:50" x14ac:dyDescent="0.3">
      <c r="A421">
        <v>422</v>
      </c>
      <c r="B421" t="s">
        <v>8594</v>
      </c>
      <c r="C421" t="s">
        <v>8595</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8622</v>
      </c>
      <c r="AH421" s="1">
        <v>3060</v>
      </c>
      <c r="AI421" t="s">
        <v>1843</v>
      </c>
      <c r="AJ421">
        <v>0</v>
      </c>
      <c r="AK421" s="1" t="s">
        <v>481</v>
      </c>
      <c r="AL421" s="1" t="s">
        <v>8596</v>
      </c>
      <c r="AM421" s="1">
        <v>0.3</v>
      </c>
      <c r="AN421" s="1">
        <v>0.23</v>
      </c>
      <c r="AO421" s="1">
        <v>0.15</v>
      </c>
      <c r="AP421" s="1">
        <v>0.38</v>
      </c>
      <c r="AQ421" s="1">
        <v>3</v>
      </c>
      <c r="AR421" t="s">
        <v>8597</v>
      </c>
      <c r="AS421">
        <v>0</v>
      </c>
      <c r="AT421" t="s">
        <v>8598</v>
      </c>
      <c r="AU421">
        <v>10</v>
      </c>
      <c r="AV421">
        <v>20096</v>
      </c>
      <c r="AX421">
        <v>0</v>
      </c>
    </row>
    <row r="422" spans="1:50" x14ac:dyDescent="0.3">
      <c r="A422">
        <v>423</v>
      </c>
      <c r="B422" t="s">
        <v>8599</v>
      </c>
      <c r="C422" t="s">
        <v>8600</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8623</v>
      </c>
      <c r="AH422" s="1">
        <v>3600</v>
      </c>
      <c r="AI422" t="s">
        <v>1843</v>
      </c>
      <c r="AJ422">
        <v>0</v>
      </c>
      <c r="AK422" s="1" t="s">
        <v>8601</v>
      </c>
      <c r="AL422" s="1" t="s">
        <v>8602</v>
      </c>
      <c r="AM422" s="1">
        <v>0.48</v>
      </c>
      <c r="AN422" s="1">
        <v>0.48</v>
      </c>
      <c r="AO422" s="1">
        <v>0.08</v>
      </c>
      <c r="AP422" s="1">
        <v>0.25</v>
      </c>
      <c r="AQ422" s="1">
        <v>3</v>
      </c>
      <c r="AR422" t="s">
        <v>1473</v>
      </c>
      <c r="AS422">
        <v>0</v>
      </c>
      <c r="AT422" t="s">
        <v>8603</v>
      </c>
      <c r="AU422">
        <v>10</v>
      </c>
      <c r="AV422">
        <v>19085</v>
      </c>
      <c r="AX422">
        <v>0</v>
      </c>
    </row>
    <row r="423" spans="1:50" x14ac:dyDescent="0.3">
      <c r="A423">
        <v>424</v>
      </c>
      <c r="B423" t="s">
        <v>8604</v>
      </c>
      <c r="C423" t="s">
        <v>8605</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8624</v>
      </c>
      <c r="AH423" s="1">
        <v>3060</v>
      </c>
      <c r="AI423" t="s">
        <v>1843</v>
      </c>
      <c r="AJ423">
        <v>0</v>
      </c>
      <c r="AK423" s="1" t="s">
        <v>8606</v>
      </c>
      <c r="AL423" s="1" t="s">
        <v>8607</v>
      </c>
      <c r="AM423" s="1">
        <v>0.3</v>
      </c>
      <c r="AN423" s="1">
        <v>0.23</v>
      </c>
      <c r="AO423" s="1">
        <v>0.15</v>
      </c>
      <c r="AP423" s="1">
        <v>0.38</v>
      </c>
      <c r="AQ423" s="1">
        <v>3</v>
      </c>
      <c r="AR423" t="s">
        <v>8608</v>
      </c>
      <c r="AS423">
        <v>0</v>
      </c>
      <c r="AT423" t="s">
        <v>8609</v>
      </c>
      <c r="AU423">
        <v>10</v>
      </c>
      <c r="AV423">
        <v>20088</v>
      </c>
      <c r="AX423">
        <v>0</v>
      </c>
    </row>
    <row r="424" spans="1:50" x14ac:dyDescent="0.3">
      <c r="A424">
        <v>425</v>
      </c>
      <c r="B424" t="s">
        <v>8610</v>
      </c>
      <c r="C424" t="s">
        <v>8611</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8612</v>
      </c>
      <c r="AL424" s="1" t="s">
        <v>8613</v>
      </c>
      <c r="AM424" s="1">
        <v>0.08</v>
      </c>
      <c r="AN424" s="1">
        <v>0.5</v>
      </c>
      <c r="AO424" s="1">
        <v>0.3</v>
      </c>
      <c r="AP424" s="1">
        <v>0.3</v>
      </c>
      <c r="AQ424" s="1">
        <v>3</v>
      </c>
      <c r="AR424" t="s">
        <v>1761</v>
      </c>
      <c r="AS424">
        <v>0</v>
      </c>
      <c r="AT424" t="s">
        <v>1806</v>
      </c>
      <c r="AU424">
        <v>10</v>
      </c>
      <c r="AV424">
        <v>19086</v>
      </c>
      <c r="AX424">
        <v>0</v>
      </c>
    </row>
    <row r="425" spans="1:50" x14ac:dyDescent="0.3">
      <c r="A425">
        <v>426</v>
      </c>
      <c r="B425" t="s">
        <v>8651</v>
      </c>
      <c r="C425" t="s">
        <v>8652</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8653</v>
      </c>
      <c r="AL425" s="1" t="s">
        <v>8654</v>
      </c>
      <c r="AM425" s="1">
        <v>0.45</v>
      </c>
      <c r="AN425" s="1">
        <v>0.15</v>
      </c>
      <c r="AO425" s="1">
        <v>0.3</v>
      </c>
      <c r="AP425" s="1">
        <v>0.15</v>
      </c>
      <c r="AQ425" s="1">
        <v>3</v>
      </c>
      <c r="AR425" t="s">
        <v>8655</v>
      </c>
      <c r="AS425">
        <v>0</v>
      </c>
      <c r="AT425" t="s">
        <v>8656</v>
      </c>
      <c r="AU425">
        <v>10</v>
      </c>
      <c r="AV425">
        <v>18092</v>
      </c>
      <c r="AX425">
        <v>0</v>
      </c>
    </row>
    <row r="426" spans="1:50" x14ac:dyDescent="0.3">
      <c r="A426">
        <v>427</v>
      </c>
      <c r="B426" t="s">
        <v>8657</v>
      </c>
      <c r="C426" t="s">
        <v>8658</v>
      </c>
      <c r="D426">
        <v>5</v>
      </c>
      <c r="E426">
        <v>2</v>
      </c>
      <c r="F426">
        <v>19</v>
      </c>
      <c r="G426" s="1" t="s">
        <v>335</v>
      </c>
      <c r="H426" s="1" t="s">
        <v>328</v>
      </c>
      <c r="I426" s="1" t="s">
        <v>328</v>
      </c>
      <c r="J426" s="1" t="s">
        <v>328</v>
      </c>
      <c r="K426" s="1" t="s">
        <v>328</v>
      </c>
      <c r="L426" s="1" t="s">
        <v>328</v>
      </c>
      <c r="M426" s="1" t="s">
        <v>328</v>
      </c>
      <c r="N426" s="1" t="s">
        <v>8085</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8690</v>
      </c>
      <c r="AH426" s="1">
        <v>3300</v>
      </c>
      <c r="AI426" t="s">
        <v>1843</v>
      </c>
      <c r="AJ426">
        <v>0</v>
      </c>
      <c r="AK426" s="1" t="s">
        <v>5403</v>
      </c>
      <c r="AL426" s="1" t="s">
        <v>8659</v>
      </c>
      <c r="AM426" s="1">
        <v>0.08</v>
      </c>
      <c r="AN426" s="1">
        <v>0.5</v>
      </c>
      <c r="AO426" s="1">
        <v>0.3</v>
      </c>
      <c r="AP426" s="1">
        <v>0.3</v>
      </c>
      <c r="AQ426" s="1">
        <v>3</v>
      </c>
      <c r="AR426" t="s">
        <v>7622</v>
      </c>
      <c r="AS426">
        <v>0</v>
      </c>
      <c r="AT426" t="s">
        <v>8660</v>
      </c>
      <c r="AU426">
        <v>10</v>
      </c>
      <c r="AV426">
        <v>19087</v>
      </c>
      <c r="AX426">
        <v>0</v>
      </c>
    </row>
    <row r="427" spans="1:50" x14ac:dyDescent="0.3">
      <c r="A427">
        <v>428</v>
      </c>
      <c r="B427" t="s">
        <v>8661</v>
      </c>
      <c r="C427" t="s">
        <v>8662</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8691</v>
      </c>
      <c r="AH427" s="1">
        <v>2820</v>
      </c>
      <c r="AI427" t="s">
        <v>1843</v>
      </c>
      <c r="AJ427">
        <v>0</v>
      </c>
      <c r="AK427" s="1" t="s">
        <v>8663</v>
      </c>
      <c r="AL427" s="1" t="s">
        <v>8664</v>
      </c>
      <c r="AM427" s="1">
        <v>0.55000000000000004</v>
      </c>
      <c r="AN427" s="1">
        <v>0.23</v>
      </c>
      <c r="AO427" s="1">
        <v>0.23</v>
      </c>
      <c r="AP427" s="1">
        <v>0.23</v>
      </c>
      <c r="AQ427" s="1">
        <v>3</v>
      </c>
      <c r="AR427" t="s">
        <v>1565</v>
      </c>
      <c r="AS427">
        <v>0</v>
      </c>
      <c r="AT427" t="s">
        <v>8665</v>
      </c>
      <c r="AU427">
        <v>10</v>
      </c>
      <c r="AV427">
        <v>18093</v>
      </c>
      <c r="AX427">
        <v>0</v>
      </c>
    </row>
    <row r="428" spans="1:50" x14ac:dyDescent="0.3">
      <c r="A428">
        <v>429</v>
      </c>
      <c r="B428" t="s">
        <v>8666</v>
      </c>
      <c r="C428" t="s">
        <v>8667</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8629</v>
      </c>
      <c r="AH428" s="1">
        <v>3600</v>
      </c>
      <c r="AI428" t="s">
        <v>1843</v>
      </c>
      <c r="AJ428">
        <v>0</v>
      </c>
      <c r="AK428" s="1" t="s">
        <v>8668</v>
      </c>
      <c r="AL428" s="1" t="s">
        <v>8669</v>
      </c>
      <c r="AM428" s="1">
        <v>0.3</v>
      </c>
      <c r="AN428" s="1">
        <v>0.23</v>
      </c>
      <c r="AO428" s="1">
        <v>0.15</v>
      </c>
      <c r="AP428" s="1">
        <v>0.38</v>
      </c>
      <c r="AQ428" s="1">
        <v>3</v>
      </c>
      <c r="AR428" t="s">
        <v>1757</v>
      </c>
      <c r="AS428">
        <v>0</v>
      </c>
      <c r="AT428" t="s">
        <v>8670</v>
      </c>
      <c r="AU428">
        <v>10</v>
      </c>
      <c r="AV428">
        <v>20089</v>
      </c>
      <c r="AX428">
        <v>0</v>
      </c>
    </row>
    <row r="429" spans="1:50" x14ac:dyDescent="0.3">
      <c r="A429">
        <v>430</v>
      </c>
      <c r="B429" t="s">
        <v>8671</v>
      </c>
      <c r="C429" t="s">
        <v>8672</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8639</v>
      </c>
      <c r="AH429" s="1">
        <v>3120</v>
      </c>
      <c r="AI429" t="s">
        <v>1843</v>
      </c>
      <c r="AJ429">
        <v>0</v>
      </c>
      <c r="AK429" s="1" t="s">
        <v>8673</v>
      </c>
      <c r="AL429" s="1" t="s">
        <v>8674</v>
      </c>
      <c r="AM429" s="1">
        <v>0.3</v>
      </c>
      <c r="AN429" s="1">
        <v>0.25</v>
      </c>
      <c r="AO429" s="1">
        <v>0.12</v>
      </c>
      <c r="AP429" s="1">
        <v>0.38</v>
      </c>
      <c r="AQ429" s="1">
        <v>3</v>
      </c>
      <c r="AR429" t="s">
        <v>1583</v>
      </c>
      <c r="AS429">
        <v>0</v>
      </c>
      <c r="AT429" t="s">
        <v>8675</v>
      </c>
      <c r="AU429">
        <v>10</v>
      </c>
      <c r="AV429">
        <v>20090</v>
      </c>
      <c r="AX429">
        <v>0</v>
      </c>
    </row>
    <row r="430" spans="1:50" x14ac:dyDescent="0.3">
      <c r="A430">
        <v>431</v>
      </c>
      <c r="B430" t="s">
        <v>8676</v>
      </c>
      <c r="C430" t="s">
        <v>8677</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8646</v>
      </c>
      <c r="AH430" s="1">
        <v>3060</v>
      </c>
      <c r="AI430" t="s">
        <v>1843</v>
      </c>
      <c r="AJ430">
        <v>0</v>
      </c>
      <c r="AK430" s="1" t="s">
        <v>8678</v>
      </c>
      <c r="AL430" s="1" t="s">
        <v>8679</v>
      </c>
      <c r="AM430" s="1">
        <v>0.3</v>
      </c>
      <c r="AN430" s="1">
        <v>0.23</v>
      </c>
      <c r="AO430" s="1">
        <v>0.15</v>
      </c>
      <c r="AP430" s="1">
        <v>0.38</v>
      </c>
      <c r="AQ430" s="1">
        <v>3</v>
      </c>
      <c r="AR430" t="s">
        <v>8092</v>
      </c>
      <c r="AS430">
        <v>0</v>
      </c>
      <c r="AT430" t="s">
        <v>1806</v>
      </c>
      <c r="AU430">
        <v>10</v>
      </c>
      <c r="AV430">
        <v>20092</v>
      </c>
      <c r="AX430">
        <v>0</v>
      </c>
    </row>
    <row r="431" spans="1:50" x14ac:dyDescent="0.3">
      <c r="A431">
        <v>432</v>
      </c>
      <c r="B431" t="s">
        <v>8692</v>
      </c>
      <c r="C431" t="s">
        <v>8693</v>
      </c>
      <c r="D431">
        <v>5</v>
      </c>
      <c r="E431">
        <v>1</v>
      </c>
      <c r="F431">
        <v>18</v>
      </c>
      <c r="G431" s="1" t="s">
        <v>335</v>
      </c>
      <c r="H431" s="1" t="s">
        <v>328</v>
      </c>
      <c r="I431" s="1" t="s">
        <v>328</v>
      </c>
      <c r="J431" s="1" t="s">
        <v>328</v>
      </c>
      <c r="K431" s="1" t="s">
        <v>328</v>
      </c>
      <c r="L431" s="1" t="s">
        <v>328</v>
      </c>
      <c r="M431" s="1" t="s">
        <v>363</v>
      </c>
      <c r="N431" s="1" t="s">
        <v>328</v>
      </c>
      <c r="O431" s="1" t="s">
        <v>328</v>
      </c>
      <c r="P431" s="1" t="s">
        <v>328</v>
      </c>
      <c r="Q431" s="1" t="s">
        <v>328</v>
      </c>
      <c r="R431" s="1" t="s">
        <v>328</v>
      </c>
      <c r="S431" s="1" t="s">
        <v>328</v>
      </c>
      <c r="T431" s="1" t="s">
        <v>328</v>
      </c>
      <c r="U431" s="1">
        <v>0</v>
      </c>
      <c r="V431" s="1">
        <v>0</v>
      </c>
      <c r="W431" s="1">
        <v>0</v>
      </c>
      <c r="X431" s="1">
        <v>0</v>
      </c>
      <c r="Y431" s="1">
        <v>0</v>
      </c>
      <c r="Z431" s="1">
        <v>0</v>
      </c>
      <c r="AA431" s="1">
        <v>0</v>
      </c>
      <c r="AB431" s="1">
        <v>0</v>
      </c>
      <c r="AC431" s="1">
        <v>4</v>
      </c>
      <c r="AD431" s="1">
        <v>0</v>
      </c>
      <c r="AE431" s="1">
        <v>3</v>
      </c>
      <c r="AF431" s="1">
        <v>2</v>
      </c>
      <c r="AG431" s="208" t="s">
        <v>132</v>
      </c>
      <c r="AH431" s="1">
        <v>2700</v>
      </c>
      <c r="AI431" t="s">
        <v>1843</v>
      </c>
      <c r="AJ431">
        <v>0</v>
      </c>
      <c r="AK431" s="1" t="s">
        <v>8694</v>
      </c>
      <c r="AL431" s="1" t="s">
        <v>8695</v>
      </c>
      <c r="AM431" s="1">
        <v>0.45</v>
      </c>
      <c r="AN431" s="1">
        <v>0.15</v>
      </c>
      <c r="AO431" s="1">
        <v>0.3</v>
      </c>
      <c r="AP431" s="1">
        <v>0.15</v>
      </c>
      <c r="AQ431" s="1">
        <v>3</v>
      </c>
      <c r="AR431" t="s">
        <v>1521</v>
      </c>
      <c r="AS431">
        <v>0</v>
      </c>
      <c r="AT431" t="s">
        <v>8696</v>
      </c>
      <c r="AU431">
        <v>10</v>
      </c>
      <c r="AV431">
        <v>18092</v>
      </c>
      <c r="AX431">
        <v>0</v>
      </c>
    </row>
    <row r="432" spans="1:50" x14ac:dyDescent="0.3">
      <c r="A432">
        <v>433</v>
      </c>
      <c r="B432" t="s">
        <v>8704</v>
      </c>
      <c r="C432" t="s">
        <v>8705</v>
      </c>
      <c r="D432">
        <v>5</v>
      </c>
      <c r="E432">
        <v>1</v>
      </c>
      <c r="F432">
        <v>18</v>
      </c>
      <c r="G432" s="1" t="s">
        <v>335</v>
      </c>
      <c r="H432" s="1" t="s">
        <v>470</v>
      </c>
      <c r="I432" s="1" t="s">
        <v>328</v>
      </c>
      <c r="J432" s="1" t="s">
        <v>328</v>
      </c>
      <c r="K432" s="1" t="s">
        <v>328</v>
      </c>
      <c r="L432" s="1" t="s">
        <v>328</v>
      </c>
      <c r="M432" s="1" t="s">
        <v>397</v>
      </c>
      <c r="N432" s="1" t="s">
        <v>328</v>
      </c>
      <c r="O432" s="1" t="s">
        <v>328</v>
      </c>
      <c r="P432" s="1" t="s">
        <v>328</v>
      </c>
      <c r="Q432" s="1" t="s">
        <v>328</v>
      </c>
      <c r="R432" s="1" t="s">
        <v>328</v>
      </c>
      <c r="S432" s="1" t="s">
        <v>328</v>
      </c>
      <c r="T432" s="1" t="s">
        <v>328</v>
      </c>
      <c r="U432" s="1">
        <v>0</v>
      </c>
      <c r="V432" s="1">
        <v>0</v>
      </c>
      <c r="W432" s="1">
        <v>0</v>
      </c>
      <c r="X432" s="1">
        <v>0</v>
      </c>
      <c r="Y432" s="1">
        <v>0</v>
      </c>
      <c r="Z432" s="1">
        <v>0</v>
      </c>
      <c r="AA432" s="1">
        <v>0</v>
      </c>
      <c r="AB432" s="1">
        <v>0</v>
      </c>
      <c r="AC432" s="1">
        <v>4</v>
      </c>
      <c r="AD432" s="1">
        <v>0</v>
      </c>
      <c r="AE432" s="1">
        <v>3</v>
      </c>
      <c r="AF432" s="1">
        <v>2</v>
      </c>
      <c r="AG432" s="208" t="s">
        <v>8726</v>
      </c>
      <c r="AH432" s="1">
        <v>3600</v>
      </c>
      <c r="AI432" t="s">
        <v>1843</v>
      </c>
      <c r="AJ432">
        <v>0</v>
      </c>
      <c r="AK432" s="1" t="s">
        <v>5390</v>
      </c>
      <c r="AL432" s="1" t="s">
        <v>8706</v>
      </c>
      <c r="AM432" s="1">
        <v>0.45</v>
      </c>
      <c r="AN432" s="1">
        <v>0.15</v>
      </c>
      <c r="AO432" s="1">
        <v>0.3</v>
      </c>
      <c r="AP432" s="1">
        <v>0.15</v>
      </c>
      <c r="AQ432" s="1">
        <v>3</v>
      </c>
      <c r="AR432" t="s">
        <v>1561</v>
      </c>
      <c r="AS432">
        <v>0</v>
      </c>
      <c r="AT432" t="s">
        <v>8707</v>
      </c>
      <c r="AU432">
        <v>10</v>
      </c>
      <c r="AV432">
        <v>18094</v>
      </c>
      <c r="AX432">
        <v>0</v>
      </c>
    </row>
    <row r="433" spans="1:50" x14ac:dyDescent="0.3">
      <c r="A433">
        <v>434</v>
      </c>
      <c r="B433" t="s">
        <v>8708</v>
      </c>
      <c r="C433" t="s">
        <v>8709</v>
      </c>
      <c r="D433">
        <v>5</v>
      </c>
      <c r="E433">
        <v>3</v>
      </c>
      <c r="F433">
        <v>20</v>
      </c>
      <c r="G433" s="1" t="s">
        <v>335</v>
      </c>
      <c r="H433" s="1" t="s">
        <v>330</v>
      </c>
      <c r="I433" s="1" t="s">
        <v>328</v>
      </c>
      <c r="J433" s="1" t="s">
        <v>328</v>
      </c>
      <c r="K433" s="1" t="s">
        <v>328</v>
      </c>
      <c r="L433" s="1" t="s">
        <v>328</v>
      </c>
      <c r="M433" s="1" t="s">
        <v>328</v>
      </c>
      <c r="N433" s="1" t="s">
        <v>328</v>
      </c>
      <c r="O433" s="1" t="s">
        <v>358</v>
      </c>
      <c r="P433" s="1" t="s">
        <v>328</v>
      </c>
      <c r="Q433" s="1" t="s">
        <v>328</v>
      </c>
      <c r="R433" s="1" t="s">
        <v>328</v>
      </c>
      <c r="S433" s="1" t="s">
        <v>328</v>
      </c>
      <c r="T433" s="1" t="s">
        <v>328</v>
      </c>
      <c r="U433" s="1">
        <v>0</v>
      </c>
      <c r="V433" s="1">
        <v>0</v>
      </c>
      <c r="W433" s="1">
        <v>0</v>
      </c>
      <c r="X433" s="1">
        <v>0</v>
      </c>
      <c r="Y433" s="1">
        <v>0</v>
      </c>
      <c r="Z433" s="1">
        <v>0</v>
      </c>
      <c r="AA433" s="1">
        <v>0</v>
      </c>
      <c r="AB433" s="1">
        <v>0</v>
      </c>
      <c r="AC433" s="1">
        <v>2</v>
      </c>
      <c r="AD433" s="1">
        <v>2</v>
      </c>
      <c r="AE433" s="1">
        <v>3</v>
      </c>
      <c r="AF433" s="1">
        <v>3</v>
      </c>
      <c r="AG433" s="208" t="s">
        <v>8727</v>
      </c>
      <c r="AH433" s="1">
        <v>3060</v>
      </c>
      <c r="AI433" t="s">
        <v>1843</v>
      </c>
      <c r="AJ433">
        <v>0</v>
      </c>
      <c r="AK433" s="1" t="s">
        <v>888</v>
      </c>
      <c r="AL433" s="1" t="s">
        <v>8710</v>
      </c>
      <c r="AM433" s="1">
        <v>0.23</v>
      </c>
      <c r="AN433" s="1">
        <v>0.23</v>
      </c>
      <c r="AO433" s="1">
        <v>0.33</v>
      </c>
      <c r="AP433" s="1">
        <v>0.38</v>
      </c>
      <c r="AQ433" s="1">
        <v>3</v>
      </c>
      <c r="AR433" t="s">
        <v>7083</v>
      </c>
      <c r="AS433">
        <v>0</v>
      </c>
      <c r="AT433" t="s">
        <v>8711</v>
      </c>
      <c r="AU433">
        <v>10</v>
      </c>
      <c r="AV433">
        <v>20093</v>
      </c>
      <c r="AX433">
        <v>0</v>
      </c>
    </row>
    <row r="434" spans="1:50" x14ac:dyDescent="0.3">
      <c r="A434">
        <v>435</v>
      </c>
      <c r="B434" t="s">
        <v>8712</v>
      </c>
      <c r="C434" t="s">
        <v>8713</v>
      </c>
      <c r="D434">
        <v>5</v>
      </c>
      <c r="E434">
        <v>3</v>
      </c>
      <c r="F434">
        <v>20</v>
      </c>
      <c r="G434" s="1" t="s">
        <v>8503</v>
      </c>
      <c r="H434" s="1" t="s">
        <v>328</v>
      </c>
      <c r="I434" s="1" t="s">
        <v>7513</v>
      </c>
      <c r="J434" s="1" t="s">
        <v>328</v>
      </c>
      <c r="K434" s="1" t="s">
        <v>328</v>
      </c>
      <c r="L434" s="1" t="s">
        <v>328</v>
      </c>
      <c r="M434" s="1" t="s">
        <v>328</v>
      </c>
      <c r="N434" s="1" t="s">
        <v>328</v>
      </c>
      <c r="O434" s="1" t="s">
        <v>328</v>
      </c>
      <c r="P434" s="1" t="s">
        <v>328</v>
      </c>
      <c r="Q434" s="1" t="s">
        <v>328</v>
      </c>
      <c r="R434" s="1" t="s">
        <v>328</v>
      </c>
      <c r="S434" s="1" t="s">
        <v>328</v>
      </c>
      <c r="T434" s="1" t="s">
        <v>328</v>
      </c>
      <c r="U434" s="1">
        <v>0</v>
      </c>
      <c r="V434" s="1">
        <v>0</v>
      </c>
      <c r="W434" s="1">
        <v>0</v>
      </c>
      <c r="X434" s="1">
        <v>0</v>
      </c>
      <c r="Y434" s="1">
        <v>0</v>
      </c>
      <c r="Z434" s="1">
        <v>0</v>
      </c>
      <c r="AA434" s="1">
        <v>0</v>
      </c>
      <c r="AB434" s="1">
        <v>0</v>
      </c>
      <c r="AC434" s="1">
        <v>4</v>
      </c>
      <c r="AD434" s="1">
        <v>2</v>
      </c>
      <c r="AE434" s="1">
        <v>0</v>
      </c>
      <c r="AF434" s="1">
        <v>4</v>
      </c>
      <c r="AG434" s="208" t="s">
        <v>8698</v>
      </c>
      <c r="AH434" s="1">
        <v>3120</v>
      </c>
      <c r="AI434" t="s">
        <v>1843</v>
      </c>
      <c r="AJ434">
        <v>0</v>
      </c>
      <c r="AK434" s="1" t="s">
        <v>8714</v>
      </c>
      <c r="AL434" s="1" t="s">
        <v>8715</v>
      </c>
      <c r="AM434" s="1">
        <v>0.3</v>
      </c>
      <c r="AN434" s="1">
        <v>0.25</v>
      </c>
      <c r="AO434" s="1">
        <v>0.12</v>
      </c>
      <c r="AP434" s="1">
        <v>0.38</v>
      </c>
      <c r="AQ434" s="1">
        <v>3</v>
      </c>
      <c r="AR434" t="s">
        <v>1757</v>
      </c>
      <c r="AS434">
        <v>0</v>
      </c>
      <c r="AT434" t="s">
        <v>1806</v>
      </c>
      <c r="AU434">
        <v>10</v>
      </c>
      <c r="AV434">
        <v>20094</v>
      </c>
      <c r="AX434">
        <v>0</v>
      </c>
    </row>
    <row r="435" spans="1:50" x14ac:dyDescent="0.3">
      <c r="A435">
        <v>436</v>
      </c>
      <c r="B435" t="s">
        <v>8716</v>
      </c>
      <c r="C435" t="s">
        <v>8717</v>
      </c>
      <c r="D435">
        <v>5</v>
      </c>
      <c r="E435">
        <v>2</v>
      </c>
      <c r="F435">
        <v>19</v>
      </c>
      <c r="G435" s="1" t="s">
        <v>469</v>
      </c>
      <c r="H435" s="1" t="s">
        <v>328</v>
      </c>
      <c r="I435" s="1" t="s">
        <v>328</v>
      </c>
      <c r="J435" s="1" t="s">
        <v>328</v>
      </c>
      <c r="K435" s="1" t="s">
        <v>328</v>
      </c>
      <c r="L435" s="1" t="s">
        <v>328</v>
      </c>
      <c r="M435" s="1" t="s">
        <v>402</v>
      </c>
      <c r="N435" s="1" t="s">
        <v>328</v>
      </c>
      <c r="O435" s="1" t="s">
        <v>328</v>
      </c>
      <c r="P435" s="1" t="s">
        <v>328</v>
      </c>
      <c r="Q435" s="1" t="s">
        <v>328</v>
      </c>
      <c r="R435" s="1" t="s">
        <v>328</v>
      </c>
      <c r="S435" s="1" t="s">
        <v>328</v>
      </c>
      <c r="T435" s="1" t="s">
        <v>328</v>
      </c>
      <c r="U435" s="1">
        <v>0</v>
      </c>
      <c r="V435" s="1">
        <v>0</v>
      </c>
      <c r="W435" s="1">
        <v>0</v>
      </c>
      <c r="X435" s="1">
        <v>0</v>
      </c>
      <c r="Y435" s="1">
        <v>0</v>
      </c>
      <c r="Z435" s="1">
        <v>0</v>
      </c>
      <c r="AA435" s="1">
        <v>0</v>
      </c>
      <c r="AB435" s="1">
        <v>0</v>
      </c>
      <c r="AC435" s="1">
        <v>4</v>
      </c>
      <c r="AD435" s="1">
        <v>4</v>
      </c>
      <c r="AE435" s="1">
        <v>0</v>
      </c>
      <c r="AF435" s="1">
        <v>2</v>
      </c>
      <c r="AG435" s="208" t="s">
        <v>1686</v>
      </c>
      <c r="AH435" s="1">
        <v>3180</v>
      </c>
      <c r="AI435" t="s">
        <v>1843</v>
      </c>
      <c r="AJ435">
        <v>0</v>
      </c>
      <c r="AK435" s="1" t="s">
        <v>8718</v>
      </c>
      <c r="AL435" s="1" t="s">
        <v>8719</v>
      </c>
      <c r="AM435" s="1">
        <v>0.48</v>
      </c>
      <c r="AN435" s="1">
        <v>0.48</v>
      </c>
      <c r="AO435" s="1">
        <v>0.08</v>
      </c>
      <c r="AP435" s="1">
        <v>0.25</v>
      </c>
      <c r="AQ435" s="1">
        <v>3</v>
      </c>
      <c r="AR435" t="s">
        <v>8720</v>
      </c>
      <c r="AS435">
        <v>0</v>
      </c>
      <c r="AT435" t="s">
        <v>1806</v>
      </c>
      <c r="AU435">
        <v>10</v>
      </c>
      <c r="AV435">
        <v>19088</v>
      </c>
      <c r="AX435">
        <v>0</v>
      </c>
    </row>
    <row r="436" spans="1:50" x14ac:dyDescent="0.3">
      <c r="A436">
        <v>437</v>
      </c>
      <c r="B436" t="s">
        <v>8721</v>
      </c>
      <c r="C436" t="s">
        <v>8722</v>
      </c>
      <c r="D436">
        <v>5</v>
      </c>
      <c r="E436">
        <v>1</v>
      </c>
      <c r="F436">
        <v>18</v>
      </c>
      <c r="G436" s="1" t="s">
        <v>328</v>
      </c>
      <c r="H436" s="1" t="s">
        <v>328</v>
      </c>
      <c r="I436" s="1" t="s">
        <v>328</v>
      </c>
      <c r="J436" s="1" t="s">
        <v>328</v>
      </c>
      <c r="K436" s="1" t="s">
        <v>328</v>
      </c>
      <c r="L436" s="1" t="s">
        <v>328</v>
      </c>
      <c r="M436" s="1" t="s">
        <v>397</v>
      </c>
      <c r="N436" s="1" t="s">
        <v>328</v>
      </c>
      <c r="O436" s="1" t="s">
        <v>328</v>
      </c>
      <c r="P436" s="1" t="s">
        <v>328</v>
      </c>
      <c r="Q436" s="1" t="s">
        <v>328</v>
      </c>
      <c r="R436" s="1" t="s">
        <v>328</v>
      </c>
      <c r="S436" s="1" t="s">
        <v>328</v>
      </c>
      <c r="T436" s="1" t="s">
        <v>328</v>
      </c>
      <c r="U436" s="1">
        <v>0</v>
      </c>
      <c r="V436" s="1">
        <v>0</v>
      </c>
      <c r="W436" s="1">
        <v>0</v>
      </c>
      <c r="X436" s="1">
        <v>0</v>
      </c>
      <c r="Y436" s="1">
        <v>0</v>
      </c>
      <c r="Z436" s="1">
        <v>0</v>
      </c>
      <c r="AA436" s="1">
        <v>0</v>
      </c>
      <c r="AB436" s="1">
        <v>0</v>
      </c>
      <c r="AC436" s="1">
        <v>4</v>
      </c>
      <c r="AD436" s="1">
        <v>0</v>
      </c>
      <c r="AE436" s="1">
        <v>3</v>
      </c>
      <c r="AF436" s="1">
        <v>2</v>
      </c>
      <c r="AG436" s="208" t="s">
        <v>804</v>
      </c>
      <c r="AH436" s="1">
        <v>2700</v>
      </c>
      <c r="AI436" t="s">
        <v>1843</v>
      </c>
      <c r="AJ436">
        <v>0</v>
      </c>
      <c r="AK436" s="1" t="s">
        <v>8723</v>
      </c>
      <c r="AL436" s="1" t="s">
        <v>8724</v>
      </c>
      <c r="AM436" s="1">
        <v>0.45</v>
      </c>
      <c r="AN436" s="1">
        <v>0.15</v>
      </c>
      <c r="AO436" s="1">
        <v>0.3</v>
      </c>
      <c r="AP436" s="1">
        <v>0.15</v>
      </c>
      <c r="AQ436" s="1">
        <v>3</v>
      </c>
      <c r="AR436" t="s">
        <v>1467</v>
      </c>
      <c r="AS436">
        <v>0</v>
      </c>
      <c r="AT436" t="s">
        <v>8725</v>
      </c>
      <c r="AU436">
        <v>10</v>
      </c>
      <c r="AV436">
        <v>18092</v>
      </c>
      <c r="AX436">
        <v>0</v>
      </c>
    </row>
    <row r="437" spans="1:50" x14ac:dyDescent="0.3">
      <c r="A437">
        <v>438</v>
      </c>
      <c r="B437" t="s">
        <v>8732</v>
      </c>
      <c r="C437" t="s">
        <v>8733</v>
      </c>
      <c r="D437">
        <v>5</v>
      </c>
      <c r="E437">
        <v>1</v>
      </c>
      <c r="F437">
        <v>18</v>
      </c>
      <c r="G437" s="1" t="s">
        <v>335</v>
      </c>
      <c r="H437" s="1" t="s">
        <v>328</v>
      </c>
      <c r="I437" s="1" t="s">
        <v>328</v>
      </c>
      <c r="J437" s="1" t="s">
        <v>328</v>
      </c>
      <c r="K437" s="1" t="s">
        <v>7063</v>
      </c>
      <c r="L437" s="1" t="s">
        <v>328</v>
      </c>
      <c r="M437" s="1" t="s">
        <v>397</v>
      </c>
      <c r="N437" s="1" t="s">
        <v>328</v>
      </c>
      <c r="O437" s="1" t="s">
        <v>328</v>
      </c>
      <c r="P437" s="1" t="s">
        <v>328</v>
      </c>
      <c r="Q437" s="1" t="s">
        <v>328</v>
      </c>
      <c r="R437" s="1" t="s">
        <v>328</v>
      </c>
      <c r="S437" s="1" t="s">
        <v>328</v>
      </c>
      <c r="T437" s="1" t="s">
        <v>328</v>
      </c>
      <c r="U437" s="1">
        <v>0</v>
      </c>
      <c r="V437" s="1">
        <v>0</v>
      </c>
      <c r="W437" s="1">
        <v>0</v>
      </c>
      <c r="X437" s="1">
        <v>0</v>
      </c>
      <c r="Y437" s="1">
        <v>0</v>
      </c>
      <c r="Z437" s="1">
        <v>0</v>
      </c>
      <c r="AA437" s="1">
        <v>0</v>
      </c>
      <c r="AB437" s="1">
        <v>0</v>
      </c>
      <c r="AC437" s="1">
        <v>4</v>
      </c>
      <c r="AD437" s="1">
        <v>0</v>
      </c>
      <c r="AE437" s="1">
        <v>3</v>
      </c>
      <c r="AF437" s="1">
        <v>2</v>
      </c>
      <c r="AG437" s="208" t="s">
        <v>818</v>
      </c>
      <c r="AH437" s="1">
        <v>3600</v>
      </c>
      <c r="AI437" t="s">
        <v>1843</v>
      </c>
      <c r="AJ437">
        <v>0</v>
      </c>
      <c r="AK437" s="1" t="s">
        <v>8734</v>
      </c>
      <c r="AL437" s="1" t="s">
        <v>8735</v>
      </c>
      <c r="AM437" s="1">
        <v>0.45</v>
      </c>
      <c r="AN437" s="1">
        <v>0.15</v>
      </c>
      <c r="AO437" s="1">
        <v>0.3</v>
      </c>
      <c r="AP437" s="1">
        <v>0.15</v>
      </c>
      <c r="AQ437" s="1">
        <v>3</v>
      </c>
      <c r="AR437" t="s">
        <v>1521</v>
      </c>
      <c r="AS437">
        <v>0</v>
      </c>
      <c r="AT437" t="s">
        <v>8736</v>
      </c>
      <c r="AU437">
        <v>10</v>
      </c>
      <c r="AV437">
        <v>18095</v>
      </c>
      <c r="AX437">
        <v>0</v>
      </c>
    </row>
    <row r="438" spans="1:50" x14ac:dyDescent="0.3">
      <c r="A438">
        <v>439</v>
      </c>
      <c r="B438" t="s">
        <v>8737</v>
      </c>
      <c r="C438" t="s">
        <v>8738</v>
      </c>
      <c r="D438">
        <v>5</v>
      </c>
      <c r="E438">
        <v>1</v>
      </c>
      <c r="F438">
        <v>18</v>
      </c>
      <c r="G438" s="1" t="s">
        <v>328</v>
      </c>
      <c r="H438" s="1" t="s">
        <v>328</v>
      </c>
      <c r="I438" s="1" t="s">
        <v>341</v>
      </c>
      <c r="J438" s="1" t="s">
        <v>328</v>
      </c>
      <c r="K438" s="1" t="s">
        <v>328</v>
      </c>
      <c r="L438" s="1" t="s">
        <v>328</v>
      </c>
      <c r="M438" s="1" t="s">
        <v>413</v>
      </c>
      <c r="N438" s="1" t="s">
        <v>328</v>
      </c>
      <c r="O438" s="1" t="s">
        <v>328</v>
      </c>
      <c r="P438" s="1" t="s">
        <v>328</v>
      </c>
      <c r="Q438" s="1" t="s">
        <v>328</v>
      </c>
      <c r="R438" s="1" t="s">
        <v>328</v>
      </c>
      <c r="S438" s="1" t="s">
        <v>328</v>
      </c>
      <c r="T438" s="1" t="s">
        <v>328</v>
      </c>
      <c r="U438" s="1">
        <v>0</v>
      </c>
      <c r="V438" s="1">
        <v>0</v>
      </c>
      <c r="W438" s="1">
        <v>0</v>
      </c>
      <c r="X438" s="1">
        <v>0</v>
      </c>
      <c r="Y438" s="1">
        <v>0</v>
      </c>
      <c r="Z438" s="1">
        <v>0</v>
      </c>
      <c r="AA438" s="1">
        <v>0</v>
      </c>
      <c r="AB438" s="1">
        <v>0</v>
      </c>
      <c r="AC438" s="1">
        <v>4</v>
      </c>
      <c r="AD438" s="1">
        <v>2</v>
      </c>
      <c r="AE438" s="1">
        <v>2</v>
      </c>
      <c r="AF438" s="1">
        <v>2</v>
      </c>
      <c r="AG438" s="208" t="s">
        <v>8751</v>
      </c>
      <c r="AH438" s="1">
        <v>2820</v>
      </c>
      <c r="AI438" t="s">
        <v>1843</v>
      </c>
      <c r="AJ438">
        <v>0</v>
      </c>
      <c r="AK438" s="1" t="s">
        <v>903</v>
      </c>
      <c r="AL438" s="1" t="s">
        <v>8739</v>
      </c>
      <c r="AM438" s="1">
        <v>0.55000000000000004</v>
      </c>
      <c r="AN438" s="1">
        <v>0.23</v>
      </c>
      <c r="AO438" s="1">
        <v>0.23</v>
      </c>
      <c r="AP438" s="1">
        <v>0.23</v>
      </c>
      <c r="AQ438" s="1">
        <v>3</v>
      </c>
      <c r="AR438" t="s">
        <v>8740</v>
      </c>
      <c r="AS438">
        <v>0</v>
      </c>
      <c r="AT438" t="s">
        <v>8741</v>
      </c>
      <c r="AU438">
        <v>10</v>
      </c>
      <c r="AV438">
        <v>18096</v>
      </c>
      <c r="AX438">
        <v>0</v>
      </c>
    </row>
    <row r="439" spans="1:50" x14ac:dyDescent="0.3">
      <c r="A439">
        <v>440</v>
      </c>
      <c r="B439" t="s">
        <v>8742</v>
      </c>
      <c r="C439" t="s">
        <v>8743</v>
      </c>
      <c r="D439">
        <v>5</v>
      </c>
      <c r="E439">
        <v>3</v>
      </c>
      <c r="F439">
        <v>20</v>
      </c>
      <c r="G439" s="1" t="s">
        <v>328</v>
      </c>
      <c r="H439" s="1" t="s">
        <v>328</v>
      </c>
      <c r="I439" s="1" t="s">
        <v>7572</v>
      </c>
      <c r="J439" s="1" t="s">
        <v>328</v>
      </c>
      <c r="K439" s="1" t="s">
        <v>328</v>
      </c>
      <c r="L439" s="1" t="s">
        <v>328</v>
      </c>
      <c r="M439" s="1" t="s">
        <v>328</v>
      </c>
      <c r="N439" s="1" t="s">
        <v>328</v>
      </c>
      <c r="O439" s="1" t="s">
        <v>328</v>
      </c>
      <c r="P439" s="1" t="s">
        <v>328</v>
      </c>
      <c r="Q439" s="1" t="s">
        <v>328</v>
      </c>
      <c r="R439" s="1" t="s">
        <v>328</v>
      </c>
      <c r="S439" s="1" t="s">
        <v>328</v>
      </c>
      <c r="T439" s="1" t="s">
        <v>328</v>
      </c>
      <c r="U439" s="1">
        <v>0</v>
      </c>
      <c r="V439" s="1">
        <v>0</v>
      </c>
      <c r="W439" s="1">
        <v>0</v>
      </c>
      <c r="X439" s="1">
        <v>0</v>
      </c>
      <c r="Y439" s="1">
        <v>0</v>
      </c>
      <c r="Z439" s="1">
        <v>0</v>
      </c>
      <c r="AA439" s="1">
        <v>0</v>
      </c>
      <c r="AB439" s="1">
        <v>0</v>
      </c>
      <c r="AC439" s="1">
        <v>4</v>
      </c>
      <c r="AD439" s="1">
        <v>2</v>
      </c>
      <c r="AE439" s="1">
        <v>0</v>
      </c>
      <c r="AF439" s="1">
        <v>4</v>
      </c>
      <c r="AG439" s="208" t="s">
        <v>8752</v>
      </c>
      <c r="AH439" s="1">
        <v>3120</v>
      </c>
      <c r="AI439" t="s">
        <v>1843</v>
      </c>
      <c r="AJ439">
        <v>0</v>
      </c>
      <c r="AK439" s="1" t="s">
        <v>8744</v>
      </c>
      <c r="AL439" s="1" t="s">
        <v>8745</v>
      </c>
      <c r="AM439" s="1">
        <v>0.3</v>
      </c>
      <c r="AN439" s="1">
        <v>0.25</v>
      </c>
      <c r="AO439" s="1">
        <v>0.12</v>
      </c>
      <c r="AP439" s="1">
        <v>0.38</v>
      </c>
      <c r="AQ439" s="1">
        <v>3</v>
      </c>
      <c r="AR439" t="s">
        <v>1757</v>
      </c>
      <c r="AS439">
        <v>0</v>
      </c>
      <c r="AT439" t="s">
        <v>8746</v>
      </c>
      <c r="AU439">
        <v>10</v>
      </c>
      <c r="AV439">
        <v>20095</v>
      </c>
      <c r="AX439">
        <v>0</v>
      </c>
    </row>
    <row r="440" spans="1:50" x14ac:dyDescent="0.3">
      <c r="A440">
        <v>441</v>
      </c>
      <c r="B440" t="s">
        <v>8747</v>
      </c>
      <c r="C440" t="s">
        <v>8748</v>
      </c>
      <c r="D440">
        <v>5</v>
      </c>
      <c r="E440">
        <v>2</v>
      </c>
      <c r="F440">
        <v>19</v>
      </c>
      <c r="G440" s="1" t="s">
        <v>389</v>
      </c>
      <c r="H440" s="1" t="s">
        <v>328</v>
      </c>
      <c r="I440" s="1" t="s">
        <v>328</v>
      </c>
      <c r="J440" s="1" t="s">
        <v>328</v>
      </c>
      <c r="K440" s="1" t="s">
        <v>328</v>
      </c>
      <c r="L440" s="1" t="s">
        <v>328</v>
      </c>
      <c r="M440" s="1" t="s">
        <v>328</v>
      </c>
      <c r="N440" s="1" t="s">
        <v>328</v>
      </c>
      <c r="O440" s="1" t="s">
        <v>328</v>
      </c>
      <c r="P440" s="1" t="s">
        <v>328</v>
      </c>
      <c r="Q440" s="1" t="s">
        <v>328</v>
      </c>
      <c r="R440" s="1" t="s">
        <v>328</v>
      </c>
      <c r="S440" s="1" t="s">
        <v>328</v>
      </c>
      <c r="T440" s="1" t="s">
        <v>328</v>
      </c>
      <c r="U440" s="1">
        <v>0</v>
      </c>
      <c r="V440" s="1">
        <v>0</v>
      </c>
      <c r="W440" s="1">
        <v>0</v>
      </c>
      <c r="X440" s="1">
        <v>0</v>
      </c>
      <c r="Y440" s="1">
        <v>0</v>
      </c>
      <c r="Z440" s="1">
        <v>0</v>
      </c>
      <c r="AA440" s="1">
        <v>0</v>
      </c>
      <c r="AB440" s="1">
        <v>0</v>
      </c>
      <c r="AC440" s="1">
        <v>0</v>
      </c>
      <c r="AD440" s="1">
        <v>5</v>
      </c>
      <c r="AE440" s="1">
        <v>3</v>
      </c>
      <c r="AF440" s="1">
        <v>2</v>
      </c>
      <c r="AG440" s="208" t="s">
        <v>1666</v>
      </c>
      <c r="AH440" s="1">
        <v>3600</v>
      </c>
      <c r="AI440" t="s">
        <v>1843</v>
      </c>
      <c r="AJ440">
        <v>0</v>
      </c>
      <c r="AK440" s="1" t="s">
        <v>5391</v>
      </c>
      <c r="AL440" s="1" t="s">
        <v>8749</v>
      </c>
      <c r="AM440" s="1">
        <v>0.15</v>
      </c>
      <c r="AN440" s="1">
        <v>0.6</v>
      </c>
      <c r="AO440" s="1">
        <v>0.38</v>
      </c>
      <c r="AP440" s="1">
        <v>0.23</v>
      </c>
      <c r="AQ440" s="1">
        <v>3</v>
      </c>
      <c r="AR440" t="s">
        <v>1475</v>
      </c>
      <c r="AS440">
        <v>0</v>
      </c>
      <c r="AT440" t="s">
        <v>8750</v>
      </c>
      <c r="AU440">
        <v>10</v>
      </c>
      <c r="AV440">
        <v>19089</v>
      </c>
      <c r="AX440">
        <v>0</v>
      </c>
    </row>
    <row r="441" spans="1:50" x14ac:dyDescent="0.3">
      <c r="A441">
        <v>442</v>
      </c>
      <c r="B441" t="s">
        <v>8753</v>
      </c>
      <c r="C441" t="s">
        <v>8754</v>
      </c>
      <c r="D441">
        <v>5</v>
      </c>
      <c r="E441">
        <v>3</v>
      </c>
      <c r="F441">
        <v>20</v>
      </c>
      <c r="G441" s="1" t="s">
        <v>324</v>
      </c>
      <c r="H441" s="1" t="s">
        <v>328</v>
      </c>
      <c r="I441" s="1" t="s">
        <v>328</v>
      </c>
      <c r="J441" s="1" t="s">
        <v>328</v>
      </c>
      <c r="K441" s="1" t="s">
        <v>376</v>
      </c>
      <c r="L441" s="1" t="s">
        <v>397</v>
      </c>
      <c r="M441" s="1" t="s">
        <v>328</v>
      </c>
      <c r="N441" s="1" t="s">
        <v>328</v>
      </c>
      <c r="O441" s="1" t="s">
        <v>328</v>
      </c>
      <c r="P441" s="1" t="s">
        <v>328</v>
      </c>
      <c r="Q441" s="1" t="s">
        <v>328</v>
      </c>
      <c r="R441" s="1" t="s">
        <v>328</v>
      </c>
      <c r="S441" s="1" t="s">
        <v>328</v>
      </c>
      <c r="T441" s="1" t="s">
        <v>328</v>
      </c>
      <c r="U441" s="1">
        <v>0</v>
      </c>
      <c r="V441" s="1">
        <v>0</v>
      </c>
      <c r="W441" s="1">
        <v>0</v>
      </c>
      <c r="X441" s="1">
        <v>0</v>
      </c>
      <c r="Y441" s="1">
        <v>0</v>
      </c>
      <c r="Z441" s="1">
        <v>0</v>
      </c>
      <c r="AA441" s="1">
        <v>0</v>
      </c>
      <c r="AB441" s="1">
        <v>0</v>
      </c>
      <c r="AC441" s="1">
        <v>4</v>
      </c>
      <c r="AD441" s="1">
        <v>3</v>
      </c>
      <c r="AE441" s="1">
        <v>0</v>
      </c>
      <c r="AF441" s="1">
        <v>2</v>
      </c>
      <c r="AG441" s="208" t="s">
        <v>8768</v>
      </c>
      <c r="AH441" s="1">
        <v>3060</v>
      </c>
      <c r="AI441" t="s">
        <v>1843</v>
      </c>
      <c r="AJ441">
        <v>0</v>
      </c>
      <c r="AK441" s="1" t="s">
        <v>487</v>
      </c>
      <c r="AL441" s="1" t="s">
        <v>8755</v>
      </c>
      <c r="AM441" s="1">
        <v>0.3</v>
      </c>
      <c r="AN441" s="1">
        <v>0.23</v>
      </c>
      <c r="AO441" s="1">
        <v>0.15</v>
      </c>
      <c r="AP441" s="1">
        <v>0.38</v>
      </c>
      <c r="AQ441" s="1">
        <v>3</v>
      </c>
      <c r="AR441" t="s">
        <v>7078</v>
      </c>
      <c r="AS441">
        <v>0</v>
      </c>
      <c r="AT441" t="s">
        <v>8756</v>
      </c>
      <c r="AU441">
        <v>10</v>
      </c>
      <c r="AV441">
        <v>20096</v>
      </c>
      <c r="AX441">
        <v>0</v>
      </c>
    </row>
    <row r="442" spans="1:50" x14ac:dyDescent="0.3">
      <c r="A442">
        <v>443</v>
      </c>
      <c r="B442" t="s">
        <v>8757</v>
      </c>
      <c r="C442" t="s">
        <v>8758</v>
      </c>
      <c r="D442">
        <v>5</v>
      </c>
      <c r="E442">
        <v>3</v>
      </c>
      <c r="F442">
        <v>20</v>
      </c>
      <c r="G442" s="1" t="s">
        <v>328</v>
      </c>
      <c r="H442" s="1" t="s">
        <v>328</v>
      </c>
      <c r="I442" s="1" t="s">
        <v>328</v>
      </c>
      <c r="J442" s="1" t="s">
        <v>328</v>
      </c>
      <c r="K442" s="1" t="s">
        <v>470</v>
      </c>
      <c r="L442" s="1" t="s">
        <v>343</v>
      </c>
      <c r="M442" s="1" t="s">
        <v>328</v>
      </c>
      <c r="N442" s="1" t="s">
        <v>328</v>
      </c>
      <c r="O442" s="1" t="s">
        <v>328</v>
      </c>
      <c r="P442" s="1" t="s">
        <v>328</v>
      </c>
      <c r="Q442" s="1" t="s">
        <v>328</v>
      </c>
      <c r="R442" s="1" t="s">
        <v>328</v>
      </c>
      <c r="S442" s="1" t="s">
        <v>328</v>
      </c>
      <c r="T442" s="1" t="s">
        <v>328</v>
      </c>
      <c r="U442" s="1">
        <v>0</v>
      </c>
      <c r="V442" s="1">
        <v>0</v>
      </c>
      <c r="W442" s="1">
        <v>0</v>
      </c>
      <c r="X442" s="1">
        <v>0</v>
      </c>
      <c r="Y442" s="1">
        <v>0</v>
      </c>
      <c r="Z442" s="1">
        <v>0</v>
      </c>
      <c r="AA442" s="1">
        <v>0</v>
      </c>
      <c r="AB442" s="1">
        <v>0</v>
      </c>
      <c r="AC442" s="1">
        <v>4</v>
      </c>
      <c r="AD442" s="1">
        <v>0</v>
      </c>
      <c r="AE442" s="1">
        <v>5</v>
      </c>
      <c r="AF442" s="1">
        <v>0</v>
      </c>
      <c r="AG442" s="208" t="s">
        <v>8769</v>
      </c>
      <c r="AH442" s="1">
        <v>3360</v>
      </c>
      <c r="AI442" t="s">
        <v>1843</v>
      </c>
      <c r="AJ442">
        <v>0</v>
      </c>
      <c r="AK442" s="1" t="s">
        <v>8759</v>
      </c>
      <c r="AL442" s="1" t="s">
        <v>8760</v>
      </c>
      <c r="AM442" s="1">
        <v>0.55000000000000004</v>
      </c>
      <c r="AN442" s="1">
        <v>0.16</v>
      </c>
      <c r="AO442" s="1">
        <v>0.6</v>
      </c>
      <c r="AP442" s="1">
        <v>0.16</v>
      </c>
      <c r="AQ442" s="1">
        <v>3</v>
      </c>
      <c r="AR442" t="s">
        <v>8761</v>
      </c>
      <c r="AS442">
        <v>0</v>
      </c>
      <c r="AT442" t="s">
        <v>8762</v>
      </c>
      <c r="AU442">
        <v>10</v>
      </c>
      <c r="AV442">
        <v>20097</v>
      </c>
      <c r="AX442">
        <v>0</v>
      </c>
    </row>
    <row r="443" spans="1:50" x14ac:dyDescent="0.3">
      <c r="A443">
        <v>444</v>
      </c>
      <c r="B443" t="s">
        <v>8763</v>
      </c>
      <c r="C443" t="s">
        <v>8764</v>
      </c>
      <c r="D443">
        <v>5</v>
      </c>
      <c r="E443">
        <v>2</v>
      </c>
      <c r="F443">
        <v>19</v>
      </c>
      <c r="G443" s="1" t="s">
        <v>328</v>
      </c>
      <c r="H443" s="1" t="s">
        <v>328</v>
      </c>
      <c r="I443" s="1" t="s">
        <v>328</v>
      </c>
      <c r="J443" s="1" t="s">
        <v>328</v>
      </c>
      <c r="K443" s="1" t="s">
        <v>328</v>
      </c>
      <c r="L443" s="1" t="s">
        <v>335</v>
      </c>
      <c r="M443" s="1" t="s">
        <v>328</v>
      </c>
      <c r="N443" s="1" t="s">
        <v>7299</v>
      </c>
      <c r="O443" s="1" t="s">
        <v>328</v>
      </c>
      <c r="P443" s="1" t="s">
        <v>328</v>
      </c>
      <c r="Q443" s="1" t="s">
        <v>328</v>
      </c>
      <c r="R443" s="1" t="s">
        <v>328</v>
      </c>
      <c r="S443" s="1" t="s">
        <v>328</v>
      </c>
      <c r="T443" s="1" t="s">
        <v>328</v>
      </c>
      <c r="U443" s="1">
        <v>0</v>
      </c>
      <c r="V443" s="1">
        <v>0</v>
      </c>
      <c r="W443" s="1">
        <v>0</v>
      </c>
      <c r="X443" s="1">
        <v>0</v>
      </c>
      <c r="Y443" s="1">
        <v>0</v>
      </c>
      <c r="Z443" s="1">
        <v>0</v>
      </c>
      <c r="AA443" s="1">
        <v>0</v>
      </c>
      <c r="AB443" s="1">
        <v>0</v>
      </c>
      <c r="AC443" s="1">
        <v>0</v>
      </c>
      <c r="AD443" s="1">
        <v>4</v>
      </c>
      <c r="AE443" s="1">
        <v>2</v>
      </c>
      <c r="AF443" s="1">
        <v>3</v>
      </c>
      <c r="AG443" s="208" t="s">
        <v>128</v>
      </c>
      <c r="AH443" s="1">
        <v>3300</v>
      </c>
      <c r="AI443" t="s">
        <v>1843</v>
      </c>
      <c r="AJ443">
        <v>0</v>
      </c>
      <c r="AK443" s="1" t="s">
        <v>8765</v>
      </c>
      <c r="AL443" s="1" t="s">
        <v>8766</v>
      </c>
      <c r="AM443" s="1">
        <v>0.08</v>
      </c>
      <c r="AN443" s="1">
        <v>0.5</v>
      </c>
      <c r="AO443" s="1">
        <v>0.3</v>
      </c>
      <c r="AP443" s="1">
        <v>0.3</v>
      </c>
      <c r="AQ443" s="1">
        <v>3</v>
      </c>
      <c r="AR443" t="s">
        <v>7756</v>
      </c>
      <c r="AS443">
        <v>0</v>
      </c>
      <c r="AT443" t="s">
        <v>8767</v>
      </c>
      <c r="AU443">
        <v>10</v>
      </c>
      <c r="AV443">
        <v>19090</v>
      </c>
      <c r="AX443">
        <v>0</v>
      </c>
    </row>
    <row r="444" spans="1:50" x14ac:dyDescent="0.3">
      <c r="A444">
        <v>445</v>
      </c>
      <c r="B444" t="s">
        <v>8770</v>
      </c>
      <c r="C444" t="s">
        <v>8771</v>
      </c>
      <c r="D444">
        <v>5</v>
      </c>
      <c r="E444">
        <v>3</v>
      </c>
      <c r="F444">
        <v>20</v>
      </c>
      <c r="G444" s="1" t="s">
        <v>328</v>
      </c>
      <c r="H444" s="1" t="s">
        <v>328</v>
      </c>
      <c r="I444" s="1" t="s">
        <v>328</v>
      </c>
      <c r="J444" s="1" t="s">
        <v>364</v>
      </c>
      <c r="K444" s="1" t="s">
        <v>328</v>
      </c>
      <c r="L444" s="1" t="s">
        <v>328</v>
      </c>
      <c r="M444" s="1" t="s">
        <v>328</v>
      </c>
      <c r="N444" s="1" t="s">
        <v>328</v>
      </c>
      <c r="O444" s="1" t="s">
        <v>358</v>
      </c>
      <c r="P444" s="1" t="s">
        <v>328</v>
      </c>
      <c r="Q444" s="1" t="s">
        <v>328</v>
      </c>
      <c r="R444" s="1" t="s">
        <v>328</v>
      </c>
      <c r="S444" s="1" t="s">
        <v>328</v>
      </c>
      <c r="T444" s="1" t="s">
        <v>328</v>
      </c>
      <c r="U444" s="1">
        <v>0</v>
      </c>
      <c r="V444" s="1">
        <v>0</v>
      </c>
      <c r="W444" s="1">
        <v>0</v>
      </c>
      <c r="X444" s="1">
        <v>0</v>
      </c>
      <c r="Y444" s="1">
        <v>0</v>
      </c>
      <c r="Z444" s="1">
        <v>0</v>
      </c>
      <c r="AA444" s="1">
        <v>0</v>
      </c>
      <c r="AB444" s="1">
        <v>0</v>
      </c>
      <c r="AC444" s="1">
        <v>2</v>
      </c>
      <c r="AD444" s="1">
        <v>2</v>
      </c>
      <c r="AE444" s="1">
        <v>3</v>
      </c>
      <c r="AF444" s="1">
        <v>3</v>
      </c>
      <c r="AG444" s="208" t="s">
        <v>8784</v>
      </c>
      <c r="AH444" s="1">
        <v>3060</v>
      </c>
      <c r="AI444" t="s">
        <v>1843</v>
      </c>
      <c r="AJ444">
        <v>0</v>
      </c>
      <c r="AK444" s="1" t="s">
        <v>6833</v>
      </c>
      <c r="AL444" s="1" t="s">
        <v>8772</v>
      </c>
      <c r="AM444" s="1">
        <v>0.23</v>
      </c>
      <c r="AN444" s="1">
        <v>0.23</v>
      </c>
      <c r="AO444" s="1">
        <v>0.33</v>
      </c>
      <c r="AP444" s="1">
        <v>0.33</v>
      </c>
      <c r="AQ444" s="1">
        <v>3</v>
      </c>
      <c r="AR444" t="s">
        <v>1585</v>
      </c>
      <c r="AS444">
        <v>0</v>
      </c>
      <c r="AT444" t="s">
        <v>8773</v>
      </c>
      <c r="AU444">
        <v>10</v>
      </c>
      <c r="AV444">
        <v>20098</v>
      </c>
      <c r="AX444">
        <v>0</v>
      </c>
    </row>
    <row r="445" spans="1:50" x14ac:dyDescent="0.3">
      <c r="A445">
        <v>446</v>
      </c>
      <c r="B445" t="s">
        <v>8774</v>
      </c>
      <c r="C445" t="s">
        <v>8775</v>
      </c>
      <c r="D445">
        <v>5</v>
      </c>
      <c r="E445">
        <v>1</v>
      </c>
      <c r="F445">
        <v>18</v>
      </c>
      <c r="G445" s="1" t="s">
        <v>328</v>
      </c>
      <c r="H445" s="1" t="s">
        <v>361</v>
      </c>
      <c r="I445" s="1" t="s">
        <v>328</v>
      </c>
      <c r="J445" s="1" t="s">
        <v>328</v>
      </c>
      <c r="K445" s="1" t="s">
        <v>328</v>
      </c>
      <c r="L445" s="1" t="s">
        <v>328</v>
      </c>
      <c r="M445" s="1" t="s">
        <v>1738</v>
      </c>
      <c r="N445" s="1" t="s">
        <v>328</v>
      </c>
      <c r="O445" s="1" t="s">
        <v>328</v>
      </c>
      <c r="P445" s="1" t="s">
        <v>328</v>
      </c>
      <c r="Q445" s="1" t="s">
        <v>328</v>
      </c>
      <c r="R445" s="1" t="s">
        <v>328</v>
      </c>
      <c r="S445" s="1" t="s">
        <v>328</v>
      </c>
      <c r="T445" s="1" t="s">
        <v>328</v>
      </c>
      <c r="U445" s="1">
        <v>0</v>
      </c>
      <c r="V445" s="1">
        <v>0</v>
      </c>
      <c r="W445" s="1">
        <v>0</v>
      </c>
      <c r="X445" s="1">
        <v>0</v>
      </c>
      <c r="Y445" s="1">
        <v>0</v>
      </c>
      <c r="Z445" s="1">
        <v>0</v>
      </c>
      <c r="AA445" s="1">
        <v>0</v>
      </c>
      <c r="AB445" s="1">
        <v>0</v>
      </c>
      <c r="AC445" s="1">
        <v>4</v>
      </c>
      <c r="AD445" s="1">
        <v>0</v>
      </c>
      <c r="AE445" s="1">
        <v>3</v>
      </c>
      <c r="AF445" s="1">
        <v>2</v>
      </c>
      <c r="AG445" s="208" t="s">
        <v>8785</v>
      </c>
      <c r="AH445" s="1">
        <v>3600</v>
      </c>
      <c r="AI445" t="s">
        <v>1843</v>
      </c>
      <c r="AJ445">
        <v>0</v>
      </c>
      <c r="AK445" s="1" t="s">
        <v>8776</v>
      </c>
      <c r="AL445" s="1" t="s">
        <v>8777</v>
      </c>
      <c r="AM445" s="1">
        <v>0.45</v>
      </c>
      <c r="AN445" s="1">
        <v>0.15</v>
      </c>
      <c r="AO445" s="1">
        <v>0.3</v>
      </c>
      <c r="AP445" s="1">
        <v>0.15</v>
      </c>
      <c r="AQ445" s="1">
        <v>3</v>
      </c>
      <c r="AR445" t="s">
        <v>1514</v>
      </c>
      <c r="AS445">
        <v>0</v>
      </c>
      <c r="AT445" t="s">
        <v>8778</v>
      </c>
      <c r="AU445">
        <v>10</v>
      </c>
      <c r="AV445">
        <v>18121</v>
      </c>
      <c r="AX445">
        <v>0</v>
      </c>
    </row>
    <row r="446" spans="1:50" x14ac:dyDescent="0.3">
      <c r="A446">
        <v>447</v>
      </c>
      <c r="B446" t="s">
        <v>8779</v>
      </c>
      <c r="C446" t="s">
        <v>8780</v>
      </c>
      <c r="D446">
        <v>5</v>
      </c>
      <c r="E446">
        <v>1</v>
      </c>
      <c r="F446">
        <v>18</v>
      </c>
      <c r="G446" s="1" t="s">
        <v>334</v>
      </c>
      <c r="H446" s="1" t="s">
        <v>335</v>
      </c>
      <c r="I446" s="1" t="s">
        <v>328</v>
      </c>
      <c r="J446" s="1" t="s">
        <v>328</v>
      </c>
      <c r="K446" s="1" t="s">
        <v>328</v>
      </c>
      <c r="L446" s="1" t="s">
        <v>328</v>
      </c>
      <c r="M446" s="1" t="s">
        <v>8781</v>
      </c>
      <c r="N446" s="1" t="s">
        <v>328</v>
      </c>
      <c r="O446" s="1" t="s">
        <v>328</v>
      </c>
      <c r="P446" s="1" t="s">
        <v>328</v>
      </c>
      <c r="Q446" s="1" t="s">
        <v>328</v>
      </c>
      <c r="R446" s="1" t="s">
        <v>328</v>
      </c>
      <c r="S446" s="1" t="s">
        <v>328</v>
      </c>
      <c r="T446" s="1" t="s">
        <v>328</v>
      </c>
      <c r="U446" s="1">
        <v>0</v>
      </c>
      <c r="V446" s="1">
        <v>0</v>
      </c>
      <c r="W446" s="1">
        <v>0</v>
      </c>
      <c r="X446" s="1">
        <v>0</v>
      </c>
      <c r="Y446" s="1">
        <v>0</v>
      </c>
      <c r="Z446" s="1">
        <v>0</v>
      </c>
      <c r="AA446" s="1">
        <v>0</v>
      </c>
      <c r="AB446" s="1">
        <v>0</v>
      </c>
      <c r="AC446" s="1">
        <v>4</v>
      </c>
      <c r="AD446" s="1">
        <v>0</v>
      </c>
      <c r="AE446" s="1">
        <v>3</v>
      </c>
      <c r="AF446" s="1">
        <v>2</v>
      </c>
      <c r="AG446" s="208" t="s">
        <v>240</v>
      </c>
      <c r="AH446" s="1">
        <v>3600</v>
      </c>
      <c r="AI446" t="s">
        <v>1843</v>
      </c>
      <c r="AJ446">
        <v>0</v>
      </c>
      <c r="AK446" s="1" t="s">
        <v>6669</v>
      </c>
      <c r="AL446" s="1" t="s">
        <v>8782</v>
      </c>
      <c r="AM446" s="1">
        <v>0.45</v>
      </c>
      <c r="AN446" s="1">
        <v>0.15</v>
      </c>
      <c r="AO446" s="1">
        <v>0.3</v>
      </c>
      <c r="AP446" s="1">
        <v>0.15</v>
      </c>
      <c r="AQ446" s="1">
        <v>3</v>
      </c>
      <c r="AR446" t="s">
        <v>1525</v>
      </c>
      <c r="AS446">
        <v>0</v>
      </c>
      <c r="AT446" t="s">
        <v>8783</v>
      </c>
      <c r="AU446">
        <v>10</v>
      </c>
      <c r="AV446">
        <v>18122</v>
      </c>
      <c r="AX446">
        <v>0</v>
      </c>
    </row>
    <row r="447" spans="1:50" x14ac:dyDescent="0.3">
      <c r="A447">
        <v>448</v>
      </c>
      <c r="B447" t="s">
        <v>8786</v>
      </c>
      <c r="C447" t="s">
        <v>8787</v>
      </c>
      <c r="D447">
        <v>5</v>
      </c>
      <c r="E447">
        <v>2</v>
      </c>
      <c r="F447">
        <v>19</v>
      </c>
      <c r="G447" s="1" t="s">
        <v>328</v>
      </c>
      <c r="H447" s="1" t="s">
        <v>338</v>
      </c>
      <c r="I447" s="1" t="s">
        <v>328</v>
      </c>
      <c r="J447" s="1" t="s">
        <v>328</v>
      </c>
      <c r="K447" s="1" t="s">
        <v>328</v>
      </c>
      <c r="L447" s="1" t="s">
        <v>328</v>
      </c>
      <c r="M447" s="1" t="s">
        <v>328</v>
      </c>
      <c r="N447" s="1" t="s">
        <v>328</v>
      </c>
      <c r="O447" s="1" t="s">
        <v>328</v>
      </c>
      <c r="P447" s="1" t="s">
        <v>328</v>
      </c>
      <c r="Q447" s="1" t="s">
        <v>328</v>
      </c>
      <c r="R447" s="1" t="s">
        <v>328</v>
      </c>
      <c r="S447" s="1" t="s">
        <v>328</v>
      </c>
      <c r="T447" s="1" t="s">
        <v>328</v>
      </c>
      <c r="U447" s="1">
        <v>0</v>
      </c>
      <c r="V447" s="1">
        <v>150</v>
      </c>
      <c r="W447" s="1">
        <v>0</v>
      </c>
      <c r="X447" s="1">
        <v>0</v>
      </c>
      <c r="Y447" s="1">
        <v>0</v>
      </c>
      <c r="Z447" s="1">
        <v>0</v>
      </c>
      <c r="AA447" s="1">
        <v>0</v>
      </c>
      <c r="AB447" s="1">
        <v>0</v>
      </c>
      <c r="AC447" s="1">
        <v>4</v>
      </c>
      <c r="AD447" s="1">
        <v>4</v>
      </c>
      <c r="AE447" s="1">
        <v>0</v>
      </c>
      <c r="AF447" s="1">
        <v>2</v>
      </c>
      <c r="AG447" s="208" t="s">
        <v>8796</v>
      </c>
      <c r="AH447" s="1">
        <v>3600</v>
      </c>
      <c r="AI447" t="s">
        <v>1843</v>
      </c>
      <c r="AJ447">
        <v>0</v>
      </c>
      <c r="AK447" s="1" t="s">
        <v>933</v>
      </c>
      <c r="AL447" s="1" t="s">
        <v>8788</v>
      </c>
      <c r="AM447" s="1">
        <v>0.48</v>
      </c>
      <c r="AN447" s="1">
        <v>0.48</v>
      </c>
      <c r="AO447" s="1">
        <v>0.08</v>
      </c>
      <c r="AP447" s="1">
        <v>0.25</v>
      </c>
      <c r="AQ447" s="1">
        <v>3</v>
      </c>
      <c r="AR447" t="s">
        <v>1470</v>
      </c>
      <c r="AS447">
        <v>0</v>
      </c>
      <c r="AT447" t="s">
        <v>8789</v>
      </c>
      <c r="AU447">
        <v>10</v>
      </c>
      <c r="AV447">
        <v>19091</v>
      </c>
      <c r="AX447">
        <v>0</v>
      </c>
    </row>
    <row r="448" spans="1:50" x14ac:dyDescent="0.3">
      <c r="A448">
        <v>449</v>
      </c>
      <c r="B448" t="s">
        <v>8790</v>
      </c>
      <c r="C448" t="s">
        <v>8791</v>
      </c>
      <c r="D448">
        <v>5</v>
      </c>
      <c r="E448">
        <v>2</v>
      </c>
      <c r="F448">
        <v>19</v>
      </c>
      <c r="G448" s="1" t="s">
        <v>328</v>
      </c>
      <c r="H448" s="1" t="s">
        <v>338</v>
      </c>
      <c r="I448" s="1" t="s">
        <v>328</v>
      </c>
      <c r="J448" s="1" t="s">
        <v>328</v>
      </c>
      <c r="K448" s="1" t="s">
        <v>328</v>
      </c>
      <c r="L448" s="1" t="s">
        <v>328</v>
      </c>
      <c r="M448" s="1" t="s">
        <v>328</v>
      </c>
      <c r="N448" s="1" t="s">
        <v>328</v>
      </c>
      <c r="O448" s="1" t="s">
        <v>328</v>
      </c>
      <c r="P448" s="1" t="s">
        <v>328</v>
      </c>
      <c r="Q448" s="1" t="s">
        <v>328</v>
      </c>
      <c r="R448" s="1" t="s">
        <v>328</v>
      </c>
      <c r="S448" s="1" t="s">
        <v>328</v>
      </c>
      <c r="T448" s="1" t="s">
        <v>328</v>
      </c>
      <c r="U448" s="1">
        <v>0</v>
      </c>
      <c r="V448" s="1">
        <v>150</v>
      </c>
      <c r="W448" s="1">
        <v>0</v>
      </c>
      <c r="X448" s="1">
        <v>0</v>
      </c>
      <c r="Y448" s="1">
        <v>0</v>
      </c>
      <c r="Z448" s="1">
        <v>0</v>
      </c>
      <c r="AA448" s="1">
        <v>0</v>
      </c>
      <c r="AB448" s="1">
        <v>0</v>
      </c>
      <c r="AC448" s="1">
        <v>4</v>
      </c>
      <c r="AD448" s="1">
        <v>4</v>
      </c>
      <c r="AE448" s="1">
        <v>0</v>
      </c>
      <c r="AF448" s="1">
        <v>2</v>
      </c>
      <c r="AG448" s="208" t="s">
        <v>8797</v>
      </c>
      <c r="AH448" s="1">
        <v>3600</v>
      </c>
      <c r="AI448" t="s">
        <v>1843</v>
      </c>
      <c r="AJ448">
        <v>0</v>
      </c>
      <c r="AK448" s="1" t="s">
        <v>8792</v>
      </c>
      <c r="AL448" s="1" t="s">
        <v>8793</v>
      </c>
      <c r="AM448" s="1">
        <v>0.48</v>
      </c>
      <c r="AN448" s="1">
        <v>0.48</v>
      </c>
      <c r="AO448" s="1">
        <v>0.08</v>
      </c>
      <c r="AP448" s="1">
        <v>0.25</v>
      </c>
      <c r="AQ448" s="1">
        <v>3</v>
      </c>
      <c r="AR448" t="s">
        <v>1470</v>
      </c>
      <c r="AS448">
        <v>0</v>
      </c>
      <c r="AT448" t="s">
        <v>8794</v>
      </c>
      <c r="AU448">
        <v>10</v>
      </c>
      <c r="AV448">
        <v>19092</v>
      </c>
      <c r="AX448">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42"/>
  <sheetViews>
    <sheetView workbookViewId="0">
      <pane ySplit="1" topLeftCell="A627" activePane="bottomLeft" state="frozen"/>
      <selection activeCell="AV2" sqref="AV2"/>
      <selection pane="bottomLeft" activeCell="AV2" sqref="AV2"/>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6759</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6619</v>
      </c>
      <c r="BF1" t="s">
        <v>6620</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6757</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8213</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5631</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5671</v>
      </c>
      <c r="C351" s="207" t="s">
        <v>5672</v>
      </c>
      <c r="D351" s="1" t="s">
        <v>5672</v>
      </c>
      <c r="E351" s="1" t="s">
        <v>328</v>
      </c>
      <c r="F351" s="1" t="s">
        <v>328</v>
      </c>
      <c r="G351" s="1" t="s">
        <v>5673</v>
      </c>
      <c r="H351" s="1" t="s">
        <v>5674</v>
      </c>
      <c r="I351" s="1" t="s">
        <v>5675</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5676</v>
      </c>
      <c r="AK351" s="1" t="s">
        <v>5677</v>
      </c>
      <c r="AL351" s="1">
        <v>13</v>
      </c>
      <c r="AM351" s="1" t="s">
        <v>1806</v>
      </c>
      <c r="AN351" s="1" t="s">
        <v>5678</v>
      </c>
      <c r="AO351" s="1" t="s">
        <v>4751</v>
      </c>
      <c r="AP351" s="1">
        <v>0</v>
      </c>
      <c r="AQ351" s="1" t="s">
        <v>1118</v>
      </c>
      <c r="AR351" s="1" t="s">
        <v>1119</v>
      </c>
      <c r="AS351" s="1" t="s">
        <v>1120</v>
      </c>
      <c r="AT351" s="1" t="s">
        <v>328</v>
      </c>
      <c r="AU351" s="1">
        <v>4</v>
      </c>
      <c r="AV351" s="1">
        <v>0</v>
      </c>
      <c r="AW351" s="1" t="s">
        <v>5679</v>
      </c>
      <c r="AX351" s="1" t="s">
        <v>5680</v>
      </c>
      <c r="AY351" s="1">
        <v>5</v>
      </c>
      <c r="AZ351" s="1">
        <v>0</v>
      </c>
      <c r="BA351" s="1" t="s">
        <v>328</v>
      </c>
      <c r="BB351" s="1" t="s">
        <v>328</v>
      </c>
      <c r="BC351" s="1" t="s">
        <v>4739</v>
      </c>
      <c r="BD351" s="1">
        <v>10203</v>
      </c>
      <c r="BE351" s="1"/>
      <c r="BH351">
        <f>COUNTIF(Dropdowns!$I:$AF,C351)</f>
        <v>0</v>
      </c>
    </row>
    <row r="352" spans="1:60" x14ac:dyDescent="0.3">
      <c r="A352" s="1">
        <v>358</v>
      </c>
      <c r="B352" s="1" t="s">
        <v>5681</v>
      </c>
      <c r="C352" s="207" t="s">
        <v>5682</v>
      </c>
      <c r="D352" s="1" t="s">
        <v>5682</v>
      </c>
      <c r="E352" s="1" t="s">
        <v>328</v>
      </c>
      <c r="F352" s="1" t="s">
        <v>328</v>
      </c>
      <c r="G352" s="1" t="s">
        <v>5683</v>
      </c>
      <c r="H352" s="1" t="s">
        <v>5684</v>
      </c>
      <c r="I352" s="1" t="s">
        <v>5685</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5686</v>
      </c>
      <c r="AL352" s="1">
        <v>13</v>
      </c>
      <c r="AM352" s="1" t="s">
        <v>1806</v>
      </c>
      <c r="AN352" s="1" t="s">
        <v>5687</v>
      </c>
      <c r="AO352" s="1" t="s">
        <v>5063</v>
      </c>
      <c r="AP352" s="1">
        <v>0</v>
      </c>
      <c r="AQ352" s="1" t="s">
        <v>1118</v>
      </c>
      <c r="AR352" s="1" t="s">
        <v>1119</v>
      </c>
      <c r="AS352" s="1" t="s">
        <v>1120</v>
      </c>
      <c r="AT352" s="1" t="s">
        <v>328</v>
      </c>
      <c r="AU352" s="1">
        <v>212</v>
      </c>
      <c r="AV352" s="1">
        <v>0</v>
      </c>
      <c r="AW352" s="1" t="s">
        <v>5679</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5688</v>
      </c>
      <c r="C353" s="207" t="s">
        <v>5689</v>
      </c>
      <c r="D353" s="1" t="s">
        <v>5689</v>
      </c>
      <c r="E353" s="1" t="s">
        <v>328</v>
      </c>
      <c r="F353" s="1" t="s">
        <v>328</v>
      </c>
      <c r="G353" s="1" t="s">
        <v>5690</v>
      </c>
      <c r="H353" s="1" t="s">
        <v>5691</v>
      </c>
      <c r="I353" s="1" t="s">
        <v>5692</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5693</v>
      </c>
      <c r="AK353" s="1" t="s">
        <v>5694</v>
      </c>
      <c r="AL353" s="1">
        <v>13</v>
      </c>
      <c r="AM353" s="1" t="s">
        <v>398</v>
      </c>
      <c r="AN353" s="1" t="s">
        <v>5695</v>
      </c>
      <c r="AO353" s="1" t="s">
        <v>5005</v>
      </c>
      <c r="AP353" s="1">
        <v>0</v>
      </c>
      <c r="AQ353" s="1" t="s">
        <v>1129</v>
      </c>
      <c r="AR353" s="1" t="s">
        <v>1119</v>
      </c>
      <c r="AS353" s="1" t="s">
        <v>1130</v>
      </c>
      <c r="AT353" s="1" t="s">
        <v>328</v>
      </c>
      <c r="AU353" s="1">
        <v>150</v>
      </c>
      <c r="AV353" s="1">
        <v>0</v>
      </c>
      <c r="AW353" s="1" t="s">
        <v>5679</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5696</v>
      </c>
      <c r="C354" s="207" t="s">
        <v>5697</v>
      </c>
      <c r="D354" s="1" t="s">
        <v>5697</v>
      </c>
      <c r="E354" s="1" t="s">
        <v>328</v>
      </c>
      <c r="F354" s="1" t="s">
        <v>328</v>
      </c>
      <c r="G354" s="1" t="s">
        <v>5698</v>
      </c>
      <c r="H354" s="1" t="s">
        <v>5699</v>
      </c>
      <c r="I354" s="1" t="s">
        <v>5700</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5701</v>
      </c>
      <c r="AK354" s="1" t="s">
        <v>5702</v>
      </c>
      <c r="AL354" s="1">
        <v>13</v>
      </c>
      <c r="AM354" s="1" t="s">
        <v>4762</v>
      </c>
      <c r="AN354" s="1" t="s">
        <v>5703</v>
      </c>
      <c r="AO354" s="1" t="s">
        <v>4832</v>
      </c>
      <c r="AP354" s="1">
        <v>0</v>
      </c>
      <c r="AQ354" s="1" t="s">
        <v>1140</v>
      </c>
      <c r="AR354" s="1" t="s">
        <v>1141</v>
      </c>
      <c r="AS354" s="1" t="s">
        <v>1142</v>
      </c>
      <c r="AT354" s="1" t="s">
        <v>328</v>
      </c>
      <c r="AU354" s="1">
        <v>241</v>
      </c>
      <c r="AV354" s="1">
        <v>0</v>
      </c>
      <c r="AW354" s="1" t="s">
        <v>5679</v>
      </c>
      <c r="AX354" s="1" t="s">
        <v>5704</v>
      </c>
      <c r="AY354" s="1">
        <v>4</v>
      </c>
      <c r="AZ354" s="1">
        <v>0</v>
      </c>
      <c r="BA354" s="1" t="s">
        <v>328</v>
      </c>
      <c r="BB354" s="1" t="s">
        <v>328</v>
      </c>
      <c r="BC354" s="1" t="s">
        <v>4720</v>
      </c>
      <c r="BD354" s="1">
        <v>10802</v>
      </c>
      <c r="BE354" s="1"/>
      <c r="BH354">
        <f>COUNTIF(Dropdowns!$I:$AF,C354)</f>
        <v>1</v>
      </c>
    </row>
    <row r="355" spans="1:60" x14ac:dyDescent="0.3">
      <c r="A355" s="1">
        <v>361</v>
      </c>
      <c r="B355" s="1" t="s">
        <v>5705</v>
      </c>
      <c r="C355" s="207" t="s">
        <v>5706</v>
      </c>
      <c r="D355" s="1" t="s">
        <v>5706</v>
      </c>
      <c r="E355" s="1" t="s">
        <v>328</v>
      </c>
      <c r="F355" s="1" t="s">
        <v>328</v>
      </c>
      <c r="G355" s="1" t="s">
        <v>5707</v>
      </c>
      <c r="H355" s="1" t="s">
        <v>5708</v>
      </c>
      <c r="I355" s="1" t="s">
        <v>5709</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5710</v>
      </c>
      <c r="AL355" s="1">
        <v>13</v>
      </c>
      <c r="AM355" s="1" t="s">
        <v>4719</v>
      </c>
      <c r="AN355" s="1" t="s">
        <v>4864</v>
      </c>
      <c r="AO355" s="1" t="s">
        <v>5711</v>
      </c>
      <c r="AP355" s="1">
        <v>0</v>
      </c>
      <c r="AQ355" s="1" t="s">
        <v>1130</v>
      </c>
      <c r="AR355" s="1" t="s">
        <v>1154</v>
      </c>
      <c r="AS355" s="1" t="s">
        <v>1129</v>
      </c>
      <c r="AT355" s="1" t="s">
        <v>328</v>
      </c>
      <c r="AU355" s="1">
        <v>48</v>
      </c>
      <c r="AV355" s="1">
        <v>0</v>
      </c>
      <c r="AW355" s="1" t="s">
        <v>5679</v>
      </c>
      <c r="AX355" s="1" t="s">
        <v>5704</v>
      </c>
      <c r="AY355" s="1">
        <v>5</v>
      </c>
      <c r="AZ355" s="1">
        <v>0</v>
      </c>
      <c r="BA355" s="1" t="s">
        <v>328</v>
      </c>
      <c r="BB355" s="1" t="s">
        <v>328</v>
      </c>
      <c r="BC355" s="1" t="s">
        <v>4783</v>
      </c>
      <c r="BD355" s="1">
        <v>10402</v>
      </c>
      <c r="BE355" s="1"/>
      <c r="BH355">
        <f>COUNTIF(Dropdowns!$I:$AF,C355)</f>
        <v>1</v>
      </c>
    </row>
    <row r="356" spans="1:60" x14ac:dyDescent="0.3">
      <c r="A356" s="1">
        <v>362</v>
      </c>
      <c r="B356" s="1" t="s">
        <v>5712</v>
      </c>
      <c r="C356" s="207" t="s">
        <v>5713</v>
      </c>
      <c r="D356" s="1" t="s">
        <v>5713</v>
      </c>
      <c r="E356" s="1" t="s">
        <v>328</v>
      </c>
      <c r="F356" s="1" t="s">
        <v>328</v>
      </c>
      <c r="G356" s="1" t="s">
        <v>5714</v>
      </c>
      <c r="H356" s="1" t="s">
        <v>5715</v>
      </c>
      <c r="I356" s="1" t="s">
        <v>5716</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5717</v>
      </c>
      <c r="AK356" s="1" t="s">
        <v>5718</v>
      </c>
      <c r="AL356" s="1">
        <v>18</v>
      </c>
      <c r="AM356" s="1" t="s">
        <v>4858</v>
      </c>
      <c r="AN356" s="1" t="s">
        <v>4937</v>
      </c>
      <c r="AO356" s="1" t="s">
        <v>5011</v>
      </c>
      <c r="AP356" s="1">
        <v>0</v>
      </c>
      <c r="AQ356" s="1" t="s">
        <v>1167</v>
      </c>
      <c r="AR356" s="1" t="s">
        <v>1168</v>
      </c>
      <c r="AS356" s="1" t="s">
        <v>1169</v>
      </c>
      <c r="AT356" s="1" t="s">
        <v>328</v>
      </c>
      <c r="AU356" s="1">
        <v>238</v>
      </c>
      <c r="AV356" s="1">
        <v>0</v>
      </c>
      <c r="AW356" s="1" t="s">
        <v>5679</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6378</v>
      </c>
      <c r="C357" s="207" t="s">
        <v>2135</v>
      </c>
      <c r="D357" s="1" t="s">
        <v>2135</v>
      </c>
      <c r="E357" s="1" t="s">
        <v>328</v>
      </c>
      <c r="F357" s="1" t="s">
        <v>328</v>
      </c>
      <c r="G357" s="1" t="s">
        <v>6379</v>
      </c>
      <c r="H357" s="1" t="s">
        <v>6380</v>
      </c>
      <c r="I357" s="1" t="s">
        <v>6381</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6382</v>
      </c>
      <c r="AK357" s="1" t="s">
        <v>6383</v>
      </c>
      <c r="AL357" s="1">
        <v>13</v>
      </c>
      <c r="AM357" s="1" t="s">
        <v>398</v>
      </c>
      <c r="AN357" s="1" t="s">
        <v>6384</v>
      </c>
      <c r="AO357" s="1" t="s">
        <v>5169</v>
      </c>
      <c r="AP357" s="1">
        <v>0</v>
      </c>
      <c r="AQ357" s="1" t="s">
        <v>1129</v>
      </c>
      <c r="AR357" s="1" t="s">
        <v>1119</v>
      </c>
      <c r="AS357" s="1" t="s">
        <v>1130</v>
      </c>
      <c r="AT357" s="1" t="s">
        <v>328</v>
      </c>
      <c r="AU357" s="1">
        <v>150</v>
      </c>
      <c r="AV357" s="1">
        <v>0</v>
      </c>
      <c r="AW357" s="1" t="s">
        <v>6385</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6386</v>
      </c>
      <c r="C358" s="207" t="s">
        <v>6387</v>
      </c>
      <c r="D358" s="1" t="s">
        <v>6387</v>
      </c>
      <c r="E358" s="1" t="s">
        <v>328</v>
      </c>
      <c r="F358" s="1" t="s">
        <v>328</v>
      </c>
      <c r="G358" s="1" t="s">
        <v>6388</v>
      </c>
      <c r="H358" s="1" t="s">
        <v>6389</v>
      </c>
      <c r="I358" s="1" t="s">
        <v>6390</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6391</v>
      </c>
      <c r="AK358" s="1" t="s">
        <v>6392</v>
      </c>
      <c r="AL358" s="1">
        <v>8</v>
      </c>
      <c r="AM358" s="1" t="s">
        <v>398</v>
      </c>
      <c r="AN358" s="1" t="s">
        <v>6393</v>
      </c>
      <c r="AO358" s="1" t="s">
        <v>5169</v>
      </c>
      <c r="AP358" s="1">
        <v>0</v>
      </c>
      <c r="AQ358" s="1" t="s">
        <v>1129</v>
      </c>
      <c r="AR358" s="1" t="s">
        <v>1119</v>
      </c>
      <c r="AS358" s="1" t="s">
        <v>1130</v>
      </c>
      <c r="AT358" s="1" t="s">
        <v>328</v>
      </c>
      <c r="AU358" s="1">
        <v>150</v>
      </c>
      <c r="AV358" s="1">
        <v>0</v>
      </c>
      <c r="AW358" s="1" t="s">
        <v>6385</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6394</v>
      </c>
      <c r="C359" s="207" t="s">
        <v>6395</v>
      </c>
      <c r="D359" s="1" t="s">
        <v>6395</v>
      </c>
      <c r="E359" s="1" t="s">
        <v>328</v>
      </c>
      <c r="F359" s="1" t="s">
        <v>328</v>
      </c>
      <c r="G359" s="1" t="s">
        <v>6396</v>
      </c>
      <c r="H359" s="1" t="s">
        <v>6397</v>
      </c>
      <c r="I359" s="1" t="s">
        <v>6398</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6399</v>
      </c>
      <c r="AK359" s="1" t="s">
        <v>328</v>
      </c>
      <c r="AL359" s="1">
        <v>13</v>
      </c>
      <c r="AM359" s="1" t="s">
        <v>4719</v>
      </c>
      <c r="AN359" s="1" t="s">
        <v>4829</v>
      </c>
      <c r="AO359" s="1" t="s">
        <v>6400</v>
      </c>
      <c r="AP359" s="1">
        <v>0</v>
      </c>
      <c r="AQ359" s="1" t="s">
        <v>1130</v>
      </c>
      <c r="AR359" s="1" t="s">
        <v>1154</v>
      </c>
      <c r="AS359" s="1" t="s">
        <v>1129</v>
      </c>
      <c r="AT359" s="1" t="s">
        <v>328</v>
      </c>
      <c r="AU359" s="1">
        <v>48</v>
      </c>
      <c r="AV359" s="1">
        <v>0</v>
      </c>
      <c r="AW359" s="1" t="s">
        <v>6385</v>
      </c>
      <c r="AX359" s="1" t="s">
        <v>331</v>
      </c>
      <c r="AY359" s="1">
        <v>5</v>
      </c>
      <c r="AZ359" s="1">
        <v>0</v>
      </c>
      <c r="BA359" s="1" t="s">
        <v>328</v>
      </c>
      <c r="BB359" s="1" t="s">
        <v>328</v>
      </c>
      <c r="BC359" s="1" t="s">
        <v>4720</v>
      </c>
      <c r="BD359" s="1">
        <v>10704</v>
      </c>
      <c r="BE359" s="1"/>
      <c r="BH359">
        <f>COUNTIF(Dropdowns!$I:$AF,C359)</f>
        <v>1</v>
      </c>
    </row>
    <row r="360" spans="1:60" x14ac:dyDescent="0.3">
      <c r="A360">
        <v>366</v>
      </c>
      <c r="B360" t="s">
        <v>6560</v>
      </c>
      <c r="C360" s="208" t="s">
        <v>6561</v>
      </c>
      <c r="D360" t="s">
        <v>6561</v>
      </c>
      <c r="E360" t="s">
        <v>328</v>
      </c>
      <c r="F360" t="s">
        <v>328</v>
      </c>
      <c r="G360" t="s">
        <v>6562</v>
      </c>
      <c r="H360" t="s">
        <v>6563</v>
      </c>
      <c r="I360" t="s">
        <v>6564</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6565</v>
      </c>
      <c r="AK360" t="s">
        <v>6566</v>
      </c>
      <c r="AL360">
        <v>8</v>
      </c>
      <c r="AM360" t="s">
        <v>387</v>
      </c>
      <c r="AN360" t="s">
        <v>6567</v>
      </c>
      <c r="AO360" t="s">
        <v>6568</v>
      </c>
      <c r="AP360">
        <v>0</v>
      </c>
      <c r="AQ360" t="s">
        <v>1200</v>
      </c>
      <c r="AR360" t="s">
        <v>1201</v>
      </c>
      <c r="AS360" t="s">
        <v>1202</v>
      </c>
      <c r="AT360" t="s">
        <v>328</v>
      </c>
      <c r="AU360">
        <v>164</v>
      </c>
      <c r="AV360">
        <v>0</v>
      </c>
      <c r="AW360" t="s">
        <v>6569</v>
      </c>
      <c r="AX360" t="s">
        <v>4719</v>
      </c>
      <c r="AY360">
        <v>5</v>
      </c>
      <c r="AZ360">
        <v>0</v>
      </c>
      <c r="BA360" t="s">
        <v>328</v>
      </c>
      <c r="BB360" t="s">
        <v>328</v>
      </c>
      <c r="BC360" t="s">
        <v>4739</v>
      </c>
      <c r="BD360">
        <v>10704</v>
      </c>
      <c r="BE360" s="1"/>
      <c r="BH360">
        <f>COUNTIF(Dropdowns!$I:$AF,C360)</f>
        <v>1</v>
      </c>
    </row>
    <row r="361" spans="1:60" x14ac:dyDescent="0.3">
      <c r="A361">
        <v>367</v>
      </c>
      <c r="B361" t="s">
        <v>6570</v>
      </c>
      <c r="C361" s="208" t="s">
        <v>6571</v>
      </c>
      <c r="D361" t="s">
        <v>6571</v>
      </c>
      <c r="E361" t="s">
        <v>328</v>
      </c>
      <c r="F361" t="s">
        <v>328</v>
      </c>
      <c r="G361" t="s">
        <v>6572</v>
      </c>
      <c r="H361" t="s">
        <v>6573</v>
      </c>
      <c r="I361" t="s">
        <v>6574</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6575</v>
      </c>
      <c r="AK361" t="s">
        <v>6576</v>
      </c>
      <c r="AL361">
        <v>9</v>
      </c>
      <c r="AM361" t="s">
        <v>4716</v>
      </c>
      <c r="AN361" t="s">
        <v>6577</v>
      </c>
      <c r="AO361" t="s">
        <v>6578</v>
      </c>
      <c r="AP361">
        <v>0</v>
      </c>
      <c r="AQ361" t="s">
        <v>1200</v>
      </c>
      <c r="AR361" t="s">
        <v>1201</v>
      </c>
      <c r="AS361" t="s">
        <v>1202</v>
      </c>
      <c r="AT361" t="s">
        <v>328</v>
      </c>
      <c r="AU361">
        <v>164</v>
      </c>
      <c r="AV361">
        <v>0</v>
      </c>
      <c r="AW361" t="s">
        <v>6569</v>
      </c>
      <c r="AX361" t="s">
        <v>4719</v>
      </c>
      <c r="AY361">
        <v>5</v>
      </c>
      <c r="AZ361">
        <v>0</v>
      </c>
      <c r="BA361" t="s">
        <v>328</v>
      </c>
      <c r="BB361" t="s">
        <v>328</v>
      </c>
      <c r="BC361" t="s">
        <v>4720</v>
      </c>
      <c r="BD361">
        <v>10704</v>
      </c>
      <c r="BE361" s="1"/>
      <c r="BH361">
        <f>COUNTIF(Dropdowns!$I:$AF,C361)</f>
        <v>1</v>
      </c>
    </row>
    <row r="362" spans="1:60" x14ac:dyDescent="0.3">
      <c r="A362">
        <v>368</v>
      </c>
      <c r="B362" t="s">
        <v>6579</v>
      </c>
      <c r="C362" s="208" t="s">
        <v>6580</v>
      </c>
      <c r="D362" t="s">
        <v>6580</v>
      </c>
      <c r="E362" t="s">
        <v>328</v>
      </c>
      <c r="F362" t="s">
        <v>328</v>
      </c>
      <c r="G362" t="s">
        <v>6581</v>
      </c>
      <c r="H362" t="s">
        <v>6582</v>
      </c>
      <c r="I362" t="s">
        <v>6583</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6584</v>
      </c>
      <c r="AL362">
        <v>7</v>
      </c>
      <c r="AM362" t="s">
        <v>4716</v>
      </c>
      <c r="AN362" t="s">
        <v>334</v>
      </c>
      <c r="AO362" t="s">
        <v>5068</v>
      </c>
      <c r="AP362">
        <v>0</v>
      </c>
      <c r="AQ362" t="s">
        <v>1200</v>
      </c>
      <c r="AR362" t="s">
        <v>1201</v>
      </c>
      <c r="AS362" t="s">
        <v>1202</v>
      </c>
      <c r="AT362" t="s">
        <v>328</v>
      </c>
      <c r="AU362">
        <v>165</v>
      </c>
      <c r="AV362">
        <v>0</v>
      </c>
      <c r="AW362" t="s">
        <v>6569</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5781</v>
      </c>
      <c r="C391" s="207" t="s">
        <v>5782</v>
      </c>
      <c r="D391" s="1" t="s">
        <v>5783</v>
      </c>
      <c r="E391" s="1"/>
      <c r="F391" s="1"/>
      <c r="G391" s="1" t="s">
        <v>5784</v>
      </c>
      <c r="H391" s="1" t="s">
        <v>5785</v>
      </c>
      <c r="I391" s="1" t="s">
        <v>5786</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5787</v>
      </c>
      <c r="AK391" s="1" t="s">
        <v>328</v>
      </c>
      <c r="AL391" s="1">
        <v>19</v>
      </c>
      <c r="AM391" s="1" t="s">
        <v>4762</v>
      </c>
      <c r="AN391" s="1" t="s">
        <v>328</v>
      </c>
      <c r="AO391" s="1" t="s">
        <v>328</v>
      </c>
      <c r="AP391" s="1">
        <v>0</v>
      </c>
      <c r="AQ391" s="1" t="s">
        <v>1140</v>
      </c>
      <c r="AR391" s="1" t="s">
        <v>5788</v>
      </c>
      <c r="AS391" s="1" t="s">
        <v>5789</v>
      </c>
      <c r="AT391" s="1" t="s">
        <v>328</v>
      </c>
      <c r="AU391" s="1">
        <v>10</v>
      </c>
      <c r="AV391" s="1">
        <v>1</v>
      </c>
      <c r="AW391" s="1" t="s">
        <v>5790</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5791</v>
      </c>
      <c r="C392" s="207" t="s">
        <v>5792</v>
      </c>
      <c r="D392" s="1" t="s">
        <v>5793</v>
      </c>
      <c r="E392" s="1"/>
      <c r="F392" s="1"/>
      <c r="G392" s="1" t="s">
        <v>5794</v>
      </c>
      <c r="H392" s="1" t="s">
        <v>5795</v>
      </c>
      <c r="I392" s="1" t="s">
        <v>5796</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5787</v>
      </c>
      <c r="AK392" s="1" t="s">
        <v>328</v>
      </c>
      <c r="AL392" s="1">
        <v>19</v>
      </c>
      <c r="AM392" s="1" t="s">
        <v>4762</v>
      </c>
      <c r="AN392" s="1" t="s">
        <v>328</v>
      </c>
      <c r="AO392" s="1" t="s">
        <v>328</v>
      </c>
      <c r="AP392" s="1">
        <v>0</v>
      </c>
      <c r="AQ392" s="1" t="s">
        <v>1140</v>
      </c>
      <c r="AR392" s="1" t="s">
        <v>5788</v>
      </c>
      <c r="AS392" s="1" t="s">
        <v>5789</v>
      </c>
      <c r="AT392" s="1" t="s">
        <v>328</v>
      </c>
      <c r="AU392" s="1">
        <v>10</v>
      </c>
      <c r="AV392" s="1">
        <v>1</v>
      </c>
      <c r="AW392" s="1" t="s">
        <v>5790</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5797</v>
      </c>
      <c r="C393" s="207" t="s">
        <v>5798</v>
      </c>
      <c r="D393" s="1" t="s">
        <v>5799</v>
      </c>
      <c r="E393" s="1"/>
      <c r="F393" s="1"/>
      <c r="G393" s="1" t="s">
        <v>5800</v>
      </c>
      <c r="H393" s="1" t="s">
        <v>5801</v>
      </c>
      <c r="I393" s="1" t="s">
        <v>5802</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5788</v>
      </c>
      <c r="AS393" s="1" t="s">
        <v>5789</v>
      </c>
      <c r="AT393" s="1" t="s">
        <v>328</v>
      </c>
      <c r="AU393" s="1">
        <v>10</v>
      </c>
      <c r="AV393" s="1">
        <v>1</v>
      </c>
      <c r="AW393" s="1" t="s">
        <v>5790</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5803</v>
      </c>
      <c r="C394" s="207" t="s">
        <v>5804</v>
      </c>
      <c r="D394" s="1" t="s">
        <v>5805</v>
      </c>
      <c r="E394" s="1"/>
      <c r="F394" s="1"/>
      <c r="G394" s="1" t="s">
        <v>5806</v>
      </c>
      <c r="H394" s="1" t="s">
        <v>5807</v>
      </c>
      <c r="I394" s="1" t="s">
        <v>5808</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5809</v>
      </c>
      <c r="AK394" s="1" t="s">
        <v>328</v>
      </c>
      <c r="AL394" s="1">
        <v>19</v>
      </c>
      <c r="AM394" s="1" t="s">
        <v>4762</v>
      </c>
      <c r="AN394" s="1" t="s">
        <v>328</v>
      </c>
      <c r="AO394" s="1" t="s">
        <v>328</v>
      </c>
      <c r="AP394" s="1">
        <v>0</v>
      </c>
      <c r="AQ394" s="1" t="s">
        <v>1140</v>
      </c>
      <c r="AR394" s="1" t="s">
        <v>5788</v>
      </c>
      <c r="AS394" s="1" t="s">
        <v>5789</v>
      </c>
      <c r="AT394" s="1" t="s">
        <v>328</v>
      </c>
      <c r="AU394" s="1">
        <v>10</v>
      </c>
      <c r="AV394" s="1">
        <v>1</v>
      </c>
      <c r="AW394" s="1" t="s">
        <v>5790</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5810</v>
      </c>
      <c r="C395" s="207" t="s">
        <v>5811</v>
      </c>
      <c r="D395" s="1" t="s">
        <v>5812</v>
      </c>
      <c r="E395" s="1"/>
      <c r="F395" s="1"/>
      <c r="G395" s="1" t="s">
        <v>5813</v>
      </c>
      <c r="H395" s="1" t="s">
        <v>5814</v>
      </c>
      <c r="I395" s="1" t="s">
        <v>5815</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5788</v>
      </c>
      <c r="AS395" s="1" t="s">
        <v>5789</v>
      </c>
      <c r="AT395" s="1" t="s">
        <v>328</v>
      </c>
      <c r="AU395" s="1">
        <v>10</v>
      </c>
      <c r="AV395" s="1">
        <v>1</v>
      </c>
      <c r="AW395" s="1" t="s">
        <v>5790</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5816</v>
      </c>
      <c r="C396" s="207" t="s">
        <v>5782</v>
      </c>
      <c r="D396" s="1" t="s">
        <v>5783</v>
      </c>
      <c r="E396" s="1"/>
      <c r="F396" s="1"/>
      <c r="G396" s="1" t="s">
        <v>5817</v>
      </c>
      <c r="H396" s="1" t="s">
        <v>5818</v>
      </c>
      <c r="I396" s="1" t="s">
        <v>5819</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5787</v>
      </c>
      <c r="AK396" s="1" t="s">
        <v>328</v>
      </c>
      <c r="AL396" s="1">
        <v>19</v>
      </c>
      <c r="AM396" s="1" t="s">
        <v>4762</v>
      </c>
      <c r="AN396" s="1" t="s">
        <v>328</v>
      </c>
      <c r="AO396" s="1" t="s">
        <v>328</v>
      </c>
      <c r="AP396" s="1">
        <v>0</v>
      </c>
      <c r="AQ396" s="1" t="s">
        <v>1140</v>
      </c>
      <c r="AR396" s="1" t="s">
        <v>5788</v>
      </c>
      <c r="AS396" s="1" t="s">
        <v>5789</v>
      </c>
      <c r="AT396" s="1" t="s">
        <v>328</v>
      </c>
      <c r="AU396" s="1">
        <v>10</v>
      </c>
      <c r="AV396" s="1">
        <v>1</v>
      </c>
      <c r="AW396" s="1" t="s">
        <v>5790</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5820</v>
      </c>
      <c r="C397" s="207" t="s">
        <v>5782</v>
      </c>
      <c r="D397" s="1" t="s">
        <v>5783</v>
      </c>
      <c r="E397" s="1"/>
      <c r="F397" s="1"/>
      <c r="G397" s="1" t="s">
        <v>5821</v>
      </c>
      <c r="H397" s="1" t="s">
        <v>5822</v>
      </c>
      <c r="I397" s="1" t="s">
        <v>5823</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5787</v>
      </c>
      <c r="AK397" s="1" t="s">
        <v>328</v>
      </c>
      <c r="AL397" s="1">
        <v>19</v>
      </c>
      <c r="AM397" s="1" t="s">
        <v>4762</v>
      </c>
      <c r="AN397" s="1" t="s">
        <v>328</v>
      </c>
      <c r="AO397" s="1" t="s">
        <v>328</v>
      </c>
      <c r="AP397" s="1">
        <v>0</v>
      </c>
      <c r="AQ397" s="1" t="s">
        <v>1140</v>
      </c>
      <c r="AR397" s="1" t="s">
        <v>5788</v>
      </c>
      <c r="AS397" s="1" t="s">
        <v>5789</v>
      </c>
      <c r="AT397" s="1" t="s">
        <v>328</v>
      </c>
      <c r="AU397" s="1">
        <v>10</v>
      </c>
      <c r="AV397" s="1">
        <v>1</v>
      </c>
      <c r="AW397" s="1" t="s">
        <v>5790</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5824</v>
      </c>
      <c r="C398" s="207" t="s">
        <v>5792</v>
      </c>
      <c r="D398" s="1" t="s">
        <v>5793</v>
      </c>
      <c r="E398" s="1"/>
      <c r="F398" s="1"/>
      <c r="G398" s="1" t="s">
        <v>5825</v>
      </c>
      <c r="H398" s="1" t="s">
        <v>5826</v>
      </c>
      <c r="I398" s="1" t="s">
        <v>5827</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5787</v>
      </c>
      <c r="AK398" s="1" t="s">
        <v>328</v>
      </c>
      <c r="AL398" s="1">
        <v>19</v>
      </c>
      <c r="AM398" s="1" t="s">
        <v>4762</v>
      </c>
      <c r="AN398" s="1" t="s">
        <v>328</v>
      </c>
      <c r="AO398" s="1" t="s">
        <v>328</v>
      </c>
      <c r="AP398" s="1">
        <v>0</v>
      </c>
      <c r="AQ398" s="1" t="s">
        <v>1140</v>
      </c>
      <c r="AR398" s="1" t="s">
        <v>5788</v>
      </c>
      <c r="AS398" s="1" t="s">
        <v>5789</v>
      </c>
      <c r="AT398" s="1" t="s">
        <v>328</v>
      </c>
      <c r="AU398" s="1">
        <v>10</v>
      </c>
      <c r="AV398" s="1">
        <v>1</v>
      </c>
      <c r="AW398" s="1" t="s">
        <v>5790</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5828</v>
      </c>
      <c r="C399" s="207" t="s">
        <v>5792</v>
      </c>
      <c r="D399" s="1" t="s">
        <v>5793</v>
      </c>
      <c r="E399" s="1"/>
      <c r="F399" s="1"/>
      <c r="G399" s="1" t="s">
        <v>5829</v>
      </c>
      <c r="H399" s="1" t="s">
        <v>5830</v>
      </c>
      <c r="I399" s="1" t="s">
        <v>5831</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5787</v>
      </c>
      <c r="AK399" s="1" t="s">
        <v>328</v>
      </c>
      <c r="AL399" s="1">
        <v>19</v>
      </c>
      <c r="AM399" s="1" t="s">
        <v>4762</v>
      </c>
      <c r="AN399" s="1" t="s">
        <v>328</v>
      </c>
      <c r="AO399" s="1" t="s">
        <v>328</v>
      </c>
      <c r="AP399" s="1">
        <v>0</v>
      </c>
      <c r="AQ399" s="1" t="s">
        <v>1140</v>
      </c>
      <c r="AR399" s="1" t="s">
        <v>5788</v>
      </c>
      <c r="AS399" s="1" t="s">
        <v>5789</v>
      </c>
      <c r="AT399" s="1" t="s">
        <v>328</v>
      </c>
      <c r="AU399" s="1">
        <v>10</v>
      </c>
      <c r="AV399" s="1">
        <v>1</v>
      </c>
      <c r="AW399" s="1" t="s">
        <v>5790</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5832</v>
      </c>
      <c r="C400" s="207" t="s">
        <v>5804</v>
      </c>
      <c r="D400" s="1" t="s">
        <v>5805</v>
      </c>
      <c r="E400" s="1"/>
      <c r="F400" s="1"/>
      <c r="G400" s="1" t="s">
        <v>5833</v>
      </c>
      <c r="H400" s="1" t="s">
        <v>5834</v>
      </c>
      <c r="I400" s="1" t="s">
        <v>5835</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5809</v>
      </c>
      <c r="AK400" s="1" t="s">
        <v>328</v>
      </c>
      <c r="AL400" s="1">
        <v>19</v>
      </c>
      <c r="AM400" s="1" t="s">
        <v>4762</v>
      </c>
      <c r="AN400" s="1" t="s">
        <v>328</v>
      </c>
      <c r="AO400" s="1" t="s">
        <v>328</v>
      </c>
      <c r="AP400" s="1">
        <v>0</v>
      </c>
      <c r="AQ400" s="1" t="s">
        <v>1140</v>
      </c>
      <c r="AR400" s="1" t="s">
        <v>5788</v>
      </c>
      <c r="AS400" s="1" t="s">
        <v>5789</v>
      </c>
      <c r="AT400" s="1" t="s">
        <v>328</v>
      </c>
      <c r="AU400" s="1">
        <v>10</v>
      </c>
      <c r="AV400" s="1">
        <v>1</v>
      </c>
      <c r="AW400" s="1" t="s">
        <v>5790</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5836</v>
      </c>
      <c r="C401" s="207" t="s">
        <v>5804</v>
      </c>
      <c r="D401" s="1" t="s">
        <v>5805</v>
      </c>
      <c r="E401" s="1"/>
      <c r="F401" s="1"/>
      <c r="G401" s="1" t="s">
        <v>5837</v>
      </c>
      <c r="H401" s="1" t="s">
        <v>5838</v>
      </c>
      <c r="I401" s="1" t="s">
        <v>5839</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5809</v>
      </c>
      <c r="AK401" s="1" t="s">
        <v>328</v>
      </c>
      <c r="AL401" s="1">
        <v>19</v>
      </c>
      <c r="AM401" s="1" t="s">
        <v>4762</v>
      </c>
      <c r="AN401" s="1" t="s">
        <v>328</v>
      </c>
      <c r="AO401" s="1" t="s">
        <v>328</v>
      </c>
      <c r="AP401" s="1">
        <v>0</v>
      </c>
      <c r="AQ401" s="1" t="s">
        <v>1140</v>
      </c>
      <c r="AR401" s="1" t="s">
        <v>5788</v>
      </c>
      <c r="AS401" s="1" t="s">
        <v>5789</v>
      </c>
      <c r="AT401" s="1" t="s">
        <v>328</v>
      </c>
      <c r="AU401" s="1">
        <v>10</v>
      </c>
      <c r="AV401" s="1">
        <v>1</v>
      </c>
      <c r="AW401" s="1" t="s">
        <v>5790</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5840</v>
      </c>
      <c r="C402" s="207" t="s">
        <v>22</v>
      </c>
      <c r="D402" s="1" t="s">
        <v>255</v>
      </c>
      <c r="E402" s="1"/>
      <c r="F402" s="1"/>
      <c r="G402" s="1" t="s">
        <v>5841</v>
      </c>
      <c r="H402" s="1" t="s">
        <v>5842</v>
      </c>
      <c r="I402" s="1" t="s">
        <v>5843</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5844</v>
      </c>
      <c r="AL402" s="1">
        <v>13</v>
      </c>
      <c r="AM402" s="1" t="s">
        <v>4790</v>
      </c>
      <c r="AN402" s="1" t="s">
        <v>4861</v>
      </c>
      <c r="AO402" s="1" t="s">
        <v>5845</v>
      </c>
      <c r="AP402" s="1">
        <v>0</v>
      </c>
      <c r="AQ402" s="1" t="s">
        <v>1130</v>
      </c>
      <c r="AR402" s="1" t="s">
        <v>1154</v>
      </c>
      <c r="AS402" s="1" t="s">
        <v>5846</v>
      </c>
      <c r="AT402" s="1" t="s">
        <v>328</v>
      </c>
      <c r="AU402" s="1">
        <v>55</v>
      </c>
      <c r="AV402" s="1">
        <v>0</v>
      </c>
      <c r="AW402" s="1" t="s">
        <v>5790</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5847</v>
      </c>
      <c r="C403" s="207" t="s">
        <v>121</v>
      </c>
      <c r="D403" s="1" t="s">
        <v>121</v>
      </c>
      <c r="E403" s="1"/>
      <c r="F403" s="1"/>
      <c r="G403" s="1" t="s">
        <v>5848</v>
      </c>
      <c r="H403" s="1" t="s">
        <v>5849</v>
      </c>
      <c r="I403" s="1" t="s">
        <v>5850</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5851</v>
      </c>
      <c r="AK403" s="1" t="s">
        <v>328</v>
      </c>
      <c r="AL403" s="1">
        <v>13</v>
      </c>
      <c r="AM403" s="1" t="s">
        <v>1806</v>
      </c>
      <c r="AN403" s="1" t="s">
        <v>4784</v>
      </c>
      <c r="AO403" s="1" t="s">
        <v>4817</v>
      </c>
      <c r="AP403" s="1">
        <v>0</v>
      </c>
      <c r="AQ403" s="1" t="s">
        <v>5852</v>
      </c>
      <c r="AR403" s="1" t="s">
        <v>1119</v>
      </c>
      <c r="AS403" s="1" t="s">
        <v>1129</v>
      </c>
      <c r="AT403" s="1" t="s">
        <v>328</v>
      </c>
      <c r="AU403" s="1">
        <v>97</v>
      </c>
      <c r="AV403" s="1">
        <v>0</v>
      </c>
      <c r="AW403" s="1" t="s">
        <v>5790</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5853</v>
      </c>
      <c r="C404" s="207" t="s">
        <v>5854</v>
      </c>
      <c r="D404" s="1" t="s">
        <v>3485</v>
      </c>
      <c r="E404" s="1"/>
      <c r="F404" s="1"/>
      <c r="G404" s="1" t="s">
        <v>5855</v>
      </c>
      <c r="H404" s="1" t="s">
        <v>5856</v>
      </c>
      <c r="I404" s="1" t="s">
        <v>5857</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5858</v>
      </c>
      <c r="AK404" s="1" t="s">
        <v>328</v>
      </c>
      <c r="AL404" s="1">
        <v>13</v>
      </c>
      <c r="AM404" s="1" t="s">
        <v>1806</v>
      </c>
      <c r="AN404" s="1" t="s">
        <v>4776</v>
      </c>
      <c r="AO404" s="1" t="s">
        <v>4824</v>
      </c>
      <c r="AP404" s="1">
        <v>0</v>
      </c>
      <c r="AQ404" s="1" t="s">
        <v>5852</v>
      </c>
      <c r="AR404" s="1" t="s">
        <v>1119</v>
      </c>
      <c r="AS404" s="1" t="s">
        <v>1129</v>
      </c>
      <c r="AT404" s="1" t="s">
        <v>328</v>
      </c>
      <c r="AU404" s="1">
        <v>202</v>
      </c>
      <c r="AV404" s="1">
        <v>0</v>
      </c>
      <c r="AW404" s="1" t="s">
        <v>5790</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5859</v>
      </c>
      <c r="C405" s="207" t="s">
        <v>1631</v>
      </c>
      <c r="D405" s="1" t="s">
        <v>1631</v>
      </c>
      <c r="E405" s="1"/>
      <c r="F405" s="1"/>
      <c r="G405" s="1" t="s">
        <v>5860</v>
      </c>
      <c r="H405" s="1" t="s">
        <v>5861</v>
      </c>
      <c r="I405" s="1" t="s">
        <v>5862</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5863</v>
      </c>
      <c r="AK405" s="1" t="s">
        <v>328</v>
      </c>
      <c r="AL405" s="1">
        <v>18</v>
      </c>
      <c r="AM405" s="1" t="s">
        <v>4858</v>
      </c>
      <c r="AN405" s="1" t="s">
        <v>4931</v>
      </c>
      <c r="AO405" s="1" t="s">
        <v>5054</v>
      </c>
      <c r="AP405" s="1">
        <v>0</v>
      </c>
      <c r="AQ405" s="1" t="s">
        <v>1140</v>
      </c>
      <c r="AR405" s="1" t="s">
        <v>5864</v>
      </c>
      <c r="AS405" s="1" t="s">
        <v>5789</v>
      </c>
      <c r="AT405" s="1" t="s">
        <v>328</v>
      </c>
      <c r="AU405" s="1">
        <v>149</v>
      </c>
      <c r="AV405" s="1">
        <v>0</v>
      </c>
      <c r="AW405" s="1" t="s">
        <v>5790</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5865</v>
      </c>
      <c r="C406" s="207" t="s">
        <v>156</v>
      </c>
      <c r="D406" s="1" t="s">
        <v>156</v>
      </c>
      <c r="E406" s="1"/>
      <c r="F406" s="1"/>
      <c r="G406" s="1" t="s">
        <v>5866</v>
      </c>
      <c r="H406" s="1" t="s">
        <v>5867</v>
      </c>
      <c r="I406" s="1" t="s">
        <v>5868</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5869</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5790</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5870</v>
      </c>
      <c r="C407" s="207" t="s">
        <v>168</v>
      </c>
      <c r="D407" s="1" t="s">
        <v>168</v>
      </c>
      <c r="E407" s="1"/>
      <c r="F407" s="1"/>
      <c r="G407" s="1" t="s">
        <v>5871</v>
      </c>
      <c r="H407" s="1" t="s">
        <v>5872</v>
      </c>
      <c r="I407" s="1" t="s">
        <v>5873</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5851</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5790</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5874</v>
      </c>
      <c r="C408" s="207" t="s">
        <v>5854</v>
      </c>
      <c r="D408" s="1" t="s">
        <v>3485</v>
      </c>
      <c r="E408" s="1"/>
      <c r="F408" s="1"/>
      <c r="G408" s="1" t="s">
        <v>5875</v>
      </c>
      <c r="H408" s="1" t="s">
        <v>5876</v>
      </c>
      <c r="I408" s="1" t="s">
        <v>5877</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5858</v>
      </c>
      <c r="AK408" s="1" t="s">
        <v>328</v>
      </c>
      <c r="AL408" s="1">
        <v>13</v>
      </c>
      <c r="AM408" s="1" t="s">
        <v>1806</v>
      </c>
      <c r="AN408" s="1" t="s">
        <v>4776</v>
      </c>
      <c r="AO408" s="1" t="s">
        <v>4824</v>
      </c>
      <c r="AP408" s="1">
        <v>0</v>
      </c>
      <c r="AQ408" s="1" t="s">
        <v>5852</v>
      </c>
      <c r="AR408" s="1" t="s">
        <v>1119</v>
      </c>
      <c r="AS408" s="1" t="s">
        <v>1129</v>
      </c>
      <c r="AT408" s="1" t="s">
        <v>328</v>
      </c>
      <c r="AU408" s="1">
        <v>202</v>
      </c>
      <c r="AV408" s="1">
        <v>0</v>
      </c>
      <c r="AW408" s="1" t="s">
        <v>5790</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5878</v>
      </c>
      <c r="C409" s="207" t="s">
        <v>1631</v>
      </c>
      <c r="D409" s="1" t="s">
        <v>1631</v>
      </c>
      <c r="E409" s="1"/>
      <c r="F409" s="1"/>
      <c r="G409" s="1" t="s">
        <v>5879</v>
      </c>
      <c r="H409" s="1" t="s">
        <v>5880</v>
      </c>
      <c r="I409" s="1" t="s">
        <v>5881</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5863</v>
      </c>
      <c r="AK409" s="1" t="s">
        <v>328</v>
      </c>
      <c r="AL409" s="1">
        <v>18</v>
      </c>
      <c r="AM409" s="1" t="s">
        <v>4858</v>
      </c>
      <c r="AN409" s="1" t="s">
        <v>4931</v>
      </c>
      <c r="AO409" s="1" t="s">
        <v>5054</v>
      </c>
      <c r="AP409" s="1">
        <v>0</v>
      </c>
      <c r="AQ409" s="1" t="s">
        <v>1140</v>
      </c>
      <c r="AR409" s="1" t="s">
        <v>5864</v>
      </c>
      <c r="AS409" s="1" t="s">
        <v>5789</v>
      </c>
      <c r="AT409" s="1" t="s">
        <v>328</v>
      </c>
      <c r="AU409" s="1">
        <v>149</v>
      </c>
      <c r="AV409" s="1">
        <v>0</v>
      </c>
      <c r="AW409" s="1" t="s">
        <v>5790</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5882</v>
      </c>
      <c r="C410" s="207" t="s">
        <v>156</v>
      </c>
      <c r="D410" s="1" t="s">
        <v>156</v>
      </c>
      <c r="E410" s="1"/>
      <c r="F410" s="1"/>
      <c r="G410" s="1" t="s">
        <v>5883</v>
      </c>
      <c r="H410" s="1" t="s">
        <v>5884</v>
      </c>
      <c r="I410" s="1" t="s">
        <v>5885</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5869</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5790</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5886</v>
      </c>
      <c r="C411" s="207" t="s">
        <v>168</v>
      </c>
      <c r="D411" s="1" t="s">
        <v>168</v>
      </c>
      <c r="E411" s="1"/>
      <c r="F411" s="1"/>
      <c r="G411" s="1" t="s">
        <v>5887</v>
      </c>
      <c r="H411" s="1" t="s">
        <v>5888</v>
      </c>
      <c r="I411" s="1" t="s">
        <v>5889</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5851</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5790</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5890</v>
      </c>
      <c r="C412" s="207" t="s">
        <v>121</v>
      </c>
      <c r="D412" s="1" t="s">
        <v>121</v>
      </c>
      <c r="E412" s="1"/>
      <c r="F412" s="1"/>
      <c r="G412" s="1" t="s">
        <v>5891</v>
      </c>
      <c r="H412" s="1" t="s">
        <v>5892</v>
      </c>
      <c r="I412" s="1" t="s">
        <v>5893</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5858</v>
      </c>
      <c r="AK412" s="1" t="s">
        <v>328</v>
      </c>
      <c r="AL412" s="1">
        <v>13</v>
      </c>
      <c r="AM412" s="1" t="s">
        <v>1806</v>
      </c>
      <c r="AN412" s="1" t="s">
        <v>4784</v>
      </c>
      <c r="AO412" s="1" t="s">
        <v>4817</v>
      </c>
      <c r="AP412" s="1">
        <v>0</v>
      </c>
      <c r="AQ412" s="1" t="s">
        <v>5852</v>
      </c>
      <c r="AR412" s="1" t="s">
        <v>1119</v>
      </c>
      <c r="AS412" s="1" t="s">
        <v>1129</v>
      </c>
      <c r="AT412" s="1" t="s">
        <v>328</v>
      </c>
      <c r="AU412" s="1">
        <v>97</v>
      </c>
      <c r="AV412" s="1">
        <v>0</v>
      </c>
      <c r="AW412" s="1" t="s">
        <v>5790</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5894</v>
      </c>
      <c r="C413" s="207" t="s">
        <v>5854</v>
      </c>
      <c r="D413" s="1" t="s">
        <v>3485</v>
      </c>
      <c r="E413" s="1"/>
      <c r="F413" s="1"/>
      <c r="G413" s="1" t="s">
        <v>5895</v>
      </c>
      <c r="H413" s="1" t="s">
        <v>5896</v>
      </c>
      <c r="I413" s="1" t="s">
        <v>5897</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5863</v>
      </c>
      <c r="AK413" s="1" t="s">
        <v>328</v>
      </c>
      <c r="AL413" s="1">
        <v>13</v>
      </c>
      <c r="AM413" s="1" t="s">
        <v>1806</v>
      </c>
      <c r="AN413" s="1" t="s">
        <v>4776</v>
      </c>
      <c r="AO413" s="1" t="s">
        <v>4824</v>
      </c>
      <c r="AP413" s="1">
        <v>0</v>
      </c>
      <c r="AQ413" s="1" t="s">
        <v>5852</v>
      </c>
      <c r="AR413" s="1" t="s">
        <v>1119</v>
      </c>
      <c r="AS413" s="1" t="s">
        <v>1129</v>
      </c>
      <c r="AT413" s="1" t="s">
        <v>328</v>
      </c>
      <c r="AU413" s="1">
        <v>202</v>
      </c>
      <c r="AV413" s="1">
        <v>0</v>
      </c>
      <c r="AW413" s="1" t="s">
        <v>5790</v>
      </c>
      <c r="AX413" s="1" t="s">
        <v>1723</v>
      </c>
      <c r="AY413" s="1">
        <v>4</v>
      </c>
      <c r="AZ413" s="1">
        <v>0</v>
      </c>
      <c r="BA413" s="1" t="s">
        <v>328</v>
      </c>
      <c r="BB413" s="1" t="s">
        <v>328</v>
      </c>
      <c r="BC413" s="1" t="s">
        <v>328</v>
      </c>
      <c r="BD413" s="1">
        <v>0</v>
      </c>
      <c r="BE413" s="1"/>
      <c r="BH413">
        <f>COUNTIF(Dropdowns!$I:$AF,C413)</f>
        <v>0</v>
      </c>
    </row>
    <row r="414" spans="1:60" x14ac:dyDescent="0.3">
      <c r="A414" s="1">
        <v>9024</v>
      </c>
      <c r="B414" s="1" t="s">
        <v>5898</v>
      </c>
      <c r="C414" s="207" t="s">
        <v>1631</v>
      </c>
      <c r="D414" s="1" t="s">
        <v>1631</v>
      </c>
      <c r="E414" s="1"/>
      <c r="F414" s="1"/>
      <c r="G414" s="1" t="s">
        <v>5899</v>
      </c>
      <c r="H414" s="1" t="s">
        <v>5900</v>
      </c>
      <c r="I414" s="1" t="s">
        <v>5901</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5869</v>
      </c>
      <c r="AK414" s="1" t="s">
        <v>328</v>
      </c>
      <c r="AL414" s="1">
        <v>18</v>
      </c>
      <c r="AM414" s="1" t="s">
        <v>4858</v>
      </c>
      <c r="AN414" s="1" t="s">
        <v>4931</v>
      </c>
      <c r="AO414" s="1" t="s">
        <v>5054</v>
      </c>
      <c r="AP414" s="1">
        <v>0</v>
      </c>
      <c r="AQ414" s="1" t="s">
        <v>1140</v>
      </c>
      <c r="AR414" s="1" t="s">
        <v>5864</v>
      </c>
      <c r="AS414" s="1" t="s">
        <v>5789</v>
      </c>
      <c r="AT414" s="1" t="s">
        <v>328</v>
      </c>
      <c r="AU414" s="1">
        <v>149</v>
      </c>
      <c r="AV414" s="1">
        <v>0</v>
      </c>
      <c r="AW414" s="1" t="s">
        <v>5790</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5902</v>
      </c>
      <c r="C415" s="207" t="s">
        <v>168</v>
      </c>
      <c r="D415" s="1" t="s">
        <v>168</v>
      </c>
      <c r="E415" s="1"/>
      <c r="F415" s="1"/>
      <c r="G415" s="1" t="s">
        <v>5903</v>
      </c>
      <c r="H415" s="1" t="s">
        <v>5904</v>
      </c>
      <c r="I415" s="1" t="s">
        <v>5905</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5851</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5790</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5906</v>
      </c>
      <c r="C416" s="207" t="s">
        <v>121</v>
      </c>
      <c r="D416" s="1" t="s">
        <v>121</v>
      </c>
      <c r="E416" s="1"/>
      <c r="F416" s="1"/>
      <c r="G416" s="1" t="s">
        <v>5907</v>
      </c>
      <c r="H416" s="1" t="s">
        <v>5908</v>
      </c>
      <c r="I416" s="1" t="s">
        <v>5909</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5858</v>
      </c>
      <c r="AK416" s="1" t="s">
        <v>328</v>
      </c>
      <c r="AL416" s="1">
        <v>13</v>
      </c>
      <c r="AM416" s="1" t="s">
        <v>1806</v>
      </c>
      <c r="AN416" s="1" t="s">
        <v>4784</v>
      </c>
      <c r="AO416" s="1" t="s">
        <v>4817</v>
      </c>
      <c r="AP416" s="1">
        <v>0</v>
      </c>
      <c r="AQ416" s="1" t="s">
        <v>5852</v>
      </c>
      <c r="AR416" s="1" t="s">
        <v>1119</v>
      </c>
      <c r="AS416" s="1" t="s">
        <v>1129</v>
      </c>
      <c r="AT416" s="1" t="s">
        <v>328</v>
      </c>
      <c r="AU416" s="1">
        <v>97</v>
      </c>
      <c r="AV416" s="1">
        <v>0</v>
      </c>
      <c r="AW416" s="1" t="s">
        <v>5790</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5910</v>
      </c>
      <c r="C417" s="207" t="s">
        <v>5854</v>
      </c>
      <c r="D417" s="1" t="s">
        <v>3485</v>
      </c>
      <c r="E417" s="1"/>
      <c r="F417" s="1"/>
      <c r="G417" s="1" t="s">
        <v>5911</v>
      </c>
      <c r="H417" s="1" t="s">
        <v>5912</v>
      </c>
      <c r="I417" s="1" t="s">
        <v>5913</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5863</v>
      </c>
      <c r="AK417" s="1" t="s">
        <v>328</v>
      </c>
      <c r="AL417" s="1">
        <v>13</v>
      </c>
      <c r="AM417" s="1" t="s">
        <v>1806</v>
      </c>
      <c r="AN417" s="1" t="s">
        <v>4776</v>
      </c>
      <c r="AO417" s="1" t="s">
        <v>4824</v>
      </c>
      <c r="AP417" s="1">
        <v>0</v>
      </c>
      <c r="AQ417" s="1" t="s">
        <v>5852</v>
      </c>
      <c r="AR417" s="1" t="s">
        <v>1119</v>
      </c>
      <c r="AS417" s="1" t="s">
        <v>1129</v>
      </c>
      <c r="AT417" s="1" t="s">
        <v>328</v>
      </c>
      <c r="AU417" s="1">
        <v>202</v>
      </c>
      <c r="AV417" s="1">
        <v>0</v>
      </c>
      <c r="AW417" s="1" t="s">
        <v>5790</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5914</v>
      </c>
      <c r="C418" s="207" t="s">
        <v>156</v>
      </c>
      <c r="D418" s="1" t="s">
        <v>156</v>
      </c>
      <c r="E418" s="1"/>
      <c r="F418" s="1"/>
      <c r="G418" s="1" t="s">
        <v>5915</v>
      </c>
      <c r="H418" s="1" t="s">
        <v>5916</v>
      </c>
      <c r="I418" s="1" t="s">
        <v>5917</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5869</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5790</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5918</v>
      </c>
      <c r="C419" s="207" t="s">
        <v>168</v>
      </c>
      <c r="D419" s="1" t="s">
        <v>168</v>
      </c>
      <c r="E419" s="1"/>
      <c r="F419" s="1"/>
      <c r="G419" s="1" t="s">
        <v>5919</v>
      </c>
      <c r="H419" s="1" t="s">
        <v>5920</v>
      </c>
      <c r="I419" s="1" t="s">
        <v>5921</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5851</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5790</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5922</v>
      </c>
      <c r="C420" s="207" t="s">
        <v>121</v>
      </c>
      <c r="D420" s="1" t="s">
        <v>121</v>
      </c>
      <c r="E420" s="1"/>
      <c r="F420" s="1"/>
      <c r="G420" s="1" t="s">
        <v>5923</v>
      </c>
      <c r="H420" s="1" t="s">
        <v>5924</v>
      </c>
      <c r="I420" s="1" t="s">
        <v>5925</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5858</v>
      </c>
      <c r="AK420" s="1" t="s">
        <v>328</v>
      </c>
      <c r="AL420" s="1">
        <v>13</v>
      </c>
      <c r="AM420" s="1" t="s">
        <v>1806</v>
      </c>
      <c r="AN420" s="1" t="s">
        <v>4784</v>
      </c>
      <c r="AO420" s="1" t="s">
        <v>4817</v>
      </c>
      <c r="AP420" s="1">
        <v>0</v>
      </c>
      <c r="AQ420" s="1" t="s">
        <v>5852</v>
      </c>
      <c r="AR420" s="1" t="s">
        <v>1119</v>
      </c>
      <c r="AS420" s="1" t="s">
        <v>1129</v>
      </c>
      <c r="AT420" s="1" t="s">
        <v>328</v>
      </c>
      <c r="AU420" s="1">
        <v>97</v>
      </c>
      <c r="AV420" s="1">
        <v>0</v>
      </c>
      <c r="AW420" s="1" t="s">
        <v>5790</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5926</v>
      </c>
      <c r="C421" s="207" t="s">
        <v>1631</v>
      </c>
      <c r="D421" s="1" t="s">
        <v>1631</v>
      </c>
      <c r="E421" s="1"/>
      <c r="F421" s="1"/>
      <c r="G421" s="1" t="s">
        <v>5927</v>
      </c>
      <c r="H421" s="1" t="s">
        <v>5928</v>
      </c>
      <c r="I421" s="1" t="s">
        <v>5929</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5863</v>
      </c>
      <c r="AK421" s="1" t="s">
        <v>328</v>
      </c>
      <c r="AL421" s="1">
        <v>18</v>
      </c>
      <c r="AM421" s="1" t="s">
        <v>4858</v>
      </c>
      <c r="AN421" s="1" t="s">
        <v>4931</v>
      </c>
      <c r="AO421" s="1" t="s">
        <v>5054</v>
      </c>
      <c r="AP421" s="1">
        <v>0</v>
      </c>
      <c r="AQ421" s="1" t="s">
        <v>1140</v>
      </c>
      <c r="AR421" s="1" t="s">
        <v>5864</v>
      </c>
      <c r="AS421" s="1" t="s">
        <v>5789</v>
      </c>
      <c r="AT421" s="1" t="s">
        <v>328</v>
      </c>
      <c r="AU421" s="1">
        <v>149</v>
      </c>
      <c r="AV421" s="1">
        <v>0</v>
      </c>
      <c r="AW421" s="1" t="s">
        <v>5790</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5930</v>
      </c>
      <c r="C422" s="207" t="s">
        <v>156</v>
      </c>
      <c r="D422" s="1" t="s">
        <v>156</v>
      </c>
      <c r="E422" s="1"/>
      <c r="F422" s="1"/>
      <c r="G422" s="1" t="s">
        <v>5931</v>
      </c>
      <c r="H422" s="1" t="s">
        <v>5932</v>
      </c>
      <c r="I422" s="1" t="s">
        <v>5933</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5869</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5790</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5934</v>
      </c>
      <c r="C423" s="207" t="s">
        <v>233</v>
      </c>
      <c r="D423" s="1" t="s">
        <v>233</v>
      </c>
      <c r="E423" s="1"/>
      <c r="F423" s="1"/>
      <c r="G423" s="1" t="s">
        <v>5935</v>
      </c>
      <c r="H423" s="1" t="s">
        <v>5936</v>
      </c>
      <c r="I423" s="1" t="s">
        <v>5937</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5938</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5790</v>
      </c>
      <c r="AX423" s="1" t="s">
        <v>331</v>
      </c>
      <c r="AY423" s="1">
        <v>5</v>
      </c>
      <c r="AZ423" s="1">
        <v>0</v>
      </c>
      <c r="BA423" s="1" t="s">
        <v>328</v>
      </c>
      <c r="BB423" s="1" t="s">
        <v>328</v>
      </c>
      <c r="BC423" s="1" t="s">
        <v>328</v>
      </c>
      <c r="BD423" s="1">
        <v>0</v>
      </c>
      <c r="BE423" s="1"/>
      <c r="BH423">
        <f>COUNTIF(Dropdowns!$I:$AF,C423)</f>
        <v>1</v>
      </c>
    </row>
    <row r="424" spans="1:60" x14ac:dyDescent="0.3">
      <c r="A424" s="1">
        <v>9035</v>
      </c>
      <c r="B424" s="1" t="s">
        <v>5939</v>
      </c>
      <c r="C424" s="207" t="s">
        <v>232</v>
      </c>
      <c r="D424" s="1" t="s">
        <v>232</v>
      </c>
      <c r="E424" s="1"/>
      <c r="F424" s="1"/>
      <c r="G424" s="1" t="s">
        <v>5940</v>
      </c>
      <c r="H424" s="1" t="s">
        <v>5941</v>
      </c>
      <c r="I424" s="1" t="s">
        <v>5942</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5943</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5790</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5944</v>
      </c>
      <c r="C425" s="207" t="s">
        <v>5945</v>
      </c>
      <c r="D425" s="1" t="s">
        <v>5945</v>
      </c>
      <c r="E425" s="1"/>
      <c r="F425" s="1"/>
      <c r="G425" s="1" t="s">
        <v>5946</v>
      </c>
      <c r="H425" s="1" t="s">
        <v>5947</v>
      </c>
      <c r="I425" s="1" t="s">
        <v>5948</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5949</v>
      </c>
      <c r="AK425" s="1" t="s">
        <v>328</v>
      </c>
      <c r="AL425" s="1">
        <v>13</v>
      </c>
      <c r="AM425" s="1" t="s">
        <v>4790</v>
      </c>
      <c r="AN425" s="1" t="s">
        <v>4861</v>
      </c>
      <c r="AO425" s="1" t="s">
        <v>4862</v>
      </c>
      <c r="AP425" s="1">
        <v>0</v>
      </c>
      <c r="AQ425" s="1" t="s">
        <v>1130</v>
      </c>
      <c r="AR425" s="1" t="s">
        <v>1154</v>
      </c>
      <c r="AS425" s="1" t="s">
        <v>5846</v>
      </c>
      <c r="AT425" s="1" t="s">
        <v>328</v>
      </c>
      <c r="AU425" s="1">
        <v>55</v>
      </c>
      <c r="AV425" s="1">
        <v>0</v>
      </c>
      <c r="AW425" s="1" t="s">
        <v>5790</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5950</v>
      </c>
      <c r="C426" s="207" t="s">
        <v>5951</v>
      </c>
      <c r="D426" s="1" t="s">
        <v>5951</v>
      </c>
      <c r="E426" s="1"/>
      <c r="F426" s="1"/>
      <c r="G426" s="1" t="s">
        <v>5952</v>
      </c>
      <c r="H426" s="1" t="s">
        <v>5953</v>
      </c>
      <c r="I426" s="1" t="s">
        <v>5954</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5955</v>
      </c>
      <c r="AK426" s="1" t="s">
        <v>328</v>
      </c>
      <c r="AL426" s="1">
        <v>13</v>
      </c>
      <c r="AM426" s="1" t="s">
        <v>4719</v>
      </c>
      <c r="AN426" s="1" t="s">
        <v>4864</v>
      </c>
      <c r="AO426" s="1" t="s">
        <v>4867</v>
      </c>
      <c r="AP426" s="1">
        <v>0</v>
      </c>
      <c r="AQ426" s="1" t="s">
        <v>5956</v>
      </c>
      <c r="AR426" s="1" t="s">
        <v>5956</v>
      </c>
      <c r="AS426" s="1" t="s">
        <v>1154</v>
      </c>
      <c r="AT426" s="1" t="s">
        <v>328</v>
      </c>
      <c r="AU426" s="1">
        <v>57</v>
      </c>
      <c r="AV426" s="1">
        <v>0</v>
      </c>
      <c r="AW426" s="1" t="s">
        <v>5790</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5957</v>
      </c>
      <c r="C427" s="207" t="s">
        <v>5958</v>
      </c>
      <c r="D427" s="1" t="s">
        <v>5958</v>
      </c>
      <c r="E427" s="1"/>
      <c r="F427" s="1"/>
      <c r="G427" s="1" t="s">
        <v>5959</v>
      </c>
      <c r="H427" s="1" t="s">
        <v>5960</v>
      </c>
      <c r="I427" s="1" t="s">
        <v>5961</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5962</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5790</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5963</v>
      </c>
      <c r="C428" s="207" t="s">
        <v>5964</v>
      </c>
      <c r="D428" s="1" t="s">
        <v>5964</v>
      </c>
      <c r="E428" s="1"/>
      <c r="F428" s="1"/>
      <c r="G428" s="1" t="s">
        <v>5965</v>
      </c>
      <c r="H428" s="1" t="s">
        <v>5966</v>
      </c>
      <c r="I428" s="1" t="s">
        <v>5967</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5968</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5790</v>
      </c>
      <c r="AX428" s="1" t="s">
        <v>331</v>
      </c>
      <c r="AY428" s="1">
        <v>5</v>
      </c>
      <c r="AZ428" s="1">
        <v>0</v>
      </c>
      <c r="BA428" s="1" t="s">
        <v>328</v>
      </c>
      <c r="BB428" s="1" t="s">
        <v>328</v>
      </c>
      <c r="BC428" s="1" t="s">
        <v>328</v>
      </c>
      <c r="BD428" s="1">
        <v>0</v>
      </c>
      <c r="BE428" s="1"/>
      <c r="BH428">
        <f>COUNTIF(Dropdowns!$I:$AF,C428)</f>
        <v>0</v>
      </c>
    </row>
    <row r="429" spans="1:60" x14ac:dyDescent="0.3">
      <c r="A429" s="1">
        <v>9040</v>
      </c>
      <c r="B429" s="1" t="s">
        <v>5969</v>
      </c>
      <c r="C429" s="207" t="s">
        <v>22</v>
      </c>
      <c r="D429" s="1" t="s">
        <v>5945</v>
      </c>
      <c r="E429" s="1"/>
      <c r="F429" s="1"/>
      <c r="G429" s="1" t="s">
        <v>5970</v>
      </c>
      <c r="H429" s="1" t="s">
        <v>5971</v>
      </c>
      <c r="I429" s="1" t="s">
        <v>5972</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5973</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5790</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5974</v>
      </c>
      <c r="C430" s="207" t="s">
        <v>22</v>
      </c>
      <c r="D430" s="1" t="s">
        <v>5945</v>
      </c>
      <c r="E430" s="1"/>
      <c r="F430" s="1"/>
      <c r="G430" s="1" t="s">
        <v>5975</v>
      </c>
      <c r="H430" s="1" t="s">
        <v>5976</v>
      </c>
      <c r="I430" s="1" t="s">
        <v>5977</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5978</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5790</v>
      </c>
      <c r="AX430" s="1" t="s">
        <v>331</v>
      </c>
      <c r="AY430" s="1">
        <v>5</v>
      </c>
      <c r="AZ430" s="1">
        <v>0</v>
      </c>
      <c r="BA430" s="1" t="s">
        <v>328</v>
      </c>
      <c r="BB430" s="1" t="s">
        <v>328</v>
      </c>
      <c r="BC430" s="1" t="s">
        <v>328</v>
      </c>
      <c r="BD430" s="1">
        <v>0</v>
      </c>
      <c r="BE430" s="1"/>
      <c r="BH430">
        <f>COUNTIF(Dropdowns!$I:$AF,C430)</f>
        <v>1</v>
      </c>
    </row>
    <row r="431" spans="1:60" x14ac:dyDescent="0.3">
      <c r="A431" s="1">
        <v>9042</v>
      </c>
      <c r="B431" s="1" t="s">
        <v>5979</v>
      </c>
      <c r="C431" s="207" t="s">
        <v>22</v>
      </c>
      <c r="D431" s="1" t="s">
        <v>5945</v>
      </c>
      <c r="E431" s="1"/>
      <c r="F431" s="1"/>
      <c r="G431" s="1" t="s">
        <v>5980</v>
      </c>
      <c r="H431" s="1" t="s">
        <v>5981</v>
      </c>
      <c r="I431" s="1" t="s">
        <v>5982</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5978</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5790</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5983</v>
      </c>
      <c r="C432" s="207" t="s">
        <v>22</v>
      </c>
      <c r="D432" s="1" t="s">
        <v>5945</v>
      </c>
      <c r="E432" s="1"/>
      <c r="F432" s="1"/>
      <c r="G432" s="1" t="s">
        <v>5984</v>
      </c>
      <c r="H432" s="1" t="s">
        <v>5985</v>
      </c>
      <c r="I432" s="1" t="s">
        <v>5986</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5978</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5790</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5987</v>
      </c>
      <c r="C433" s="207" t="s">
        <v>98</v>
      </c>
      <c r="D433" s="1" t="s">
        <v>5988</v>
      </c>
      <c r="E433" s="1"/>
      <c r="F433" s="1"/>
      <c r="G433" s="1" t="s">
        <v>5989</v>
      </c>
      <c r="H433" s="1" t="s">
        <v>5990</v>
      </c>
      <c r="I433" s="1" t="s">
        <v>5991</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5992</v>
      </c>
      <c r="AK433" s="1" t="s">
        <v>328</v>
      </c>
      <c r="AL433" s="1">
        <v>13</v>
      </c>
      <c r="AM433" s="1" t="s">
        <v>4719</v>
      </c>
      <c r="AN433" s="1" t="s">
        <v>4747</v>
      </c>
      <c r="AO433" s="1" t="s">
        <v>4799</v>
      </c>
      <c r="AP433" s="1">
        <v>0</v>
      </c>
      <c r="AQ433" s="1" t="s">
        <v>1154</v>
      </c>
      <c r="AR433" s="1" t="s">
        <v>5993</v>
      </c>
      <c r="AS433" s="1" t="s">
        <v>5993</v>
      </c>
      <c r="AT433" s="1" t="s">
        <v>328</v>
      </c>
      <c r="AU433" s="1">
        <v>54</v>
      </c>
      <c r="AV433" s="1">
        <v>0</v>
      </c>
      <c r="AW433" s="1" t="s">
        <v>5790</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5994</v>
      </c>
      <c r="C434" s="207" t="s">
        <v>5995</v>
      </c>
      <c r="D434" s="1" t="s">
        <v>5996</v>
      </c>
      <c r="E434" s="1"/>
      <c r="F434" s="1"/>
      <c r="G434" s="1" t="s">
        <v>5997</v>
      </c>
      <c r="H434" s="1" t="s">
        <v>5998</v>
      </c>
      <c r="I434" s="1" t="s">
        <v>5999</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5992</v>
      </c>
      <c r="AK434" s="1" t="s">
        <v>328</v>
      </c>
      <c r="AL434" s="1">
        <v>13</v>
      </c>
      <c r="AM434" s="1" t="s">
        <v>4719</v>
      </c>
      <c r="AN434" s="1" t="s">
        <v>4747</v>
      </c>
      <c r="AO434" s="1" t="s">
        <v>4799</v>
      </c>
      <c r="AP434" s="1">
        <v>0</v>
      </c>
      <c r="AQ434" s="1" t="s">
        <v>1154</v>
      </c>
      <c r="AR434" s="1" t="s">
        <v>5993</v>
      </c>
      <c r="AS434" s="1" t="s">
        <v>5993</v>
      </c>
      <c r="AT434" s="1" t="s">
        <v>328</v>
      </c>
      <c r="AU434" s="1">
        <v>54</v>
      </c>
      <c r="AV434" s="1">
        <v>0</v>
      </c>
      <c r="AW434" s="1" t="s">
        <v>5790</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6000</v>
      </c>
      <c r="C435" s="207" t="s">
        <v>6001</v>
      </c>
      <c r="D435" s="1" t="s">
        <v>6002</v>
      </c>
      <c r="E435" s="1"/>
      <c r="F435" s="1"/>
      <c r="G435" s="1" t="s">
        <v>6003</v>
      </c>
      <c r="H435" s="1" t="s">
        <v>6004</v>
      </c>
      <c r="I435" s="1" t="s">
        <v>6005</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5992</v>
      </c>
      <c r="AK435" s="1" t="s">
        <v>328</v>
      </c>
      <c r="AL435" s="1">
        <v>13</v>
      </c>
      <c r="AM435" s="1" t="s">
        <v>4719</v>
      </c>
      <c r="AN435" s="1" t="s">
        <v>4747</v>
      </c>
      <c r="AO435" s="1" t="s">
        <v>4799</v>
      </c>
      <c r="AP435" s="1">
        <v>0</v>
      </c>
      <c r="AQ435" s="1" t="s">
        <v>1154</v>
      </c>
      <c r="AR435" s="1" t="s">
        <v>5993</v>
      </c>
      <c r="AS435" s="1" t="s">
        <v>5993</v>
      </c>
      <c r="AT435" s="1" t="s">
        <v>328</v>
      </c>
      <c r="AU435" s="1">
        <v>54</v>
      </c>
      <c r="AV435" s="1">
        <v>0</v>
      </c>
      <c r="AW435" s="1" t="s">
        <v>5790</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6006</v>
      </c>
      <c r="C436" s="207" t="s">
        <v>6007</v>
      </c>
      <c r="D436" s="1" t="s">
        <v>6008</v>
      </c>
      <c r="E436" s="1"/>
      <c r="F436" s="1"/>
      <c r="G436" s="1" t="s">
        <v>6009</v>
      </c>
      <c r="H436" s="1" t="s">
        <v>6010</v>
      </c>
      <c r="I436" s="1" t="s">
        <v>6011</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5992</v>
      </c>
      <c r="AK436" s="1" t="s">
        <v>328</v>
      </c>
      <c r="AL436" s="1">
        <v>13</v>
      </c>
      <c r="AM436" s="1" t="s">
        <v>4719</v>
      </c>
      <c r="AN436" s="1" t="s">
        <v>4747</v>
      </c>
      <c r="AO436" s="1" t="s">
        <v>4799</v>
      </c>
      <c r="AP436" s="1">
        <v>0</v>
      </c>
      <c r="AQ436" s="1" t="s">
        <v>1154</v>
      </c>
      <c r="AR436" s="1" t="s">
        <v>5993</v>
      </c>
      <c r="AS436" s="1" t="s">
        <v>5993</v>
      </c>
      <c r="AT436" s="1" t="s">
        <v>328</v>
      </c>
      <c r="AU436" s="1">
        <v>54</v>
      </c>
      <c r="AV436" s="1">
        <v>0</v>
      </c>
      <c r="AW436" s="1" t="s">
        <v>5790</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6012</v>
      </c>
      <c r="C437" s="207" t="s">
        <v>22</v>
      </c>
      <c r="D437" s="1" t="s">
        <v>6013</v>
      </c>
      <c r="E437" s="1"/>
      <c r="F437" s="1"/>
      <c r="G437" s="1" t="s">
        <v>6014</v>
      </c>
      <c r="H437" s="1" t="s">
        <v>6015</v>
      </c>
      <c r="I437" s="1" t="s">
        <v>6016</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6017</v>
      </c>
      <c r="AK437" s="1" t="s">
        <v>328</v>
      </c>
      <c r="AL437" s="1">
        <v>13</v>
      </c>
      <c r="AM437" s="1" t="s">
        <v>4790</v>
      </c>
      <c r="AN437" s="1" t="s">
        <v>4861</v>
      </c>
      <c r="AO437" s="1" t="s">
        <v>4862</v>
      </c>
      <c r="AP437" s="1">
        <v>0</v>
      </c>
      <c r="AQ437" s="1" t="s">
        <v>1130</v>
      </c>
      <c r="AR437" s="1" t="s">
        <v>1154</v>
      </c>
      <c r="AS437" s="1" t="s">
        <v>5846</v>
      </c>
      <c r="AT437" s="1" t="s">
        <v>328</v>
      </c>
      <c r="AU437" s="1">
        <v>55</v>
      </c>
      <c r="AV437" s="1">
        <v>0</v>
      </c>
      <c r="AW437" s="1" t="s">
        <v>5790</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6018</v>
      </c>
      <c r="C438" s="207" t="s">
        <v>6019</v>
      </c>
      <c r="D438" s="1" t="s">
        <v>6019</v>
      </c>
      <c r="E438" s="1"/>
      <c r="F438" s="1"/>
      <c r="G438" s="1" t="s">
        <v>6020</v>
      </c>
      <c r="H438" s="1" t="s">
        <v>6021</v>
      </c>
      <c r="I438" s="1" t="s">
        <v>6022</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6023</v>
      </c>
      <c r="AK438" s="1" t="s">
        <v>328</v>
      </c>
      <c r="AL438" s="1">
        <v>13</v>
      </c>
      <c r="AM438" s="1" t="s">
        <v>4719</v>
      </c>
      <c r="AN438" s="1" t="s">
        <v>4747</v>
      </c>
      <c r="AO438" s="1" t="s">
        <v>4799</v>
      </c>
      <c r="AP438" s="1">
        <v>0</v>
      </c>
      <c r="AQ438" s="1" t="s">
        <v>1154</v>
      </c>
      <c r="AR438" s="1" t="s">
        <v>5993</v>
      </c>
      <c r="AS438" s="1" t="s">
        <v>5993</v>
      </c>
      <c r="AT438" s="1" t="s">
        <v>328</v>
      </c>
      <c r="AU438" s="1">
        <v>54</v>
      </c>
      <c r="AV438" s="1">
        <v>0</v>
      </c>
      <c r="AW438" s="1" t="s">
        <v>5790</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6024</v>
      </c>
      <c r="C439" s="207" t="s">
        <v>6025</v>
      </c>
      <c r="D439" s="1" t="s">
        <v>6025</v>
      </c>
      <c r="E439" s="1"/>
      <c r="F439" s="1"/>
      <c r="G439" s="1" t="s">
        <v>6026</v>
      </c>
      <c r="H439" s="1" t="s">
        <v>6027</v>
      </c>
      <c r="I439" s="1" t="s">
        <v>6028</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5993</v>
      </c>
      <c r="AS439" s="1" t="s">
        <v>5993</v>
      </c>
      <c r="AT439" s="1" t="s">
        <v>328</v>
      </c>
      <c r="AU439" s="1">
        <v>54</v>
      </c>
      <c r="AV439" s="1">
        <v>0</v>
      </c>
      <c r="AW439" s="1" t="s">
        <v>5790</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6029</v>
      </c>
      <c r="C440" s="207" t="s">
        <v>6030</v>
      </c>
      <c r="D440" s="1" t="s">
        <v>6030</v>
      </c>
      <c r="E440" s="1"/>
      <c r="F440" s="1"/>
      <c r="G440" s="1" t="s">
        <v>6031</v>
      </c>
      <c r="H440" s="1" t="s">
        <v>6032</v>
      </c>
      <c r="I440" s="1" t="s">
        <v>6033</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5993</v>
      </c>
      <c r="AS440" s="1" t="s">
        <v>5993</v>
      </c>
      <c r="AT440" s="1" t="s">
        <v>328</v>
      </c>
      <c r="AU440" s="1">
        <v>54</v>
      </c>
      <c r="AV440" s="1">
        <v>0</v>
      </c>
      <c r="AW440" s="1" t="s">
        <v>5790</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6034</v>
      </c>
      <c r="C441" s="207" t="s">
        <v>6035</v>
      </c>
      <c r="D441" s="1" t="s">
        <v>6035</v>
      </c>
      <c r="E441" s="1"/>
      <c r="F441" s="1"/>
      <c r="G441" s="1" t="s">
        <v>6036</v>
      </c>
      <c r="H441" s="1" t="s">
        <v>6037</v>
      </c>
      <c r="I441" s="1" t="s">
        <v>6038</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5993</v>
      </c>
      <c r="AS441" s="1" t="s">
        <v>5993</v>
      </c>
      <c r="AT441" s="1" t="s">
        <v>328</v>
      </c>
      <c r="AU441" s="1">
        <v>54</v>
      </c>
      <c r="AV441" s="1">
        <v>0</v>
      </c>
      <c r="AW441" s="1" t="s">
        <v>5790</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6039</v>
      </c>
      <c r="C442" s="207" t="s">
        <v>22</v>
      </c>
      <c r="D442" s="1" t="s">
        <v>6013</v>
      </c>
      <c r="E442" s="1"/>
      <c r="F442" s="1"/>
      <c r="G442" s="1" t="s">
        <v>6040</v>
      </c>
      <c r="H442" s="1" t="s">
        <v>6041</v>
      </c>
      <c r="I442" s="1" t="s">
        <v>6042</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6043</v>
      </c>
      <c r="AK442" s="1" t="s">
        <v>1403</v>
      </c>
      <c r="AL442" s="1">
        <v>13</v>
      </c>
      <c r="AM442" s="1" t="s">
        <v>4790</v>
      </c>
      <c r="AN442" s="1" t="s">
        <v>4861</v>
      </c>
      <c r="AO442" s="1" t="s">
        <v>5428</v>
      </c>
      <c r="AP442" s="1">
        <v>0</v>
      </c>
      <c r="AQ442" s="1" t="s">
        <v>1130</v>
      </c>
      <c r="AR442" s="1" t="s">
        <v>1154</v>
      </c>
      <c r="AS442" s="1" t="s">
        <v>5846</v>
      </c>
      <c r="AT442" s="1" t="s">
        <v>328</v>
      </c>
      <c r="AU442" s="1">
        <v>55</v>
      </c>
      <c r="AV442" s="1">
        <v>0</v>
      </c>
      <c r="AW442" s="1" t="s">
        <v>5790</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6044</v>
      </c>
      <c r="C443" s="207" t="s">
        <v>6045</v>
      </c>
      <c r="D443" s="1" t="s">
        <v>6045</v>
      </c>
      <c r="E443" s="1"/>
      <c r="F443" s="1"/>
      <c r="G443" s="1" t="s">
        <v>6046</v>
      </c>
      <c r="H443" s="1" t="s">
        <v>6047</v>
      </c>
      <c r="I443" s="1" t="s">
        <v>6048</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6023</v>
      </c>
      <c r="AK443" s="1" t="s">
        <v>328</v>
      </c>
      <c r="AL443" s="1">
        <v>13</v>
      </c>
      <c r="AM443" s="1" t="s">
        <v>4719</v>
      </c>
      <c r="AN443" s="1" t="s">
        <v>4747</v>
      </c>
      <c r="AO443" s="1" t="s">
        <v>4799</v>
      </c>
      <c r="AP443" s="1">
        <v>0</v>
      </c>
      <c r="AQ443" s="1" t="s">
        <v>1154</v>
      </c>
      <c r="AR443" s="1" t="s">
        <v>5993</v>
      </c>
      <c r="AS443" s="1" t="s">
        <v>5993</v>
      </c>
      <c r="AT443" s="1" t="s">
        <v>328</v>
      </c>
      <c r="AU443" s="1">
        <v>54</v>
      </c>
      <c r="AV443" s="1">
        <v>0</v>
      </c>
      <c r="AW443" s="1" t="s">
        <v>5790</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6049</v>
      </c>
      <c r="C444" s="207" t="s">
        <v>6050</v>
      </c>
      <c r="D444" s="1" t="s">
        <v>6050</v>
      </c>
      <c r="E444" s="1"/>
      <c r="F444" s="1"/>
      <c r="G444" s="1" t="s">
        <v>6051</v>
      </c>
      <c r="H444" s="1" t="s">
        <v>6052</v>
      </c>
      <c r="I444" s="1" t="s">
        <v>6053</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5852</v>
      </c>
      <c r="AR444" s="1" t="s">
        <v>1119</v>
      </c>
      <c r="AS444" s="1" t="s">
        <v>1129</v>
      </c>
      <c r="AT444" s="1" t="s">
        <v>328</v>
      </c>
      <c r="AU444" s="1">
        <v>6</v>
      </c>
      <c r="AV444" s="1">
        <v>0</v>
      </c>
      <c r="AW444" s="1" t="s">
        <v>5790</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6054</v>
      </c>
      <c r="C445" s="207" t="s">
        <v>248</v>
      </c>
      <c r="D445" s="1" t="s">
        <v>248</v>
      </c>
      <c r="E445" s="1"/>
      <c r="F445" s="1"/>
      <c r="G445" s="1" t="s">
        <v>6055</v>
      </c>
      <c r="H445" s="1" t="s">
        <v>6056</v>
      </c>
      <c r="I445" s="1" t="s">
        <v>6057</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6058</v>
      </c>
      <c r="AK445" s="1" t="s">
        <v>328</v>
      </c>
      <c r="AL445" s="1">
        <v>17</v>
      </c>
      <c r="AM445" s="1" t="s">
        <v>4762</v>
      </c>
      <c r="AN445" s="1" t="s">
        <v>5404</v>
      </c>
      <c r="AO445" s="1" t="s">
        <v>4845</v>
      </c>
      <c r="AP445" s="1">
        <v>0</v>
      </c>
      <c r="AQ445" s="1" t="s">
        <v>1140</v>
      </c>
      <c r="AR445" s="1" t="s">
        <v>1141</v>
      </c>
      <c r="AS445" s="1" t="s">
        <v>6059</v>
      </c>
      <c r="AT445" s="1" t="s">
        <v>328</v>
      </c>
      <c r="AU445" s="1">
        <v>1005</v>
      </c>
      <c r="AV445" s="1">
        <v>1</v>
      </c>
      <c r="AW445" s="1" t="s">
        <v>5790</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6060</v>
      </c>
      <c r="C446" s="207" t="s">
        <v>248</v>
      </c>
      <c r="D446" s="1" t="s">
        <v>248</v>
      </c>
      <c r="E446" s="1"/>
      <c r="F446" s="1"/>
      <c r="G446" s="1" t="s">
        <v>6061</v>
      </c>
      <c r="H446" s="1" t="s">
        <v>6062</v>
      </c>
      <c r="I446" s="1" t="s">
        <v>6063</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6064</v>
      </c>
      <c r="AK446" s="1" t="s">
        <v>328</v>
      </c>
      <c r="AL446" s="1">
        <v>17</v>
      </c>
      <c r="AM446" s="1" t="s">
        <v>4762</v>
      </c>
      <c r="AN446" s="1" t="s">
        <v>5404</v>
      </c>
      <c r="AO446" s="1" t="s">
        <v>4845</v>
      </c>
      <c r="AP446" s="1">
        <v>0</v>
      </c>
      <c r="AQ446" s="1" t="s">
        <v>1140</v>
      </c>
      <c r="AR446" s="1" t="s">
        <v>1141</v>
      </c>
      <c r="AS446" s="1" t="s">
        <v>6059</v>
      </c>
      <c r="AT446" s="1" t="s">
        <v>328</v>
      </c>
      <c r="AU446" s="1">
        <v>1005</v>
      </c>
      <c r="AV446" s="1">
        <v>1</v>
      </c>
      <c r="AW446" s="1" t="s">
        <v>5790</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6065</v>
      </c>
      <c r="C447" s="207" t="s">
        <v>5804</v>
      </c>
      <c r="D447" s="1" t="s">
        <v>5805</v>
      </c>
      <c r="E447" s="1"/>
      <c r="F447" s="1"/>
      <c r="G447" s="1" t="s">
        <v>6066</v>
      </c>
      <c r="H447" s="1" t="s">
        <v>6067</v>
      </c>
      <c r="I447" s="1" t="s">
        <v>6068</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5809</v>
      </c>
      <c r="AK447" s="1" t="s">
        <v>328</v>
      </c>
      <c r="AL447" s="1">
        <v>19</v>
      </c>
      <c r="AM447" s="1" t="s">
        <v>4762</v>
      </c>
      <c r="AN447" s="1" t="s">
        <v>328</v>
      </c>
      <c r="AO447" s="1" t="s">
        <v>328</v>
      </c>
      <c r="AP447" s="1">
        <v>0</v>
      </c>
      <c r="AQ447" s="1" t="s">
        <v>1140</v>
      </c>
      <c r="AR447" s="1" t="s">
        <v>5788</v>
      </c>
      <c r="AS447" s="1" t="s">
        <v>5789</v>
      </c>
      <c r="AT447" s="1" t="s">
        <v>328</v>
      </c>
      <c r="AU447" s="1">
        <v>10</v>
      </c>
      <c r="AV447" s="1">
        <v>1</v>
      </c>
      <c r="AW447" s="1" t="s">
        <v>5790</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6069</v>
      </c>
      <c r="C448" s="207" t="s">
        <v>5804</v>
      </c>
      <c r="D448" s="1" t="s">
        <v>5805</v>
      </c>
      <c r="E448" s="1"/>
      <c r="F448" s="1"/>
      <c r="G448" s="1" t="s">
        <v>6070</v>
      </c>
      <c r="H448" s="1" t="s">
        <v>6071</v>
      </c>
      <c r="I448" s="1" t="s">
        <v>6072</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5809</v>
      </c>
      <c r="AK448" s="1" t="s">
        <v>328</v>
      </c>
      <c r="AL448" s="1">
        <v>19</v>
      </c>
      <c r="AM448" s="1" t="s">
        <v>4762</v>
      </c>
      <c r="AN448" s="1" t="s">
        <v>328</v>
      </c>
      <c r="AO448" s="1" t="s">
        <v>328</v>
      </c>
      <c r="AP448" s="1">
        <v>0</v>
      </c>
      <c r="AQ448" s="1" t="s">
        <v>1140</v>
      </c>
      <c r="AR448" s="1" t="s">
        <v>5788</v>
      </c>
      <c r="AS448" s="1" t="s">
        <v>5789</v>
      </c>
      <c r="AT448" s="1" t="s">
        <v>328</v>
      </c>
      <c r="AU448" s="1">
        <v>10</v>
      </c>
      <c r="AV448" s="1">
        <v>1</v>
      </c>
      <c r="AW448" s="1" t="s">
        <v>5790</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6073</v>
      </c>
      <c r="C449" s="207" t="s">
        <v>6074</v>
      </c>
      <c r="D449" s="1" t="s">
        <v>6074</v>
      </c>
      <c r="E449" s="1"/>
      <c r="F449" s="1"/>
      <c r="G449" s="1" t="s">
        <v>6075</v>
      </c>
      <c r="H449" s="1" t="s">
        <v>6076</v>
      </c>
      <c r="I449" s="1" t="s">
        <v>6077</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6078</v>
      </c>
      <c r="AK449" s="1" t="s">
        <v>328</v>
      </c>
      <c r="AL449" s="1">
        <v>13</v>
      </c>
      <c r="AM449" s="1" t="s">
        <v>4790</v>
      </c>
      <c r="AN449" s="1" t="s">
        <v>4861</v>
      </c>
      <c r="AO449" s="1" t="s">
        <v>5428</v>
      </c>
      <c r="AP449" s="1">
        <v>0</v>
      </c>
      <c r="AQ449" s="1" t="s">
        <v>1130</v>
      </c>
      <c r="AR449" s="1" t="s">
        <v>1154</v>
      </c>
      <c r="AS449" s="1" t="s">
        <v>5846</v>
      </c>
      <c r="AT449" s="1" t="s">
        <v>328</v>
      </c>
      <c r="AU449" s="1">
        <v>55</v>
      </c>
      <c r="AV449" s="1">
        <v>0</v>
      </c>
      <c r="AW449" s="1" t="s">
        <v>5790</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6079</v>
      </c>
      <c r="C450" s="207" t="s">
        <v>6080</v>
      </c>
      <c r="D450" s="1" t="s">
        <v>6080</v>
      </c>
      <c r="E450" s="1"/>
      <c r="F450" s="1"/>
      <c r="G450" s="1" t="s">
        <v>6081</v>
      </c>
      <c r="H450" s="1" t="s">
        <v>6082</v>
      </c>
      <c r="I450" s="1" t="s">
        <v>6083</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5788</v>
      </c>
      <c r="AS450" s="1" t="s">
        <v>5789</v>
      </c>
      <c r="AT450" s="1" t="s">
        <v>328</v>
      </c>
      <c r="AU450" s="1">
        <v>1</v>
      </c>
      <c r="AV450" s="1">
        <v>0</v>
      </c>
      <c r="AW450" s="1" t="s">
        <v>5790</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6084</v>
      </c>
      <c r="C451" s="207" t="s">
        <v>6085</v>
      </c>
      <c r="D451" s="1" t="s">
        <v>6085</v>
      </c>
      <c r="E451" s="1"/>
      <c r="F451" s="1"/>
      <c r="G451" s="1" t="s">
        <v>6086</v>
      </c>
      <c r="H451" s="1" t="s">
        <v>6087</v>
      </c>
      <c r="I451" s="1" t="s">
        <v>6088</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5788</v>
      </c>
      <c r="AS451" s="1" t="s">
        <v>5789</v>
      </c>
      <c r="AT451" s="1" t="s">
        <v>328</v>
      </c>
      <c r="AU451" s="1">
        <v>1</v>
      </c>
      <c r="AV451" s="1">
        <v>0</v>
      </c>
      <c r="AW451" s="1" t="s">
        <v>5790</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6089</v>
      </c>
      <c r="C452" s="207" t="s">
        <v>6090</v>
      </c>
      <c r="D452" s="1" t="s">
        <v>6090</v>
      </c>
      <c r="E452" s="1"/>
      <c r="F452" s="1"/>
      <c r="G452" s="1" t="s">
        <v>6091</v>
      </c>
      <c r="H452" s="1" t="s">
        <v>6092</v>
      </c>
      <c r="I452" s="1" t="s">
        <v>6093</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6094</v>
      </c>
      <c r="AK452" s="1" t="s">
        <v>328</v>
      </c>
      <c r="AL452" s="1">
        <v>13</v>
      </c>
      <c r="AM452" s="1" t="s">
        <v>4790</v>
      </c>
      <c r="AN452" s="1" t="s">
        <v>4861</v>
      </c>
      <c r="AO452" s="1" t="s">
        <v>5428</v>
      </c>
      <c r="AP452" s="1">
        <v>0</v>
      </c>
      <c r="AQ452" s="1" t="s">
        <v>1130</v>
      </c>
      <c r="AR452" s="1" t="s">
        <v>1154</v>
      </c>
      <c r="AS452" s="1" t="s">
        <v>5846</v>
      </c>
      <c r="AT452" s="1" t="s">
        <v>328</v>
      </c>
      <c r="AU452" s="1">
        <v>55</v>
      </c>
      <c r="AV452" s="1">
        <v>0</v>
      </c>
      <c r="AW452" s="1" t="s">
        <v>5790</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6095</v>
      </c>
      <c r="C453" s="207" t="s">
        <v>223</v>
      </c>
      <c r="D453" s="1" t="s">
        <v>4200</v>
      </c>
      <c r="E453" s="1"/>
      <c r="F453" s="1"/>
      <c r="G453" s="1" t="s">
        <v>6096</v>
      </c>
      <c r="H453" s="1" t="s">
        <v>6097</v>
      </c>
      <c r="I453" s="1" t="s">
        <v>6098</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6099</v>
      </c>
      <c r="AK453" s="1" t="s">
        <v>328</v>
      </c>
      <c r="AL453" s="1">
        <v>13</v>
      </c>
      <c r="AM453" s="1" t="s">
        <v>4719</v>
      </c>
      <c r="AN453" s="1" t="s">
        <v>475</v>
      </c>
      <c r="AO453" s="1" t="s">
        <v>4887</v>
      </c>
      <c r="AP453" s="1">
        <v>0</v>
      </c>
      <c r="AQ453" s="1" t="s">
        <v>1130</v>
      </c>
      <c r="AR453" s="1" t="s">
        <v>1154</v>
      </c>
      <c r="AS453" s="1" t="s">
        <v>5846</v>
      </c>
      <c r="AT453" s="1" t="s">
        <v>328</v>
      </c>
      <c r="AU453" s="1">
        <v>65</v>
      </c>
      <c r="AV453" s="1">
        <v>0</v>
      </c>
      <c r="AW453" s="1" t="s">
        <v>5790</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6100</v>
      </c>
      <c r="C454" s="207" t="s">
        <v>79</v>
      </c>
      <c r="D454" s="1" t="s">
        <v>4195</v>
      </c>
      <c r="E454" s="1"/>
      <c r="F454" s="1"/>
      <c r="G454" s="1" t="s">
        <v>6101</v>
      </c>
      <c r="H454" s="1" t="s">
        <v>6102</v>
      </c>
      <c r="I454" s="1" t="s">
        <v>6103</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6104</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5790</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6105</v>
      </c>
      <c r="C455" s="207" t="s">
        <v>6106</v>
      </c>
      <c r="D455" s="1" t="s">
        <v>6106</v>
      </c>
      <c r="E455" s="1"/>
      <c r="F455" s="1"/>
      <c r="G455" s="1" t="s">
        <v>6107</v>
      </c>
      <c r="H455" s="1" t="s">
        <v>6108</v>
      </c>
      <c r="I455" s="1" t="s">
        <v>6109</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6099</v>
      </c>
      <c r="AK455" s="1" t="s">
        <v>328</v>
      </c>
      <c r="AL455" s="1">
        <v>13</v>
      </c>
      <c r="AM455" s="1" t="s">
        <v>4719</v>
      </c>
      <c r="AN455" s="1" t="s">
        <v>475</v>
      </c>
      <c r="AO455" s="1" t="s">
        <v>4887</v>
      </c>
      <c r="AP455" s="1">
        <v>0</v>
      </c>
      <c r="AQ455" s="1" t="s">
        <v>1130</v>
      </c>
      <c r="AR455" s="1" t="s">
        <v>1154</v>
      </c>
      <c r="AS455" s="1" t="s">
        <v>5846</v>
      </c>
      <c r="AT455" s="1" t="s">
        <v>328</v>
      </c>
      <c r="AU455" s="1">
        <v>65</v>
      </c>
      <c r="AV455" s="1">
        <v>0</v>
      </c>
      <c r="AW455" s="1" t="s">
        <v>5790</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6110</v>
      </c>
      <c r="C456" s="207" t="s">
        <v>6111</v>
      </c>
      <c r="D456" s="1" t="s">
        <v>6111</v>
      </c>
      <c r="E456" s="1"/>
      <c r="F456" s="1"/>
      <c r="G456" s="1" t="s">
        <v>6112</v>
      </c>
      <c r="H456" s="1" t="s">
        <v>6113</v>
      </c>
      <c r="I456" s="1" t="s">
        <v>6114</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6104</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5790</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6115</v>
      </c>
      <c r="C457" s="207" t="s">
        <v>6111</v>
      </c>
      <c r="D457" s="1" t="s">
        <v>6111</v>
      </c>
      <c r="E457" s="1"/>
      <c r="F457" s="1"/>
      <c r="G457" s="1" t="s">
        <v>6116</v>
      </c>
      <c r="H457" s="1" t="s">
        <v>6117</v>
      </c>
      <c r="I457" s="1" t="s">
        <v>6118</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6119</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5790</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6120</v>
      </c>
      <c r="C458" s="207" t="s">
        <v>6121</v>
      </c>
      <c r="D458" s="1" t="s">
        <v>6121</v>
      </c>
      <c r="E458" s="1"/>
      <c r="F458" s="1"/>
      <c r="G458" s="1" t="s">
        <v>6122</v>
      </c>
      <c r="H458" s="1" t="s">
        <v>6123</v>
      </c>
      <c r="I458" s="1" t="s">
        <v>6124</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5852</v>
      </c>
      <c r="AR458" s="1" t="s">
        <v>1119</v>
      </c>
      <c r="AS458" s="1" t="s">
        <v>1129</v>
      </c>
      <c r="AT458" s="1" t="s">
        <v>328</v>
      </c>
      <c r="AU458" s="1">
        <v>6</v>
      </c>
      <c r="AV458" s="1">
        <v>0</v>
      </c>
      <c r="AW458" s="1" t="s">
        <v>5790</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6125</v>
      </c>
      <c r="C459" s="207" t="s">
        <v>5780</v>
      </c>
      <c r="D459" s="1" t="s">
        <v>4205</v>
      </c>
      <c r="E459" s="1"/>
      <c r="F459" s="1"/>
      <c r="G459" s="1" t="s">
        <v>6126</v>
      </c>
      <c r="H459" s="1" t="s">
        <v>6127</v>
      </c>
      <c r="I459" s="1" t="s">
        <v>6128</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6129</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5790</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6130</v>
      </c>
      <c r="C460" s="207" t="s">
        <v>6131</v>
      </c>
      <c r="D460" s="1" t="s">
        <v>6131</v>
      </c>
      <c r="E460" s="1"/>
      <c r="F460" s="1"/>
      <c r="G460" s="1" t="s">
        <v>6132</v>
      </c>
      <c r="H460" s="1" t="s">
        <v>6133</v>
      </c>
      <c r="I460" s="1" t="s">
        <v>6134</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5846</v>
      </c>
      <c r="AT460" s="1" t="s">
        <v>328</v>
      </c>
      <c r="AU460" s="1">
        <v>55</v>
      </c>
      <c r="AV460" s="1">
        <v>0</v>
      </c>
      <c r="AW460" s="1" t="s">
        <v>5790</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6135</v>
      </c>
      <c r="C461" s="207" t="s">
        <v>6136</v>
      </c>
      <c r="D461" s="1" t="s">
        <v>6136</v>
      </c>
      <c r="E461" s="1"/>
      <c r="F461" s="1"/>
      <c r="G461" s="1" t="s">
        <v>6137</v>
      </c>
      <c r="H461" s="1" t="s">
        <v>6138</v>
      </c>
      <c r="I461" s="1" t="s">
        <v>6139</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5846</v>
      </c>
      <c r="AT461" s="1" t="s">
        <v>328</v>
      </c>
      <c r="AU461" s="1">
        <v>55</v>
      </c>
      <c r="AV461" s="1">
        <v>0</v>
      </c>
      <c r="AW461" s="1" t="s">
        <v>5790</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6140</v>
      </c>
      <c r="C462" s="207" t="s">
        <v>6141</v>
      </c>
      <c r="D462" s="1" t="s">
        <v>6141</v>
      </c>
      <c r="E462" s="1"/>
      <c r="F462" s="1"/>
      <c r="G462" s="1" t="s">
        <v>6142</v>
      </c>
      <c r="H462" s="1" t="s">
        <v>6143</v>
      </c>
      <c r="I462" s="1" t="s">
        <v>6144</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5788</v>
      </c>
      <c r="AS462" s="1" t="s">
        <v>5789</v>
      </c>
      <c r="AT462" s="1" t="s">
        <v>328</v>
      </c>
      <c r="AU462" s="1">
        <v>10</v>
      </c>
      <c r="AV462" s="1">
        <v>1</v>
      </c>
      <c r="AW462" s="1" t="s">
        <v>5790</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6145</v>
      </c>
      <c r="C463" s="207" t="s">
        <v>6146</v>
      </c>
      <c r="D463" s="1" t="s">
        <v>6146</v>
      </c>
      <c r="E463" s="1"/>
      <c r="F463" s="1"/>
      <c r="G463" s="1" t="s">
        <v>6147</v>
      </c>
      <c r="H463" s="1" t="s">
        <v>6148</v>
      </c>
      <c r="I463" s="1" t="s">
        <v>6149</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5788</v>
      </c>
      <c r="AS463" s="1" t="s">
        <v>5789</v>
      </c>
      <c r="AT463" s="1" t="s">
        <v>328</v>
      </c>
      <c r="AU463" s="1">
        <v>10</v>
      </c>
      <c r="AV463" s="1">
        <v>1</v>
      </c>
      <c r="AW463" s="1" t="s">
        <v>5790</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6150</v>
      </c>
      <c r="C464" s="207" t="s">
        <v>6151</v>
      </c>
      <c r="D464" s="1" t="s">
        <v>6151</v>
      </c>
      <c r="E464" s="1"/>
      <c r="F464" s="1"/>
      <c r="G464" s="1" t="s">
        <v>6152</v>
      </c>
      <c r="H464" s="1" t="s">
        <v>6153</v>
      </c>
      <c r="I464" s="1" t="s">
        <v>6154</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5790</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6155</v>
      </c>
      <c r="C465" s="207" t="s">
        <v>6156</v>
      </c>
      <c r="D465" s="1" t="s">
        <v>6156</v>
      </c>
      <c r="E465" s="1"/>
      <c r="F465" s="1"/>
      <c r="G465" s="1" t="s">
        <v>6157</v>
      </c>
      <c r="H465" s="1" t="s">
        <v>6158</v>
      </c>
      <c r="I465" s="1" t="s">
        <v>6159</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5790</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6160</v>
      </c>
      <c r="C466" s="207" t="s">
        <v>6161</v>
      </c>
      <c r="D466" s="1" t="s">
        <v>6161</v>
      </c>
      <c r="E466" s="1"/>
      <c r="F466" s="1"/>
      <c r="G466" s="1" t="s">
        <v>6162</v>
      </c>
      <c r="H466" s="1" t="s">
        <v>6163</v>
      </c>
      <c r="I466" s="1" t="s">
        <v>6164</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5790</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6165</v>
      </c>
      <c r="C467" s="207" t="s">
        <v>6166</v>
      </c>
      <c r="D467" s="1" t="s">
        <v>6166</v>
      </c>
      <c r="E467" s="1"/>
      <c r="F467" s="1"/>
      <c r="G467" s="1" t="s">
        <v>6167</v>
      </c>
      <c r="H467" s="1" t="s">
        <v>6168</v>
      </c>
      <c r="I467" s="1" t="s">
        <v>6169</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6094</v>
      </c>
      <c r="AK467" s="1" t="s">
        <v>328</v>
      </c>
      <c r="AL467" s="1">
        <v>13</v>
      </c>
      <c r="AM467" s="1" t="s">
        <v>4790</v>
      </c>
      <c r="AN467" s="1" t="s">
        <v>4861</v>
      </c>
      <c r="AO467" s="1" t="s">
        <v>5428</v>
      </c>
      <c r="AP467" s="1">
        <v>0</v>
      </c>
      <c r="AQ467" s="1" t="s">
        <v>1130</v>
      </c>
      <c r="AR467" s="1" t="s">
        <v>1154</v>
      </c>
      <c r="AS467" s="1" t="s">
        <v>5846</v>
      </c>
      <c r="AT467" s="1" t="s">
        <v>328</v>
      </c>
      <c r="AU467" s="1">
        <v>55</v>
      </c>
      <c r="AV467" s="1">
        <v>0</v>
      </c>
      <c r="AW467" s="1" t="s">
        <v>5790</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6170</v>
      </c>
      <c r="C468" s="207" t="s">
        <v>6171</v>
      </c>
      <c r="D468" s="1" t="s">
        <v>6171</v>
      </c>
      <c r="E468" s="1"/>
      <c r="F468" s="1"/>
      <c r="G468" s="1" t="s">
        <v>6172</v>
      </c>
      <c r="H468" s="1" t="s">
        <v>6173</v>
      </c>
      <c r="I468" s="1" t="s">
        <v>6174</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6175</v>
      </c>
      <c r="AK468" s="1" t="s">
        <v>328</v>
      </c>
      <c r="AL468" s="1">
        <v>13</v>
      </c>
      <c r="AM468" s="1" t="s">
        <v>1806</v>
      </c>
      <c r="AN468" s="1" t="s">
        <v>4747</v>
      </c>
      <c r="AO468" s="1" t="s">
        <v>4744</v>
      </c>
      <c r="AP468" s="1">
        <v>0</v>
      </c>
      <c r="AQ468" s="1" t="s">
        <v>5852</v>
      </c>
      <c r="AR468" s="1" t="s">
        <v>1119</v>
      </c>
      <c r="AS468" s="1" t="s">
        <v>1129</v>
      </c>
      <c r="AT468" s="1" t="s">
        <v>328</v>
      </c>
      <c r="AU468" s="1">
        <v>6</v>
      </c>
      <c r="AV468" s="1">
        <v>0</v>
      </c>
      <c r="AW468" s="1" t="s">
        <v>5790</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6176</v>
      </c>
      <c r="C469" s="207" t="s">
        <v>6171</v>
      </c>
      <c r="D469" s="1" t="s">
        <v>6171</v>
      </c>
      <c r="E469" s="1"/>
      <c r="F469" s="1"/>
      <c r="G469" s="1" t="s">
        <v>6177</v>
      </c>
      <c r="H469" s="1" t="s">
        <v>6178</v>
      </c>
      <c r="I469" s="1" t="s">
        <v>6179</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5852</v>
      </c>
      <c r="AR469" s="1" t="s">
        <v>1119</v>
      </c>
      <c r="AS469" s="1" t="s">
        <v>1129</v>
      </c>
      <c r="AT469" s="1" t="s">
        <v>328</v>
      </c>
      <c r="AU469" s="1">
        <v>6</v>
      </c>
      <c r="AV469" s="1">
        <v>0</v>
      </c>
      <c r="AW469" s="1" t="s">
        <v>5790</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6180</v>
      </c>
      <c r="C470" s="207" t="s">
        <v>6181</v>
      </c>
      <c r="D470" s="1" t="s">
        <v>6181</v>
      </c>
      <c r="E470" s="1"/>
      <c r="F470" s="1"/>
      <c r="G470" s="1" t="s">
        <v>6182</v>
      </c>
      <c r="H470" s="1" t="s">
        <v>6183</v>
      </c>
      <c r="I470" s="1" t="s">
        <v>6184</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6185</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5790</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6186</v>
      </c>
      <c r="C471" s="207" t="s">
        <v>6181</v>
      </c>
      <c r="D471" s="1" t="s">
        <v>6181</v>
      </c>
      <c r="E471" s="1"/>
      <c r="F471" s="1"/>
      <c r="G471" s="1" t="s">
        <v>6187</v>
      </c>
      <c r="H471" s="1" t="s">
        <v>6188</v>
      </c>
      <c r="I471" s="1" t="s">
        <v>6189</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5978</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5790</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6190</v>
      </c>
      <c r="C472" s="207" t="s">
        <v>6181</v>
      </c>
      <c r="D472" s="1" t="s">
        <v>6181</v>
      </c>
      <c r="E472" s="1"/>
      <c r="F472" s="1"/>
      <c r="G472" s="1" t="s">
        <v>6191</v>
      </c>
      <c r="H472" s="1" t="s">
        <v>6192</v>
      </c>
      <c r="I472" s="1" t="s">
        <v>6193</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5978</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5790</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6194</v>
      </c>
      <c r="C473" s="207" t="s">
        <v>6181</v>
      </c>
      <c r="D473" s="1" t="s">
        <v>6181</v>
      </c>
      <c r="E473" s="1"/>
      <c r="F473" s="1"/>
      <c r="G473" s="1" t="s">
        <v>6195</v>
      </c>
      <c r="H473" s="1" t="s">
        <v>6196</v>
      </c>
      <c r="I473" s="1" t="s">
        <v>6197</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5978</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5790</v>
      </c>
      <c r="AX473" s="1" t="s">
        <v>1806</v>
      </c>
      <c r="AY473" s="1">
        <v>5</v>
      </c>
      <c r="AZ473" s="1">
        <v>0</v>
      </c>
      <c r="BA473" s="1" t="s">
        <v>328</v>
      </c>
      <c r="BB473" s="1" t="s">
        <v>328</v>
      </c>
      <c r="BC473" s="1" t="s">
        <v>328</v>
      </c>
      <c r="BD473" s="1">
        <v>0</v>
      </c>
      <c r="BE473" s="1"/>
      <c r="BH473">
        <f>COUNTIF(Dropdowns!$I:$AF,C473)</f>
        <v>0</v>
      </c>
    </row>
    <row r="474" spans="1:60" x14ac:dyDescent="0.3">
      <c r="A474" s="1">
        <v>9085</v>
      </c>
      <c r="B474" s="1" t="s">
        <v>6198</v>
      </c>
      <c r="C474" s="207" t="s">
        <v>6161</v>
      </c>
      <c r="D474" s="1" t="s">
        <v>6161</v>
      </c>
      <c r="E474" s="1"/>
      <c r="F474" s="1"/>
      <c r="G474" s="1" t="s">
        <v>6199</v>
      </c>
      <c r="H474" s="1" t="s">
        <v>6200</v>
      </c>
      <c r="I474" s="1" t="s">
        <v>6201</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5790</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6202</v>
      </c>
      <c r="C475" s="207" t="s">
        <v>856</v>
      </c>
      <c r="D475" s="1" t="s">
        <v>6203</v>
      </c>
      <c r="E475" s="1"/>
      <c r="F475" s="1"/>
      <c r="G475" s="1" t="s">
        <v>6204</v>
      </c>
      <c r="H475" s="1" t="s">
        <v>6205</v>
      </c>
      <c r="I475" s="1" t="s">
        <v>6206</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5992</v>
      </c>
      <c r="AK475" s="1" t="s">
        <v>328</v>
      </c>
      <c r="AL475" s="1">
        <v>13</v>
      </c>
      <c r="AM475" s="1" t="s">
        <v>4719</v>
      </c>
      <c r="AN475" s="1" t="s">
        <v>4747</v>
      </c>
      <c r="AO475" s="1" t="s">
        <v>4799</v>
      </c>
      <c r="AP475" s="1">
        <v>0</v>
      </c>
      <c r="AQ475" s="1" t="s">
        <v>1154</v>
      </c>
      <c r="AR475" s="1" t="s">
        <v>5993</v>
      </c>
      <c r="AS475" s="1" t="s">
        <v>5993</v>
      </c>
      <c r="AT475" s="1" t="s">
        <v>328</v>
      </c>
      <c r="AU475" s="1">
        <v>54</v>
      </c>
      <c r="AV475" s="1">
        <v>0</v>
      </c>
      <c r="AW475" s="1" t="s">
        <v>5790</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6207</v>
      </c>
      <c r="C476" s="207" t="s">
        <v>1741</v>
      </c>
      <c r="D476" s="1" t="s">
        <v>6208</v>
      </c>
      <c r="E476" s="1"/>
      <c r="F476" s="1"/>
      <c r="G476" s="1" t="s">
        <v>6209</v>
      </c>
      <c r="H476" s="1" t="s">
        <v>6210</v>
      </c>
      <c r="I476" s="1" t="s">
        <v>6211</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5992</v>
      </c>
      <c r="AK476" s="1" t="s">
        <v>328</v>
      </c>
      <c r="AL476" s="1">
        <v>13</v>
      </c>
      <c r="AM476" s="1" t="s">
        <v>4719</v>
      </c>
      <c r="AN476" s="1" t="s">
        <v>4747</v>
      </c>
      <c r="AO476" s="1" t="s">
        <v>4799</v>
      </c>
      <c r="AP476" s="1">
        <v>0</v>
      </c>
      <c r="AQ476" s="1" t="s">
        <v>1154</v>
      </c>
      <c r="AR476" s="1" t="s">
        <v>5993</v>
      </c>
      <c r="AS476" s="1" t="s">
        <v>5993</v>
      </c>
      <c r="AT476" s="1" t="s">
        <v>328</v>
      </c>
      <c r="AU476" s="1">
        <v>54</v>
      </c>
      <c r="AV476" s="1">
        <v>0</v>
      </c>
      <c r="AW476" s="1" t="s">
        <v>5790</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6212</v>
      </c>
      <c r="C477" s="207" t="s">
        <v>861</v>
      </c>
      <c r="D477" s="1" t="s">
        <v>6213</v>
      </c>
      <c r="E477" s="1"/>
      <c r="F477" s="1"/>
      <c r="G477" s="1" t="s">
        <v>6214</v>
      </c>
      <c r="H477" s="1" t="s">
        <v>6215</v>
      </c>
      <c r="I477" s="1" t="s">
        <v>6216</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5992</v>
      </c>
      <c r="AK477" s="1" t="s">
        <v>328</v>
      </c>
      <c r="AL477" s="1">
        <v>13</v>
      </c>
      <c r="AM477" s="1" t="s">
        <v>4719</v>
      </c>
      <c r="AN477" s="1" t="s">
        <v>4747</v>
      </c>
      <c r="AO477" s="1" t="s">
        <v>4799</v>
      </c>
      <c r="AP477" s="1">
        <v>0</v>
      </c>
      <c r="AQ477" s="1" t="s">
        <v>1154</v>
      </c>
      <c r="AR477" s="1" t="s">
        <v>5993</v>
      </c>
      <c r="AS477" s="1" t="s">
        <v>5993</v>
      </c>
      <c r="AT477" s="1" t="s">
        <v>328</v>
      </c>
      <c r="AU477" s="1">
        <v>54</v>
      </c>
      <c r="AV477" s="1">
        <v>0</v>
      </c>
      <c r="AW477" s="1" t="s">
        <v>5790</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6217</v>
      </c>
      <c r="C478" s="207" t="s">
        <v>6050</v>
      </c>
      <c r="D478" s="1" t="s">
        <v>6218</v>
      </c>
      <c r="E478" s="1"/>
      <c r="F478" s="1"/>
      <c r="G478" s="1" t="s">
        <v>6219</v>
      </c>
      <c r="H478" s="1" t="s">
        <v>6220</v>
      </c>
      <c r="I478" s="1" t="s">
        <v>6221</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6222</v>
      </c>
      <c r="AK478" s="1" t="s">
        <v>328</v>
      </c>
      <c r="AL478" s="1">
        <v>13</v>
      </c>
      <c r="AM478" s="1" t="s">
        <v>1806</v>
      </c>
      <c r="AN478" s="1" t="s">
        <v>4747</v>
      </c>
      <c r="AO478" s="1" t="s">
        <v>4744</v>
      </c>
      <c r="AP478" s="1">
        <v>0</v>
      </c>
      <c r="AQ478" s="1" t="s">
        <v>5852</v>
      </c>
      <c r="AR478" s="1" t="s">
        <v>1119</v>
      </c>
      <c r="AS478" s="1" t="s">
        <v>1129</v>
      </c>
      <c r="AT478" s="1" t="s">
        <v>328</v>
      </c>
      <c r="AU478" s="1">
        <v>6</v>
      </c>
      <c r="AV478" s="1">
        <v>0</v>
      </c>
      <c r="AW478" s="1" t="s">
        <v>5790</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6223</v>
      </c>
      <c r="C479" s="207" t="s">
        <v>4058</v>
      </c>
      <c r="D479" s="1" t="s">
        <v>4058</v>
      </c>
      <c r="E479" s="1"/>
      <c r="F479" s="1"/>
      <c r="G479" s="1" t="s">
        <v>6224</v>
      </c>
      <c r="H479" s="1" t="s">
        <v>6225</v>
      </c>
      <c r="I479" s="1" t="s">
        <v>6226</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6227</v>
      </c>
      <c r="AK479" s="1" t="s">
        <v>328</v>
      </c>
      <c r="AL479" s="1">
        <v>13</v>
      </c>
      <c r="AM479" s="1" t="s">
        <v>4719</v>
      </c>
      <c r="AN479" s="1" t="s">
        <v>4829</v>
      </c>
      <c r="AO479" s="1" t="s">
        <v>6228</v>
      </c>
      <c r="AP479" s="1">
        <v>0</v>
      </c>
      <c r="AQ479" s="1" t="s">
        <v>1745</v>
      </c>
      <c r="AR479" s="1" t="s">
        <v>4868</v>
      </c>
      <c r="AS479" s="1" t="s">
        <v>1744</v>
      </c>
      <c r="AT479" s="1" t="s">
        <v>328</v>
      </c>
      <c r="AU479" s="1">
        <v>1029</v>
      </c>
      <c r="AV479" s="1">
        <v>0</v>
      </c>
      <c r="AW479" s="1" t="s">
        <v>5790</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6229</v>
      </c>
      <c r="C480" s="207" t="s">
        <v>5779</v>
      </c>
      <c r="D480" s="1" t="s">
        <v>3946</v>
      </c>
      <c r="E480" s="1"/>
      <c r="F480" s="1"/>
      <c r="G480" s="1" t="s">
        <v>6230</v>
      </c>
      <c r="H480" s="1" t="s">
        <v>6231</v>
      </c>
      <c r="I480" s="1" t="s">
        <v>6232</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6233</v>
      </c>
      <c r="AK480" s="1" t="s">
        <v>328</v>
      </c>
      <c r="AL480" s="1">
        <v>13</v>
      </c>
      <c r="AM480" s="1" t="s">
        <v>4762</v>
      </c>
      <c r="AN480" s="1" t="s">
        <v>5113</v>
      </c>
      <c r="AO480" s="1" t="s">
        <v>6234</v>
      </c>
      <c r="AP480" s="1">
        <v>0</v>
      </c>
      <c r="AQ480" s="1" t="s">
        <v>1140</v>
      </c>
      <c r="AR480" s="1" t="s">
        <v>1141</v>
      </c>
      <c r="AS480" s="1" t="s">
        <v>1142</v>
      </c>
      <c r="AT480" s="1" t="s">
        <v>328</v>
      </c>
      <c r="AU480" s="1">
        <v>222</v>
      </c>
      <c r="AV480" s="1">
        <v>0</v>
      </c>
      <c r="AW480" s="1" t="s">
        <v>5790</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6235</v>
      </c>
      <c r="C481" s="207" t="s">
        <v>190</v>
      </c>
      <c r="D481" s="1" t="s">
        <v>190</v>
      </c>
      <c r="E481" s="1"/>
      <c r="F481" s="1"/>
      <c r="G481" s="1" t="s">
        <v>6236</v>
      </c>
      <c r="H481" s="1" t="s">
        <v>6237</v>
      </c>
      <c r="I481" s="1" t="s">
        <v>6238</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6239</v>
      </c>
      <c r="AK481" s="1" t="s">
        <v>328</v>
      </c>
      <c r="AL481" s="1">
        <v>13</v>
      </c>
      <c r="AM481" s="1" t="s">
        <v>4790</v>
      </c>
      <c r="AN481" s="1" t="s">
        <v>4795</v>
      </c>
      <c r="AO481" s="1" t="s">
        <v>6240</v>
      </c>
      <c r="AP481" s="1">
        <v>0</v>
      </c>
      <c r="AQ481" s="1" t="s">
        <v>1129</v>
      </c>
      <c r="AR481" s="1" t="s">
        <v>1119</v>
      </c>
      <c r="AS481" s="1" t="s">
        <v>1130</v>
      </c>
      <c r="AT481" s="1" t="s">
        <v>328</v>
      </c>
      <c r="AU481" s="1">
        <v>28</v>
      </c>
      <c r="AV481" s="1">
        <v>0</v>
      </c>
      <c r="AW481" s="1" t="s">
        <v>5790</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6241</v>
      </c>
      <c r="C482" s="207" t="s">
        <v>3772</v>
      </c>
      <c r="D482" s="1" t="s">
        <v>6242</v>
      </c>
      <c r="E482" s="1"/>
      <c r="F482" s="1"/>
      <c r="G482" s="1" t="s">
        <v>6243</v>
      </c>
      <c r="H482" s="1" t="s">
        <v>6244</v>
      </c>
      <c r="I482" s="1" t="s">
        <v>6245</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6246</v>
      </c>
      <c r="AK482" s="1" t="s">
        <v>328</v>
      </c>
      <c r="AL482" s="1">
        <v>17</v>
      </c>
      <c r="AM482" s="1" t="s">
        <v>1806</v>
      </c>
      <c r="AN482" s="1" t="s">
        <v>5249</v>
      </c>
      <c r="AO482" s="1" t="s">
        <v>6247</v>
      </c>
      <c r="AP482" s="1">
        <v>0</v>
      </c>
      <c r="AQ482" s="1" t="s">
        <v>1118</v>
      </c>
      <c r="AR482" s="1" t="s">
        <v>1119</v>
      </c>
      <c r="AS482" s="1" t="s">
        <v>1120</v>
      </c>
      <c r="AT482" s="1" t="s">
        <v>328</v>
      </c>
      <c r="AU482" s="1">
        <v>4</v>
      </c>
      <c r="AV482" s="1">
        <v>0</v>
      </c>
      <c r="AW482" s="1" t="s">
        <v>5790</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6248</v>
      </c>
      <c r="C483" s="207" t="s">
        <v>299</v>
      </c>
      <c r="D483" s="1" t="s">
        <v>299</v>
      </c>
      <c r="E483" s="1"/>
      <c r="F483" s="1"/>
      <c r="G483" s="1" t="s">
        <v>6249</v>
      </c>
      <c r="H483" s="1" t="s">
        <v>6250</v>
      </c>
      <c r="I483" s="1" t="s">
        <v>6251</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6252</v>
      </c>
      <c r="AK483" s="1" t="s">
        <v>328</v>
      </c>
      <c r="AL483" s="1">
        <v>18</v>
      </c>
      <c r="AM483" s="1" t="s">
        <v>4858</v>
      </c>
      <c r="AN483" s="1" t="s">
        <v>4931</v>
      </c>
      <c r="AO483" s="1" t="s">
        <v>6253</v>
      </c>
      <c r="AP483" s="1">
        <v>0</v>
      </c>
      <c r="AQ483" s="1" t="s">
        <v>5012</v>
      </c>
      <c r="AR483" s="1" t="s">
        <v>4911</v>
      </c>
      <c r="AS483" s="1" t="s">
        <v>1169</v>
      </c>
      <c r="AT483" s="1" t="s">
        <v>328</v>
      </c>
      <c r="AU483" s="1">
        <v>125</v>
      </c>
      <c r="AV483" s="1">
        <v>0</v>
      </c>
      <c r="AW483" s="1" t="s">
        <v>5790</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6254</v>
      </c>
      <c r="C484" s="207" t="s">
        <v>6050</v>
      </c>
      <c r="D484" s="1" t="s">
        <v>6218</v>
      </c>
      <c r="E484" s="1"/>
      <c r="F484" s="1"/>
      <c r="G484" s="1" t="s">
        <v>6255</v>
      </c>
      <c r="H484" s="1" t="s">
        <v>6256</v>
      </c>
      <c r="I484" s="1" t="s">
        <v>6257</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6258</v>
      </c>
      <c r="AK484" s="1" t="s">
        <v>328</v>
      </c>
      <c r="AL484" s="1">
        <v>13</v>
      </c>
      <c r="AM484" s="1" t="s">
        <v>1806</v>
      </c>
      <c r="AN484" s="1" t="s">
        <v>4747</v>
      </c>
      <c r="AO484" s="1" t="s">
        <v>4744</v>
      </c>
      <c r="AP484" s="1">
        <v>0</v>
      </c>
      <c r="AQ484" s="1" t="s">
        <v>5852</v>
      </c>
      <c r="AR484" s="1" t="s">
        <v>1119</v>
      </c>
      <c r="AS484" s="1" t="s">
        <v>1129</v>
      </c>
      <c r="AT484" s="1" t="s">
        <v>328</v>
      </c>
      <c r="AU484" s="1">
        <v>6</v>
      </c>
      <c r="AV484" s="1">
        <v>0</v>
      </c>
      <c r="AW484" s="1" t="s">
        <v>5790</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6259</v>
      </c>
      <c r="C485" s="207" t="s">
        <v>6050</v>
      </c>
      <c r="D485" s="1" t="s">
        <v>6218</v>
      </c>
      <c r="E485" s="1"/>
      <c r="F485" s="1"/>
      <c r="G485" s="1" t="s">
        <v>6260</v>
      </c>
      <c r="H485" s="1" t="s">
        <v>6261</v>
      </c>
      <c r="I485" s="1" t="s">
        <v>6262</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6263</v>
      </c>
      <c r="AK485" s="1" t="s">
        <v>328</v>
      </c>
      <c r="AL485" s="1">
        <v>13</v>
      </c>
      <c r="AM485" s="1" t="s">
        <v>1806</v>
      </c>
      <c r="AN485" s="1" t="s">
        <v>4747</v>
      </c>
      <c r="AO485" s="1" t="s">
        <v>4744</v>
      </c>
      <c r="AP485" s="1">
        <v>0</v>
      </c>
      <c r="AQ485" s="1" t="s">
        <v>5852</v>
      </c>
      <c r="AR485" s="1" t="s">
        <v>1119</v>
      </c>
      <c r="AS485" s="1" t="s">
        <v>1129</v>
      </c>
      <c r="AT485" s="1" t="s">
        <v>328</v>
      </c>
      <c r="AU485" s="1">
        <v>6</v>
      </c>
      <c r="AV485" s="1">
        <v>0</v>
      </c>
      <c r="AW485" s="1" t="s">
        <v>5790</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6264</v>
      </c>
      <c r="C486" s="207" t="s">
        <v>6050</v>
      </c>
      <c r="D486" s="1" t="s">
        <v>6218</v>
      </c>
      <c r="E486" s="1"/>
      <c r="F486" s="1"/>
      <c r="G486" s="1" t="s">
        <v>6265</v>
      </c>
      <c r="H486" s="1" t="s">
        <v>6266</v>
      </c>
      <c r="I486" s="1" t="s">
        <v>6267</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6268</v>
      </c>
      <c r="AK486" s="1" t="s">
        <v>328</v>
      </c>
      <c r="AL486" s="1">
        <v>13</v>
      </c>
      <c r="AM486" s="1" t="s">
        <v>1806</v>
      </c>
      <c r="AN486" s="1" t="s">
        <v>4747</v>
      </c>
      <c r="AO486" s="1" t="s">
        <v>4744</v>
      </c>
      <c r="AP486" s="1">
        <v>0</v>
      </c>
      <c r="AQ486" s="1" t="s">
        <v>5852</v>
      </c>
      <c r="AR486" s="1" t="s">
        <v>1119</v>
      </c>
      <c r="AS486" s="1" t="s">
        <v>1129</v>
      </c>
      <c r="AT486" s="1" t="s">
        <v>328</v>
      </c>
      <c r="AU486" s="1">
        <v>6</v>
      </c>
      <c r="AV486" s="1">
        <v>0</v>
      </c>
      <c r="AW486" s="1" t="s">
        <v>5790</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6269</v>
      </c>
      <c r="C487" s="207" t="s">
        <v>98</v>
      </c>
      <c r="D487" s="1" t="s">
        <v>5988</v>
      </c>
      <c r="E487" s="1"/>
      <c r="F487" s="1"/>
      <c r="G487" s="1" t="s">
        <v>6270</v>
      </c>
      <c r="H487" s="1" t="s">
        <v>6271</v>
      </c>
      <c r="I487" s="1" t="s">
        <v>6272</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6273</v>
      </c>
      <c r="AK487" s="1" t="s">
        <v>328</v>
      </c>
      <c r="AL487" s="1">
        <v>13</v>
      </c>
      <c r="AM487" s="1" t="s">
        <v>4719</v>
      </c>
      <c r="AN487" s="1" t="s">
        <v>4747</v>
      </c>
      <c r="AO487" s="1" t="s">
        <v>4799</v>
      </c>
      <c r="AP487" s="1">
        <v>0</v>
      </c>
      <c r="AQ487" s="1" t="s">
        <v>1154</v>
      </c>
      <c r="AR487" s="1" t="s">
        <v>5993</v>
      </c>
      <c r="AS487" s="1" t="s">
        <v>5993</v>
      </c>
      <c r="AT487" s="1" t="s">
        <v>328</v>
      </c>
      <c r="AU487" s="1">
        <v>54</v>
      </c>
      <c r="AV487" s="1">
        <v>0</v>
      </c>
      <c r="AW487" s="1" t="s">
        <v>5790</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6274</v>
      </c>
      <c r="C488" s="207" t="s">
        <v>6275</v>
      </c>
      <c r="D488" s="1" t="s">
        <v>6275</v>
      </c>
      <c r="E488" s="1"/>
      <c r="F488" s="1"/>
      <c r="G488" s="1" t="s">
        <v>6276</v>
      </c>
      <c r="H488" s="1" t="s">
        <v>6277</v>
      </c>
      <c r="I488" s="1" t="s">
        <v>6278</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5993</v>
      </c>
      <c r="AS488" s="1" t="s">
        <v>5993</v>
      </c>
      <c r="AT488" s="1" t="s">
        <v>328</v>
      </c>
      <c r="AU488" s="1">
        <v>54</v>
      </c>
      <c r="AV488" s="1">
        <v>0</v>
      </c>
      <c r="AW488" s="1" t="s">
        <v>5790</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6279</v>
      </c>
      <c r="C489" s="207" t="s">
        <v>6280</v>
      </c>
      <c r="D489" s="1" t="s">
        <v>6280</v>
      </c>
      <c r="E489" s="1"/>
      <c r="F489" s="1"/>
      <c r="G489" s="1" t="s">
        <v>6281</v>
      </c>
      <c r="H489" s="1" t="s">
        <v>6282</v>
      </c>
      <c r="I489" s="1" t="s">
        <v>6283</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5790</v>
      </c>
      <c r="AX489" s="1" t="s">
        <v>1806</v>
      </c>
      <c r="AY489" s="1">
        <v>5</v>
      </c>
      <c r="AZ489" s="1">
        <v>0</v>
      </c>
      <c r="BA489" s="1" t="s">
        <v>328</v>
      </c>
      <c r="BB489" s="1" t="s">
        <v>328</v>
      </c>
      <c r="BC489" s="1" t="s">
        <v>328</v>
      </c>
      <c r="BD489" s="1">
        <v>0</v>
      </c>
      <c r="BE489" s="1"/>
      <c r="BH489">
        <f>COUNTIF(Dropdowns!$I:$AF,C489)</f>
        <v>0</v>
      </c>
    </row>
    <row r="490" spans="1:60" x14ac:dyDescent="0.3">
      <c r="A490">
        <v>9101</v>
      </c>
      <c r="B490" t="s">
        <v>6603</v>
      </c>
      <c r="C490" s="208" t="s">
        <v>6604</v>
      </c>
      <c r="D490" t="s">
        <v>6604</v>
      </c>
      <c r="E490" t="s">
        <v>328</v>
      </c>
      <c r="F490" t="s">
        <v>328</v>
      </c>
      <c r="G490" t="s">
        <v>6605</v>
      </c>
      <c r="H490" t="s">
        <v>6606</v>
      </c>
      <c r="I490" t="s">
        <v>6607</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6608</v>
      </c>
      <c r="AK490" t="s">
        <v>328</v>
      </c>
      <c r="AL490">
        <v>13</v>
      </c>
      <c r="AM490" t="s">
        <v>1806</v>
      </c>
      <c r="AN490" t="s">
        <v>4747</v>
      </c>
      <c r="AO490" t="s">
        <v>4744</v>
      </c>
      <c r="AP490">
        <v>0</v>
      </c>
      <c r="AQ490" t="s">
        <v>5852</v>
      </c>
      <c r="AR490" t="s">
        <v>1119</v>
      </c>
      <c r="AS490" t="s">
        <v>1129</v>
      </c>
      <c r="AT490" t="s">
        <v>328</v>
      </c>
      <c r="AU490">
        <v>6</v>
      </c>
      <c r="AV490">
        <v>0</v>
      </c>
      <c r="AW490" t="s">
        <v>5790</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6461</v>
      </c>
      <c r="C496" s="207" t="s">
        <v>6462</v>
      </c>
      <c r="D496" s="1" t="s">
        <v>6462</v>
      </c>
      <c r="E496" s="1"/>
      <c r="F496" s="1"/>
      <c r="G496" s="1" t="s">
        <v>6463</v>
      </c>
      <c r="H496" s="1" t="s">
        <v>6464</v>
      </c>
      <c r="I496" s="1" t="s">
        <v>6465</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6466</v>
      </c>
      <c r="AL496" s="1">
        <v>13</v>
      </c>
      <c r="AM496" s="1" t="s">
        <v>1806</v>
      </c>
      <c r="AN496" s="1" t="s">
        <v>6467</v>
      </c>
      <c r="AO496" s="1" t="s">
        <v>6468</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5719</v>
      </c>
      <c r="C498" s="207" t="s">
        <v>5773</v>
      </c>
      <c r="D498" s="1" t="s">
        <v>5720</v>
      </c>
      <c r="E498" s="1"/>
      <c r="F498" s="1"/>
      <c r="G498" s="1" t="s">
        <v>5721</v>
      </c>
      <c r="H498" s="1" t="s">
        <v>5722</v>
      </c>
      <c r="I498" s="1" t="s">
        <v>5723</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5724</v>
      </c>
      <c r="AK498" s="1" t="s">
        <v>5725</v>
      </c>
      <c r="AL498" s="1">
        <v>13</v>
      </c>
      <c r="AM498" s="1" t="s">
        <v>398</v>
      </c>
      <c r="AN498" s="1" t="s">
        <v>5726</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6469</v>
      </c>
      <c r="C520" s="207" t="s">
        <v>6470</v>
      </c>
      <c r="D520" s="1" t="s">
        <v>6470</v>
      </c>
      <c r="E520" s="1"/>
      <c r="F520" s="1"/>
      <c r="G520" s="1" t="s">
        <v>6471</v>
      </c>
      <c r="H520" s="1" t="s">
        <v>6472</v>
      </c>
      <c r="I520" s="1" t="s">
        <v>6473</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6460</v>
      </c>
      <c r="AK520" s="1" t="s">
        <v>6474</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6475</v>
      </c>
      <c r="C531" s="207" t="s">
        <v>6508</v>
      </c>
      <c r="D531" s="1" t="s">
        <v>6476</v>
      </c>
      <c r="E531" s="1"/>
      <c r="F531" s="1"/>
      <c r="G531" s="1" t="s">
        <v>6477</v>
      </c>
      <c r="H531" s="1" t="s">
        <v>6478</v>
      </c>
      <c r="I531" s="1" t="s">
        <v>6479</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6480</v>
      </c>
      <c r="AK531" s="1" t="s">
        <v>6481</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5727</v>
      </c>
      <c r="C546" s="207" t="s">
        <v>5728</v>
      </c>
      <c r="D546" s="1" t="s">
        <v>5728</v>
      </c>
      <c r="E546" s="1"/>
      <c r="F546" s="1"/>
      <c r="G546" s="1" t="s">
        <v>5729</v>
      </c>
      <c r="H546" s="1" t="s">
        <v>5730</v>
      </c>
      <c r="I546" s="1" t="s">
        <v>5731</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5732</v>
      </c>
      <c r="AK546" s="1" t="s">
        <v>328</v>
      </c>
      <c r="AL546" s="1">
        <v>12</v>
      </c>
      <c r="AM546" s="1" t="s">
        <v>4719</v>
      </c>
      <c r="AN546" s="1" t="s">
        <v>5147</v>
      </c>
      <c r="AO546" s="1" t="s">
        <v>5733</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5734</v>
      </c>
      <c r="C547" s="207" t="s">
        <v>5735</v>
      </c>
      <c r="D547" s="1" t="s">
        <v>5735</v>
      </c>
      <c r="E547" s="1"/>
      <c r="F547" s="1"/>
      <c r="G547" s="1" t="s">
        <v>5736</v>
      </c>
      <c r="H547" s="1" t="s">
        <v>5737</v>
      </c>
      <c r="I547" s="1" t="s">
        <v>5738</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5739</v>
      </c>
      <c r="AK547" s="1" t="s">
        <v>5740</v>
      </c>
      <c r="AL547" s="1">
        <v>14</v>
      </c>
      <c r="AM547" s="1" t="s">
        <v>4719</v>
      </c>
      <c r="AN547" s="1" t="s">
        <v>5741</v>
      </c>
      <c r="AO547" s="1" t="s">
        <v>5742</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6482</v>
      </c>
      <c r="C550" s="207" t="s">
        <v>6483</v>
      </c>
      <c r="D550" s="1" t="s">
        <v>6483</v>
      </c>
      <c r="E550" s="1"/>
      <c r="F550" s="1"/>
      <c r="G550" s="1" t="s">
        <v>6484</v>
      </c>
      <c r="H550" s="1" t="s">
        <v>6485</v>
      </c>
      <c r="I550" s="1" t="s">
        <v>6486</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6487</v>
      </c>
      <c r="AK550" s="1" t="s">
        <v>6488</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5743</v>
      </c>
      <c r="C552" s="207" t="s">
        <v>5744</v>
      </c>
      <c r="D552" s="1" t="s">
        <v>5744</v>
      </c>
      <c r="E552" s="1"/>
      <c r="F552" s="1"/>
      <c r="G552" s="1" t="s">
        <v>5745</v>
      </c>
      <c r="H552" s="1" t="s">
        <v>5746</v>
      </c>
      <c r="I552" s="1" t="s">
        <v>5747</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5748</v>
      </c>
      <c r="AK552" s="1" t="s">
        <v>5749</v>
      </c>
      <c r="AL552" s="1">
        <v>13</v>
      </c>
      <c r="AM552" s="1" t="s">
        <v>4719</v>
      </c>
      <c r="AN552" s="1" t="s">
        <v>4864</v>
      </c>
      <c r="AO552" s="1" t="s">
        <v>5750</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6284</v>
      </c>
      <c r="C553" s="207" t="s">
        <v>5777</v>
      </c>
      <c r="D553" s="1" t="s">
        <v>6285</v>
      </c>
      <c r="E553" s="1"/>
      <c r="F553" s="1"/>
      <c r="G553" s="1" t="s">
        <v>6286</v>
      </c>
      <c r="H553" s="1" t="s">
        <v>6287</v>
      </c>
      <c r="I553" s="1" t="s">
        <v>6288</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5788</v>
      </c>
      <c r="AR553" s="1" t="s">
        <v>1201</v>
      </c>
      <c r="AS553" s="1" t="s">
        <v>1202</v>
      </c>
      <c r="AT553" s="1" t="s">
        <v>328</v>
      </c>
      <c r="AU553" s="1">
        <v>156</v>
      </c>
      <c r="AV553" s="1">
        <v>0</v>
      </c>
      <c r="AW553" s="1" t="s">
        <v>5790</v>
      </c>
      <c r="AX553" s="1" t="s">
        <v>1806</v>
      </c>
      <c r="AY553" s="1">
        <v>4</v>
      </c>
      <c r="AZ553" s="1">
        <v>0</v>
      </c>
      <c r="BA553" s="1" t="s">
        <v>328</v>
      </c>
      <c r="BB553" s="1" t="s">
        <v>328</v>
      </c>
      <c r="BC553" s="1" t="s">
        <v>328</v>
      </c>
      <c r="BD553" s="1">
        <v>0</v>
      </c>
      <c r="BH553">
        <f>COUNTIF(Dropdowns!$I:$AF,C553)</f>
        <v>0</v>
      </c>
    </row>
    <row r="554" spans="1:60" x14ac:dyDescent="0.3">
      <c r="A554" s="1">
        <v>30164</v>
      </c>
      <c r="B554" s="1" t="s">
        <v>6289</v>
      </c>
      <c r="C554" s="207" t="s">
        <v>5778</v>
      </c>
      <c r="D554" s="1" t="s">
        <v>6290</v>
      </c>
      <c r="E554" s="1"/>
      <c r="F554" s="1"/>
      <c r="G554" s="1" t="s">
        <v>6291</v>
      </c>
      <c r="H554" s="1" t="s">
        <v>6292</v>
      </c>
      <c r="I554" s="1" t="s">
        <v>6293</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6294</v>
      </c>
      <c r="AK554" s="1" t="s">
        <v>1210</v>
      </c>
      <c r="AL554" s="1">
        <v>7</v>
      </c>
      <c r="AM554" s="1" t="s">
        <v>4716</v>
      </c>
      <c r="AN554" s="1" t="s">
        <v>5073</v>
      </c>
      <c r="AO554" s="1" t="s">
        <v>5074</v>
      </c>
      <c r="AP554" s="1">
        <v>0</v>
      </c>
      <c r="AQ554" s="1" t="s">
        <v>5788</v>
      </c>
      <c r="AR554" s="1" t="s">
        <v>1201</v>
      </c>
      <c r="AS554" s="1" t="s">
        <v>1202</v>
      </c>
      <c r="AT554" s="1" t="s">
        <v>328</v>
      </c>
      <c r="AU554" s="1">
        <v>164</v>
      </c>
      <c r="AV554" s="1">
        <v>0</v>
      </c>
      <c r="AW554" s="1" t="s">
        <v>5790</v>
      </c>
      <c r="AX554" s="1" t="s">
        <v>1806</v>
      </c>
      <c r="AY554" s="1">
        <v>5</v>
      </c>
      <c r="AZ554" s="1">
        <v>0</v>
      </c>
      <c r="BA554" s="1" t="s">
        <v>328</v>
      </c>
      <c r="BB554" s="1" t="s">
        <v>328</v>
      </c>
      <c r="BC554" s="1" t="s">
        <v>328</v>
      </c>
      <c r="BD554" s="1">
        <v>0</v>
      </c>
      <c r="BH554">
        <f>COUNTIF(Dropdowns!$I:$AF,C554)</f>
        <v>0</v>
      </c>
    </row>
    <row r="555" spans="1:60" x14ac:dyDescent="0.3">
      <c r="A555" s="1">
        <v>30229</v>
      </c>
      <c r="B555" s="1" t="s">
        <v>6295</v>
      </c>
      <c r="C555" s="207" t="s">
        <v>236</v>
      </c>
      <c r="D555" s="1" t="s">
        <v>6296</v>
      </c>
      <c r="E555" s="1"/>
      <c r="F555" s="1"/>
      <c r="G555" s="1" t="s">
        <v>6297</v>
      </c>
      <c r="H555" s="1" t="s">
        <v>6298</v>
      </c>
      <c r="I555" s="1" t="s">
        <v>6299</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6300</v>
      </c>
      <c r="AK555" s="1" t="s">
        <v>1244</v>
      </c>
      <c r="AL555" s="1">
        <v>9</v>
      </c>
      <c r="AM555" s="1" t="s">
        <v>4716</v>
      </c>
      <c r="AN555" s="1" t="s">
        <v>354</v>
      </c>
      <c r="AO555" s="1" t="s">
        <v>5190</v>
      </c>
      <c r="AP555" s="1">
        <v>0</v>
      </c>
      <c r="AQ555" s="1" t="s">
        <v>5788</v>
      </c>
      <c r="AR555" s="1" t="s">
        <v>1201</v>
      </c>
      <c r="AS555" s="1" t="s">
        <v>1202</v>
      </c>
      <c r="AT555" s="1" t="s">
        <v>328</v>
      </c>
      <c r="AU555" s="1">
        <v>229</v>
      </c>
      <c r="AV555" s="1">
        <v>0</v>
      </c>
      <c r="AW555" s="1" t="s">
        <v>5790</v>
      </c>
      <c r="AX555" s="1" t="s">
        <v>1806</v>
      </c>
      <c r="AY555" s="1">
        <v>5</v>
      </c>
      <c r="AZ555" s="1">
        <v>0</v>
      </c>
      <c r="BA555" s="1" t="s">
        <v>328</v>
      </c>
      <c r="BB555" s="1" t="s">
        <v>328</v>
      </c>
      <c r="BC555" s="1" t="s">
        <v>328</v>
      </c>
      <c r="BD555" s="1">
        <v>0</v>
      </c>
      <c r="BH555">
        <f>COUNTIF(Dropdowns!$I:$AF,C555)</f>
        <v>0</v>
      </c>
    </row>
    <row r="556" spans="1:60" x14ac:dyDescent="0.3">
      <c r="A556" s="1">
        <v>90001</v>
      </c>
      <c r="B556" s="1" t="s">
        <v>6301</v>
      </c>
      <c r="C556" s="207" t="s">
        <v>5776</v>
      </c>
      <c r="D556" s="1" t="s">
        <v>6302</v>
      </c>
      <c r="E556" s="1"/>
      <c r="F556" s="1"/>
      <c r="G556" s="1" t="s">
        <v>6303</v>
      </c>
      <c r="H556" s="1" t="s">
        <v>6304</v>
      </c>
      <c r="I556" s="1" t="s">
        <v>6305</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5790</v>
      </c>
      <c r="AX556" s="1" t="s">
        <v>1806</v>
      </c>
      <c r="AY556" s="1">
        <v>5</v>
      </c>
      <c r="AZ556" s="1">
        <v>0</v>
      </c>
      <c r="BA556" s="1" t="s">
        <v>328</v>
      </c>
      <c r="BB556" s="1" t="s">
        <v>328</v>
      </c>
      <c r="BC556" s="1" t="s">
        <v>328</v>
      </c>
      <c r="BD556" s="1">
        <v>0</v>
      </c>
      <c r="BH556">
        <f>COUNTIF(Dropdowns!$I:$AF,C556)</f>
        <v>0</v>
      </c>
    </row>
    <row r="557" spans="1:60" x14ac:dyDescent="0.3">
      <c r="A557" s="1">
        <v>369</v>
      </c>
      <c r="B557" s="1" t="s">
        <v>6637</v>
      </c>
      <c r="C557" s="207" t="s">
        <v>6638</v>
      </c>
      <c r="D557" s="1" t="s">
        <v>6638</v>
      </c>
      <c r="E557" s="1" t="s">
        <v>328</v>
      </c>
      <c r="F557" s="1" t="s">
        <v>328</v>
      </c>
      <c r="G557" s="1" t="s">
        <v>6639</v>
      </c>
      <c r="H557" s="1" t="s">
        <v>6640</v>
      </c>
      <c r="I557" s="1" t="s">
        <v>6641</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6642</v>
      </c>
      <c r="AK557" s="1" t="s">
        <v>6643</v>
      </c>
      <c r="AL557" s="1">
        <v>14</v>
      </c>
      <c r="AM557" s="1" t="s">
        <v>1806</v>
      </c>
      <c r="AN557" s="1" t="s">
        <v>6644</v>
      </c>
      <c r="AO557" s="1" t="s">
        <v>4954</v>
      </c>
      <c r="AP557" s="1">
        <v>0</v>
      </c>
      <c r="AQ557" s="1" t="s">
        <v>1118</v>
      </c>
      <c r="AR557" s="1" t="s">
        <v>1119</v>
      </c>
      <c r="AS557" s="1" t="s">
        <v>1120</v>
      </c>
      <c r="AT557" s="1" t="s">
        <v>328</v>
      </c>
      <c r="AU557" s="1">
        <v>4</v>
      </c>
      <c r="AV557" s="1">
        <v>0</v>
      </c>
      <c r="AW557" s="1" t="s">
        <v>6645</v>
      </c>
      <c r="AX557" s="1" t="s">
        <v>6646</v>
      </c>
      <c r="AY557" s="1">
        <v>5</v>
      </c>
      <c r="AZ557" s="1">
        <v>0</v>
      </c>
      <c r="BA557" s="1" t="s">
        <v>328</v>
      </c>
      <c r="BB557" s="1" t="s">
        <v>328</v>
      </c>
      <c r="BC557" s="1" t="s">
        <v>4720</v>
      </c>
      <c r="BD557" s="1">
        <v>10703</v>
      </c>
      <c r="BE557">
        <v>0</v>
      </c>
      <c r="BH557">
        <f>COUNTIF(Dropdowns!$I:$AF,C557)</f>
        <v>0</v>
      </c>
    </row>
    <row r="558" spans="1:60" x14ac:dyDescent="0.3">
      <c r="A558" s="1">
        <v>370</v>
      </c>
      <c r="B558" s="1" t="s">
        <v>6647</v>
      </c>
      <c r="C558" s="207" t="s">
        <v>6648</v>
      </c>
      <c r="D558" s="1" t="s">
        <v>6648</v>
      </c>
      <c r="E558" s="1" t="s">
        <v>328</v>
      </c>
      <c r="F558" s="1" t="s">
        <v>328</v>
      </c>
      <c r="G558" s="1" t="s">
        <v>6649</v>
      </c>
      <c r="H558" s="1" t="s">
        <v>6650</v>
      </c>
      <c r="I558" s="1" t="s">
        <v>6651</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6652</v>
      </c>
      <c r="AK558" s="1" t="s">
        <v>6653</v>
      </c>
      <c r="AL558" s="1">
        <v>13</v>
      </c>
      <c r="AM558" s="1" t="s">
        <v>1806</v>
      </c>
      <c r="AN558" s="1" t="s">
        <v>5726</v>
      </c>
      <c r="AO558" s="1" t="s">
        <v>6654</v>
      </c>
      <c r="AP558" s="1">
        <v>0</v>
      </c>
      <c r="AQ558" s="1" t="s">
        <v>1118</v>
      </c>
      <c r="AR558" s="1" t="s">
        <v>1119</v>
      </c>
      <c r="AS558" s="1" t="s">
        <v>1120</v>
      </c>
      <c r="AT558" s="1" t="s">
        <v>328</v>
      </c>
      <c r="AU558" s="1">
        <v>212</v>
      </c>
      <c r="AV558" s="1">
        <v>0</v>
      </c>
      <c r="AW558" s="1" t="s">
        <v>6645</v>
      </c>
      <c r="AX558" s="1" t="s">
        <v>6646</v>
      </c>
      <c r="AY558" s="1">
        <v>4</v>
      </c>
      <c r="AZ558" s="1">
        <v>0</v>
      </c>
      <c r="BA558" s="1" t="s">
        <v>328</v>
      </c>
      <c r="BB558" s="1" t="s">
        <v>328</v>
      </c>
      <c r="BC558" s="1" t="s">
        <v>4720</v>
      </c>
      <c r="BD558" s="1">
        <v>10402</v>
      </c>
      <c r="BE558">
        <v>0</v>
      </c>
      <c r="BH558">
        <f>COUNTIF(Dropdowns!$I:$AF,C558)</f>
        <v>0</v>
      </c>
    </row>
    <row r="559" spans="1:60" x14ac:dyDescent="0.3">
      <c r="A559" s="1">
        <v>371</v>
      </c>
      <c r="B559" s="1" t="s">
        <v>6655</v>
      </c>
      <c r="C559" s="207" t="s">
        <v>6656</v>
      </c>
      <c r="D559" s="1" t="s">
        <v>6656</v>
      </c>
      <c r="E559" s="1" t="s">
        <v>328</v>
      </c>
      <c r="F559" s="1" t="s">
        <v>328</v>
      </c>
      <c r="G559" s="1" t="s">
        <v>6657</v>
      </c>
      <c r="H559" s="1" t="s">
        <v>6658</v>
      </c>
      <c r="I559" s="1" t="s">
        <v>6659</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6660</v>
      </c>
      <c r="AK559" s="1" t="s">
        <v>328</v>
      </c>
      <c r="AL559" s="1">
        <v>13</v>
      </c>
      <c r="AM559" s="1" t="s">
        <v>1806</v>
      </c>
      <c r="AN559" s="1" t="s">
        <v>5726</v>
      </c>
      <c r="AO559" s="1" t="s">
        <v>4832</v>
      </c>
      <c r="AP559" s="1">
        <v>0</v>
      </c>
      <c r="AQ559" s="1" t="s">
        <v>1140</v>
      </c>
      <c r="AR559" s="1" t="s">
        <v>1141</v>
      </c>
      <c r="AS559" s="1" t="s">
        <v>1142</v>
      </c>
      <c r="AT559" s="1" t="s">
        <v>328</v>
      </c>
      <c r="AU559" s="1">
        <v>241</v>
      </c>
      <c r="AV559" s="1">
        <v>0</v>
      </c>
      <c r="AW559" s="1" t="s">
        <v>6645</v>
      </c>
      <c r="AX559" s="1" t="s">
        <v>6661</v>
      </c>
      <c r="AY559" s="1">
        <v>4</v>
      </c>
      <c r="AZ559" s="1">
        <v>0</v>
      </c>
      <c r="BA559" s="1" t="s">
        <v>328</v>
      </c>
      <c r="BB559" s="1" t="s">
        <v>328</v>
      </c>
      <c r="BC559" s="1" t="s">
        <v>4757</v>
      </c>
      <c r="BD559" s="1">
        <v>10302</v>
      </c>
      <c r="BE559">
        <v>0</v>
      </c>
      <c r="BH559">
        <f>COUNTIF(Dropdowns!$I:$AF,C559)</f>
        <v>1</v>
      </c>
    </row>
    <row r="560" spans="1:60" x14ac:dyDescent="0.3">
      <c r="A560" s="1">
        <v>372</v>
      </c>
      <c r="B560" s="1" t="s">
        <v>6662</v>
      </c>
      <c r="C560" s="207" t="s">
        <v>6663</v>
      </c>
      <c r="D560" s="1" t="s">
        <v>6663</v>
      </c>
      <c r="E560" s="1" t="s">
        <v>328</v>
      </c>
      <c r="F560" s="1" t="s">
        <v>328</v>
      </c>
      <c r="G560" s="1" t="s">
        <v>6664</v>
      </c>
      <c r="H560" s="1" t="s">
        <v>6665</v>
      </c>
      <c r="I560" s="1" t="s">
        <v>6666</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6667</v>
      </c>
      <c r="AK560" s="1" t="s">
        <v>6668</v>
      </c>
      <c r="AL560" s="1">
        <v>14</v>
      </c>
      <c r="AM560" s="1" t="s">
        <v>398</v>
      </c>
      <c r="AN560" s="1" t="s">
        <v>5311</v>
      </c>
      <c r="AO560" s="1" t="s">
        <v>5057</v>
      </c>
      <c r="AP560" s="1">
        <v>0</v>
      </c>
      <c r="AQ560" s="1" t="s">
        <v>1130</v>
      </c>
      <c r="AR560" s="1" t="s">
        <v>1154</v>
      </c>
      <c r="AS560" s="1" t="s">
        <v>1129</v>
      </c>
      <c r="AT560" s="1" t="s">
        <v>328</v>
      </c>
      <c r="AU560" s="1">
        <v>48</v>
      </c>
      <c r="AV560" s="1">
        <v>0</v>
      </c>
      <c r="AW560" s="1" t="s">
        <v>6645</v>
      </c>
      <c r="AX560" s="1" t="s">
        <v>6669</v>
      </c>
      <c r="AY560" s="1">
        <v>5</v>
      </c>
      <c r="AZ560" s="1">
        <v>0</v>
      </c>
      <c r="BA560" s="1" t="s">
        <v>328</v>
      </c>
      <c r="BB560" s="1" t="s">
        <v>328</v>
      </c>
      <c r="BC560" s="1" t="s">
        <v>4720</v>
      </c>
      <c r="BD560" s="1">
        <v>10202</v>
      </c>
      <c r="BE560">
        <v>0</v>
      </c>
      <c r="BH560">
        <f>COUNTIF(Dropdowns!$I:$AF,C560)</f>
        <v>1</v>
      </c>
    </row>
    <row r="561" spans="1:60" x14ac:dyDescent="0.3">
      <c r="A561" s="1">
        <v>373</v>
      </c>
      <c r="B561" s="1" t="s">
        <v>6670</v>
      </c>
      <c r="C561" s="207" t="s">
        <v>6671</v>
      </c>
      <c r="D561" s="1" t="s">
        <v>6671</v>
      </c>
      <c r="E561" s="1" t="s">
        <v>328</v>
      </c>
      <c r="F561" s="1" t="s">
        <v>328</v>
      </c>
      <c r="G561" s="1" t="s">
        <v>6672</v>
      </c>
      <c r="H561" s="1" t="s">
        <v>6673</v>
      </c>
      <c r="I561" s="1" t="s">
        <v>6674</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6675</v>
      </c>
      <c r="AL561" s="1">
        <v>13</v>
      </c>
      <c r="AM561" s="1" t="s">
        <v>4719</v>
      </c>
      <c r="AN561" s="1" t="s">
        <v>4864</v>
      </c>
      <c r="AO561" s="1" t="s">
        <v>4832</v>
      </c>
      <c r="AP561" s="1">
        <v>0</v>
      </c>
      <c r="AQ561" s="1" t="s">
        <v>1130</v>
      </c>
      <c r="AR561" s="1" t="s">
        <v>1154</v>
      </c>
      <c r="AS561" s="1" t="s">
        <v>1129</v>
      </c>
      <c r="AT561" s="1" t="s">
        <v>328</v>
      </c>
      <c r="AU561" s="1">
        <v>48</v>
      </c>
      <c r="AV561" s="1">
        <v>0</v>
      </c>
      <c r="AW561" s="1" t="s">
        <v>6645</v>
      </c>
      <c r="AX561" s="1" t="s">
        <v>6661</v>
      </c>
      <c r="AY561" s="1">
        <v>4</v>
      </c>
      <c r="AZ561" s="1">
        <v>0</v>
      </c>
      <c r="BA561" s="1" t="s">
        <v>328</v>
      </c>
      <c r="BB561" s="1" t="s">
        <v>328</v>
      </c>
      <c r="BC561" s="1" t="s">
        <v>4720</v>
      </c>
      <c r="BD561" s="1">
        <v>10802</v>
      </c>
      <c r="BE561">
        <v>0</v>
      </c>
      <c r="BH561">
        <f>COUNTIF(Dropdowns!$I:$AF,C561)</f>
        <v>1</v>
      </c>
    </row>
    <row r="562" spans="1:60" x14ac:dyDescent="0.3">
      <c r="A562" s="1">
        <v>374</v>
      </c>
      <c r="B562" s="1" t="s">
        <v>6676</v>
      </c>
      <c r="C562" s="207" t="s">
        <v>6677</v>
      </c>
      <c r="D562" s="1" t="s">
        <v>6677</v>
      </c>
      <c r="E562" s="1" t="s">
        <v>328</v>
      </c>
      <c r="F562" s="1" t="s">
        <v>328</v>
      </c>
      <c r="G562" s="1" t="s">
        <v>6678</v>
      </c>
      <c r="H562" s="1" t="s">
        <v>6679</v>
      </c>
      <c r="I562" s="1" t="s">
        <v>6680</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6681</v>
      </c>
      <c r="AK562" s="1" t="s">
        <v>6682</v>
      </c>
      <c r="AL562" s="1">
        <v>19</v>
      </c>
      <c r="AM562" s="1" t="s">
        <v>387</v>
      </c>
      <c r="AN562" s="1" t="s">
        <v>6683</v>
      </c>
      <c r="AO562" s="1" t="s">
        <v>6684</v>
      </c>
      <c r="AP562" s="1">
        <v>0</v>
      </c>
      <c r="AQ562" s="1" t="s">
        <v>1167</v>
      </c>
      <c r="AR562" s="1" t="s">
        <v>1168</v>
      </c>
      <c r="AS562" s="1" t="s">
        <v>1169</v>
      </c>
      <c r="AT562" s="1" t="s">
        <v>328</v>
      </c>
      <c r="AU562" s="1">
        <v>238</v>
      </c>
      <c r="AV562" s="1">
        <v>0</v>
      </c>
      <c r="AW562" s="1" t="s">
        <v>6645</v>
      </c>
      <c r="AX562" s="1" t="s">
        <v>6661</v>
      </c>
      <c r="AY562" s="1">
        <v>5</v>
      </c>
      <c r="AZ562" s="1">
        <v>0</v>
      </c>
      <c r="BA562" s="1" t="s">
        <v>328</v>
      </c>
      <c r="BB562" s="1" t="s">
        <v>328</v>
      </c>
      <c r="BC562" s="1" t="s">
        <v>4853</v>
      </c>
      <c r="BD562" s="1">
        <v>10402</v>
      </c>
      <c r="BE562">
        <v>0</v>
      </c>
      <c r="BH562">
        <f>COUNTIF(Dropdowns!$I:$AF,C562)</f>
        <v>1</v>
      </c>
    </row>
    <row r="563" spans="1:60" x14ac:dyDescent="0.3">
      <c r="A563" s="1">
        <v>9102</v>
      </c>
      <c r="B563" s="1" t="s">
        <v>6685</v>
      </c>
      <c r="C563" s="207" t="s">
        <v>6686</v>
      </c>
      <c r="D563" s="1" t="s">
        <v>6686</v>
      </c>
      <c r="E563" s="1" t="s">
        <v>328</v>
      </c>
      <c r="F563" s="1" t="s">
        <v>328</v>
      </c>
      <c r="G563" s="1" t="s">
        <v>6687</v>
      </c>
      <c r="H563" s="1" t="s">
        <v>6688</v>
      </c>
      <c r="I563" s="1" t="s">
        <v>6689</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5790</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6690</v>
      </c>
      <c r="C564" s="207" t="s">
        <v>6691</v>
      </c>
      <c r="D564" s="1" t="s">
        <v>6691</v>
      </c>
      <c r="E564" s="1" t="s">
        <v>328</v>
      </c>
      <c r="F564" s="1" t="s">
        <v>328</v>
      </c>
      <c r="G564" s="1" t="s">
        <v>6692</v>
      </c>
      <c r="H564" s="1" t="s">
        <v>6693</v>
      </c>
      <c r="I564" s="1" t="s">
        <v>6694</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5790</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6695</v>
      </c>
      <c r="C565" s="207" t="s">
        <v>6696</v>
      </c>
      <c r="D565" s="1" t="s">
        <v>6696</v>
      </c>
      <c r="E565" s="1" t="s">
        <v>328</v>
      </c>
      <c r="F565" s="1" t="s">
        <v>328</v>
      </c>
      <c r="G565" s="1" t="s">
        <v>6697</v>
      </c>
      <c r="H565" s="1" t="s">
        <v>6698</v>
      </c>
      <c r="I565" s="1" t="s">
        <v>6699</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5790</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6700</v>
      </c>
      <c r="C566" s="207" t="s">
        <v>6754</v>
      </c>
      <c r="D566" s="1" t="s">
        <v>6701</v>
      </c>
      <c r="E566" s="1" t="s">
        <v>6629</v>
      </c>
      <c r="F566" s="1" t="s">
        <v>6630</v>
      </c>
      <c r="G566" s="1" t="s">
        <v>6702</v>
      </c>
      <c r="H566" s="1" t="s">
        <v>6703</v>
      </c>
      <c r="I566" s="1" t="s">
        <v>6704</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6705</v>
      </c>
      <c r="AK566" s="1" t="s">
        <v>6706</v>
      </c>
      <c r="AL566" s="1">
        <v>13</v>
      </c>
      <c r="AM566" s="1" t="s">
        <v>1806</v>
      </c>
      <c r="AN566" s="1" t="s">
        <v>4780</v>
      </c>
      <c r="AO566" s="1" t="s">
        <v>6707</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6708</v>
      </c>
      <c r="C567" s="207" t="s">
        <v>6755</v>
      </c>
      <c r="D567" s="1" t="s">
        <v>6709</v>
      </c>
      <c r="E567" s="1" t="s">
        <v>6631</v>
      </c>
      <c r="F567" s="1" t="s">
        <v>6632</v>
      </c>
      <c r="G567" s="1" t="s">
        <v>6710</v>
      </c>
      <c r="H567" s="1" t="s">
        <v>6711</v>
      </c>
      <c r="I567" s="1" t="s">
        <v>6712</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6713</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6714</v>
      </c>
      <c r="C568" s="207" t="s">
        <v>6756</v>
      </c>
      <c r="D568" s="1" t="s">
        <v>6715</v>
      </c>
      <c r="E568" s="1" t="s">
        <v>6633</v>
      </c>
      <c r="F568" s="1" t="s">
        <v>6634</v>
      </c>
      <c r="G568" s="1" t="s">
        <v>6716</v>
      </c>
      <c r="H568" s="1" t="s">
        <v>6717</v>
      </c>
      <c r="I568" s="1" t="s">
        <v>6718</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6719</v>
      </c>
      <c r="AK568" s="1" t="s">
        <v>6720</v>
      </c>
      <c r="AL568" s="1">
        <v>13</v>
      </c>
      <c r="AM568" s="1" t="s">
        <v>4762</v>
      </c>
      <c r="AN568" s="1" t="s">
        <v>5726</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6721</v>
      </c>
      <c r="C569" s="207" t="s">
        <v>6758</v>
      </c>
      <c r="D569" s="1" t="s">
        <v>6722</v>
      </c>
      <c r="E569" s="1" t="s">
        <v>6635</v>
      </c>
      <c r="F569" s="1" t="s">
        <v>6636</v>
      </c>
      <c r="G569" s="1" t="s">
        <v>6723</v>
      </c>
      <c r="H569" s="1" t="s">
        <v>6724</v>
      </c>
      <c r="I569" s="1" t="s">
        <v>6725</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6726</v>
      </c>
      <c r="AK569" s="1" t="s">
        <v>6727</v>
      </c>
      <c r="AL569" s="1">
        <v>13</v>
      </c>
      <c r="AM569" s="1" t="s">
        <v>4719</v>
      </c>
      <c r="AN569" s="1" t="s">
        <v>4864</v>
      </c>
      <c r="AO569" s="1" t="s">
        <v>6728</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6873</v>
      </c>
      <c r="C570" s="207" t="s">
        <v>6874</v>
      </c>
      <c r="D570" s="1" t="s">
        <v>6874</v>
      </c>
      <c r="E570" s="1" t="s">
        <v>328</v>
      </c>
      <c r="F570" s="1" t="s">
        <v>328</v>
      </c>
      <c r="G570" s="1" t="s">
        <v>6875</v>
      </c>
      <c r="H570" s="1" t="s">
        <v>6876</v>
      </c>
      <c r="I570" s="1" t="s">
        <v>6877</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6878</v>
      </c>
      <c r="AK570" s="1" t="s">
        <v>6879</v>
      </c>
      <c r="AL570" s="1">
        <v>18</v>
      </c>
      <c r="AM570" s="1" t="s">
        <v>1806</v>
      </c>
      <c r="AN570" s="1" t="s">
        <v>6880</v>
      </c>
      <c r="AO570" s="1" t="s">
        <v>6881</v>
      </c>
      <c r="AP570" s="1">
        <v>0</v>
      </c>
      <c r="AQ570" s="1" t="s">
        <v>1118</v>
      </c>
      <c r="AR570" s="1" t="s">
        <v>1119</v>
      </c>
      <c r="AS570" s="1" t="s">
        <v>1120</v>
      </c>
      <c r="AT570" s="1" t="s">
        <v>328</v>
      </c>
      <c r="AU570" s="1">
        <v>4</v>
      </c>
      <c r="AV570" s="1">
        <v>0</v>
      </c>
      <c r="AW570" s="1" t="s">
        <v>6882</v>
      </c>
      <c r="AX570" s="1" t="s">
        <v>4762</v>
      </c>
      <c r="AY570" s="1">
        <v>5</v>
      </c>
      <c r="AZ570" s="1">
        <v>0</v>
      </c>
      <c r="BA570" s="1" t="s">
        <v>328</v>
      </c>
      <c r="BB570" s="1" t="s">
        <v>328</v>
      </c>
      <c r="BC570" s="1" t="s">
        <v>4720</v>
      </c>
      <c r="BD570" s="1">
        <v>10701</v>
      </c>
      <c r="BE570">
        <v>0</v>
      </c>
    </row>
    <row r="571" spans="1:60" x14ac:dyDescent="0.3">
      <c r="A571" s="1">
        <v>376</v>
      </c>
      <c r="B571" s="1" t="s">
        <v>6883</v>
      </c>
      <c r="C571" s="207" t="s">
        <v>6884</v>
      </c>
      <c r="D571" s="1" t="s">
        <v>6884</v>
      </c>
      <c r="E571" s="1" t="s">
        <v>328</v>
      </c>
      <c r="F571" s="1" t="s">
        <v>328</v>
      </c>
      <c r="G571" s="1" t="s">
        <v>6885</v>
      </c>
      <c r="H571" s="1" t="s">
        <v>6886</v>
      </c>
      <c r="I571" s="1" t="s">
        <v>6887</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6888</v>
      </c>
      <c r="AK571" s="1" t="s">
        <v>6889</v>
      </c>
      <c r="AL571" s="1">
        <v>14</v>
      </c>
      <c r="AM571" s="1" t="s">
        <v>1806</v>
      </c>
      <c r="AN571" s="1" t="s">
        <v>6890</v>
      </c>
      <c r="AO571" s="1" t="s">
        <v>6891</v>
      </c>
      <c r="AP571" s="1">
        <v>0</v>
      </c>
      <c r="AQ571" s="1" t="s">
        <v>1129</v>
      </c>
      <c r="AR571" s="1" t="s">
        <v>1119</v>
      </c>
      <c r="AS571" s="1" t="s">
        <v>1130</v>
      </c>
      <c r="AT571" s="1" t="s">
        <v>328</v>
      </c>
      <c r="AU571" s="1">
        <v>150</v>
      </c>
      <c r="AV571" s="1">
        <v>0</v>
      </c>
      <c r="AW571" s="1" t="s">
        <v>6882</v>
      </c>
      <c r="AX571" s="1" t="s">
        <v>331</v>
      </c>
      <c r="AY571" s="1">
        <v>5</v>
      </c>
      <c r="AZ571" s="1">
        <v>0</v>
      </c>
      <c r="BA571" s="1" t="s">
        <v>328</v>
      </c>
      <c r="BB571" s="1" t="s">
        <v>328</v>
      </c>
      <c r="BC571" s="1" t="s">
        <v>4769</v>
      </c>
      <c r="BD571" s="1">
        <v>10703</v>
      </c>
      <c r="BE571">
        <v>0</v>
      </c>
    </row>
    <row r="572" spans="1:60" x14ac:dyDescent="0.3">
      <c r="A572" s="1">
        <v>377</v>
      </c>
      <c r="B572" s="1" t="s">
        <v>6892</v>
      </c>
      <c r="C572" s="207" t="s">
        <v>6893</v>
      </c>
      <c r="D572" s="1" t="s">
        <v>6894</v>
      </c>
      <c r="E572" s="1" t="s">
        <v>328</v>
      </c>
      <c r="F572" s="1" t="s">
        <v>328</v>
      </c>
      <c r="G572" s="1" t="s">
        <v>6895</v>
      </c>
      <c r="H572" s="1" t="s">
        <v>6896</v>
      </c>
      <c r="I572" s="1" t="s">
        <v>6897</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6898</v>
      </c>
      <c r="AK572" s="1" t="s">
        <v>6899</v>
      </c>
      <c r="AL572" s="1">
        <v>13</v>
      </c>
      <c r="AM572" s="1" t="s">
        <v>354</v>
      </c>
      <c r="AN572" s="1" t="s">
        <v>5384</v>
      </c>
      <c r="AO572" s="1" t="s">
        <v>5063</v>
      </c>
      <c r="AP572" s="1">
        <v>0</v>
      </c>
      <c r="AQ572" s="1" t="s">
        <v>1746</v>
      </c>
      <c r="AR572" s="1" t="s">
        <v>1141</v>
      </c>
      <c r="AS572" s="1" t="s">
        <v>1142</v>
      </c>
      <c r="AT572" s="1" t="s">
        <v>328</v>
      </c>
      <c r="AU572" s="1">
        <v>241</v>
      </c>
      <c r="AV572" s="1">
        <v>0</v>
      </c>
      <c r="AW572" s="1" t="s">
        <v>6882</v>
      </c>
      <c r="AX572" s="1" t="s">
        <v>331</v>
      </c>
      <c r="AY572" s="1">
        <v>5</v>
      </c>
      <c r="AZ572" s="1">
        <v>0</v>
      </c>
      <c r="BA572" s="1" t="s">
        <v>328</v>
      </c>
      <c r="BB572" s="1" t="s">
        <v>328</v>
      </c>
      <c r="BC572" s="1" t="s">
        <v>4853</v>
      </c>
      <c r="BD572" s="1">
        <v>10402</v>
      </c>
      <c r="BE572">
        <v>0</v>
      </c>
    </row>
    <row r="573" spans="1:60" x14ac:dyDescent="0.3">
      <c r="A573" s="1">
        <v>378</v>
      </c>
      <c r="B573" s="1" t="s">
        <v>6900</v>
      </c>
      <c r="C573" s="207" t="s">
        <v>6901</v>
      </c>
      <c r="D573" s="1" t="s">
        <v>6902</v>
      </c>
      <c r="E573" s="1" t="s">
        <v>328</v>
      </c>
      <c r="F573" s="1" t="s">
        <v>328</v>
      </c>
      <c r="G573" s="1" t="s">
        <v>6903</v>
      </c>
      <c r="H573" s="1" t="s">
        <v>6904</v>
      </c>
      <c r="I573" s="1" t="s">
        <v>6905</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6906</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6882</v>
      </c>
      <c r="AX573" s="1" t="s">
        <v>331</v>
      </c>
      <c r="AY573" s="1">
        <v>5</v>
      </c>
      <c r="AZ573" s="1">
        <v>0</v>
      </c>
      <c r="BA573" s="1" t="s">
        <v>328</v>
      </c>
      <c r="BB573" s="1" t="s">
        <v>328</v>
      </c>
      <c r="BC573" s="1" t="s">
        <v>4853</v>
      </c>
      <c r="BD573" s="1">
        <v>10201</v>
      </c>
      <c r="BE573">
        <v>0</v>
      </c>
    </row>
    <row r="574" spans="1:60" x14ac:dyDescent="0.3">
      <c r="A574" s="1">
        <v>1035</v>
      </c>
      <c r="B574" s="1" t="s">
        <v>6969</v>
      </c>
      <c r="C574" s="207" t="s">
        <v>6970</v>
      </c>
      <c r="D574" s="1" t="s">
        <v>6970</v>
      </c>
      <c r="E574" s="1" t="s">
        <v>328</v>
      </c>
      <c r="F574" s="1" t="s">
        <v>328</v>
      </c>
      <c r="G574" s="1" t="s">
        <v>6971</v>
      </c>
      <c r="H574" s="1" t="s">
        <v>6972</v>
      </c>
      <c r="I574" s="1" t="s">
        <v>6973</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6974</v>
      </c>
      <c r="AK574" s="1" t="s">
        <v>6975</v>
      </c>
      <c r="AL574" s="1">
        <v>13</v>
      </c>
      <c r="AM574" s="1" t="s">
        <v>1806</v>
      </c>
      <c r="AN574" s="1" t="s">
        <v>6976</v>
      </c>
      <c r="AO574" s="1" t="s">
        <v>4751</v>
      </c>
      <c r="AP574" s="1">
        <v>0</v>
      </c>
      <c r="AQ574" s="1" t="s">
        <v>1118</v>
      </c>
      <c r="AR574" s="1" t="s">
        <v>1743</v>
      </c>
      <c r="AS574" s="1" t="s">
        <v>1120</v>
      </c>
      <c r="AT574" s="1" t="s">
        <v>328</v>
      </c>
      <c r="AU574" s="1">
        <v>1035</v>
      </c>
      <c r="AV574" s="1">
        <v>1</v>
      </c>
      <c r="AW574" s="1" t="s">
        <v>6977</v>
      </c>
      <c r="AX574" s="1" t="s">
        <v>6978</v>
      </c>
      <c r="AY574" s="1">
        <v>7</v>
      </c>
      <c r="AZ574" s="1">
        <v>0</v>
      </c>
      <c r="BA574" s="1" t="s">
        <v>328</v>
      </c>
      <c r="BB574" s="1" t="s">
        <v>328</v>
      </c>
      <c r="BC574" s="1" t="s">
        <v>5386</v>
      </c>
      <c r="BD574" s="1">
        <v>0</v>
      </c>
      <c r="BE574">
        <v>0</v>
      </c>
    </row>
    <row r="575" spans="1:60" x14ac:dyDescent="0.3">
      <c r="A575" s="1">
        <v>1036</v>
      </c>
      <c r="B575" s="1" t="s">
        <v>6979</v>
      </c>
      <c r="C575" s="207" t="s">
        <v>6980</v>
      </c>
      <c r="D575" s="1" t="s">
        <v>6980</v>
      </c>
      <c r="E575" s="1" t="s">
        <v>328</v>
      </c>
      <c r="F575" s="1" t="s">
        <v>328</v>
      </c>
      <c r="G575" s="1" t="s">
        <v>6981</v>
      </c>
      <c r="H575" s="1" t="s">
        <v>6982</v>
      </c>
      <c r="I575" s="1" t="s">
        <v>6983</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6984</v>
      </c>
      <c r="AK575" s="1" t="s">
        <v>328</v>
      </c>
      <c r="AL575" s="1">
        <v>12</v>
      </c>
      <c r="AM575" s="1" t="s">
        <v>1806</v>
      </c>
      <c r="AN575" s="1" t="s">
        <v>6985</v>
      </c>
      <c r="AO575" s="1" t="s">
        <v>4809</v>
      </c>
      <c r="AP575" s="1">
        <v>0</v>
      </c>
      <c r="AQ575" s="1" t="s">
        <v>1129</v>
      </c>
      <c r="AR575" s="1" t="s">
        <v>1743</v>
      </c>
      <c r="AS575" s="1" t="s">
        <v>1130</v>
      </c>
      <c r="AT575" s="1" t="s">
        <v>328</v>
      </c>
      <c r="AU575" s="1">
        <v>1036</v>
      </c>
      <c r="AV575" s="1">
        <v>1</v>
      </c>
      <c r="AW575" s="1" t="s">
        <v>6977</v>
      </c>
      <c r="AX575" s="1" t="s">
        <v>6978</v>
      </c>
      <c r="AY575" s="1">
        <v>7</v>
      </c>
      <c r="AZ575" s="1">
        <v>0</v>
      </c>
      <c r="BA575" s="1" t="s">
        <v>328</v>
      </c>
      <c r="BB575" s="1" t="s">
        <v>328</v>
      </c>
      <c r="BC575" s="1" t="s">
        <v>5386</v>
      </c>
      <c r="BD575" s="1">
        <v>0</v>
      </c>
      <c r="BE575">
        <v>0</v>
      </c>
    </row>
    <row r="576" spans="1:60" x14ac:dyDescent="0.3">
      <c r="A576" s="1">
        <v>1037</v>
      </c>
      <c r="B576" s="1" t="s">
        <v>6986</v>
      </c>
      <c r="C576" s="207" t="s">
        <v>235</v>
      </c>
      <c r="D576" s="1" t="s">
        <v>235</v>
      </c>
      <c r="E576" s="1" t="s">
        <v>328</v>
      </c>
      <c r="F576" s="1" t="s">
        <v>328</v>
      </c>
      <c r="G576" s="1" t="s">
        <v>6987</v>
      </c>
      <c r="H576" s="1" t="s">
        <v>6988</v>
      </c>
      <c r="I576" s="1" t="s">
        <v>6989</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6990</v>
      </c>
      <c r="AK576" s="1" t="s">
        <v>6991</v>
      </c>
      <c r="AL576" s="1">
        <v>18</v>
      </c>
      <c r="AM576" s="1" t="s">
        <v>1806</v>
      </c>
      <c r="AN576" s="1" t="s">
        <v>6992</v>
      </c>
      <c r="AO576" s="1" t="s">
        <v>5019</v>
      </c>
      <c r="AP576" s="1">
        <v>0</v>
      </c>
      <c r="AQ576" s="1" t="s">
        <v>1140</v>
      </c>
      <c r="AR576" s="1" t="s">
        <v>4835</v>
      </c>
      <c r="AS576" s="1" t="s">
        <v>1142</v>
      </c>
      <c r="AT576" s="1" t="s">
        <v>328</v>
      </c>
      <c r="AU576" s="1">
        <v>1037</v>
      </c>
      <c r="AV576" s="1">
        <v>1</v>
      </c>
      <c r="AW576" s="1" t="s">
        <v>6977</v>
      </c>
      <c r="AX576" s="1" t="s">
        <v>6993</v>
      </c>
      <c r="AY576" s="1">
        <v>7</v>
      </c>
      <c r="AZ576" s="1">
        <v>0</v>
      </c>
      <c r="BA576" s="1" t="s">
        <v>328</v>
      </c>
      <c r="BB576" s="1" t="s">
        <v>328</v>
      </c>
      <c r="BC576" s="1" t="s">
        <v>5386</v>
      </c>
      <c r="BD576" s="1">
        <v>0</v>
      </c>
      <c r="BE576">
        <v>0</v>
      </c>
    </row>
    <row r="577" spans="1:57" x14ac:dyDescent="0.3">
      <c r="A577" s="1">
        <v>1038</v>
      </c>
      <c r="B577" s="1" t="s">
        <v>6994</v>
      </c>
      <c r="C577" s="207" t="s">
        <v>6995</v>
      </c>
      <c r="D577" s="1" t="s">
        <v>6995</v>
      </c>
      <c r="E577" s="1" t="s">
        <v>328</v>
      </c>
      <c r="F577" s="1" t="s">
        <v>328</v>
      </c>
      <c r="G577" s="1" t="s">
        <v>6996</v>
      </c>
      <c r="H577" s="1" t="s">
        <v>6997</v>
      </c>
      <c r="I577" s="1" t="s">
        <v>6998</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6999</v>
      </c>
      <c r="AK577" s="1" t="s">
        <v>7000</v>
      </c>
      <c r="AL577" s="1">
        <v>19</v>
      </c>
      <c r="AM577" s="1" t="s">
        <v>1806</v>
      </c>
      <c r="AN577" s="1" t="s">
        <v>7001</v>
      </c>
      <c r="AO577" s="1" t="s">
        <v>5258</v>
      </c>
      <c r="AP577" s="1">
        <v>0</v>
      </c>
      <c r="AQ577" s="1" t="s">
        <v>1130</v>
      </c>
      <c r="AR577" s="1" t="s">
        <v>1154</v>
      </c>
      <c r="AS577" s="1" t="s">
        <v>1744</v>
      </c>
      <c r="AT577" s="1" t="s">
        <v>328</v>
      </c>
      <c r="AU577" s="1">
        <v>1038</v>
      </c>
      <c r="AV577" s="1">
        <v>1</v>
      </c>
      <c r="AW577" s="1" t="s">
        <v>6977</v>
      </c>
      <c r="AX577" s="1" t="s">
        <v>7002</v>
      </c>
      <c r="AY577" s="1">
        <v>7</v>
      </c>
      <c r="AZ577" s="1">
        <v>0</v>
      </c>
      <c r="BA577" s="1" t="s">
        <v>328</v>
      </c>
      <c r="BB577" s="1" t="s">
        <v>328</v>
      </c>
      <c r="BC577" s="1" t="s">
        <v>5386</v>
      </c>
      <c r="BD577" s="1">
        <v>0</v>
      </c>
      <c r="BE577">
        <v>0</v>
      </c>
    </row>
    <row r="578" spans="1:57" x14ac:dyDescent="0.3">
      <c r="A578" s="1">
        <v>1039</v>
      </c>
      <c r="B578" s="1" t="s">
        <v>7003</v>
      </c>
      <c r="C578" s="207" t="s">
        <v>7004</v>
      </c>
      <c r="D578" s="1" t="s">
        <v>7004</v>
      </c>
      <c r="E578" s="1" t="s">
        <v>328</v>
      </c>
      <c r="F578" s="1" t="s">
        <v>328</v>
      </c>
      <c r="G578" s="1" t="s">
        <v>7005</v>
      </c>
      <c r="H578" s="1" t="s">
        <v>7006</v>
      </c>
      <c r="I578" s="1" t="s">
        <v>7007</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7008</v>
      </c>
      <c r="AK578" s="1" t="s">
        <v>328</v>
      </c>
      <c r="AL578" s="1">
        <v>17</v>
      </c>
      <c r="AM578" s="1" t="s">
        <v>1806</v>
      </c>
      <c r="AN578" s="1" t="s">
        <v>7009</v>
      </c>
      <c r="AO578" s="1" t="s">
        <v>5258</v>
      </c>
      <c r="AP578" s="1">
        <v>0</v>
      </c>
      <c r="AQ578" s="1" t="s">
        <v>1130</v>
      </c>
      <c r="AR578" s="1" t="s">
        <v>1154</v>
      </c>
      <c r="AS578" s="1" t="s">
        <v>1744</v>
      </c>
      <c r="AT578" s="1" t="s">
        <v>328</v>
      </c>
      <c r="AU578" s="1">
        <v>1039</v>
      </c>
      <c r="AV578" s="1">
        <v>1</v>
      </c>
      <c r="AW578" s="1" t="s">
        <v>6977</v>
      </c>
      <c r="AX578" s="1" t="s">
        <v>7002</v>
      </c>
      <c r="AY578" s="1">
        <v>7</v>
      </c>
      <c r="AZ578" s="1">
        <v>0</v>
      </c>
      <c r="BA578" s="1" t="s">
        <v>328</v>
      </c>
      <c r="BB578" s="1" t="s">
        <v>328</v>
      </c>
      <c r="BC578" s="1" t="s">
        <v>5386</v>
      </c>
      <c r="BD578" s="1">
        <v>0</v>
      </c>
      <c r="BE578">
        <v>0</v>
      </c>
    </row>
    <row r="579" spans="1:57" x14ac:dyDescent="0.3">
      <c r="A579" s="1">
        <v>1040</v>
      </c>
      <c r="B579" s="1" t="s">
        <v>7010</v>
      </c>
      <c r="C579" s="207" t="s">
        <v>7011</v>
      </c>
      <c r="D579" s="1" t="s">
        <v>7011</v>
      </c>
      <c r="E579" s="1" t="s">
        <v>328</v>
      </c>
      <c r="F579" s="1" t="s">
        <v>328</v>
      </c>
      <c r="G579" s="1" t="s">
        <v>7012</v>
      </c>
      <c r="H579" s="1" t="s">
        <v>7013</v>
      </c>
      <c r="I579" s="1" t="s">
        <v>7014</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7015</v>
      </c>
      <c r="AK579" s="1" t="s">
        <v>7016</v>
      </c>
      <c r="AL579" s="1">
        <v>14</v>
      </c>
      <c r="AM579" s="1" t="s">
        <v>1806</v>
      </c>
      <c r="AN579" s="1" t="s">
        <v>7017</v>
      </c>
      <c r="AO579" s="1" t="s">
        <v>4985</v>
      </c>
      <c r="AP579" s="1">
        <v>0</v>
      </c>
      <c r="AQ579" s="1" t="s">
        <v>1167</v>
      </c>
      <c r="AR579" s="1" t="s">
        <v>4911</v>
      </c>
      <c r="AS579" s="1" t="s">
        <v>6967</v>
      </c>
      <c r="AT579" s="1" t="s">
        <v>328</v>
      </c>
      <c r="AU579" s="1">
        <v>1040</v>
      </c>
      <c r="AV579" s="1">
        <v>1</v>
      </c>
      <c r="AW579" s="1" t="s">
        <v>6977</v>
      </c>
      <c r="AX579" s="1" t="s">
        <v>6978</v>
      </c>
      <c r="AY579" s="1">
        <v>7</v>
      </c>
      <c r="AZ579" s="1">
        <v>0</v>
      </c>
      <c r="BA579" s="1" t="s">
        <v>328</v>
      </c>
      <c r="BB579" s="1" t="s">
        <v>328</v>
      </c>
      <c r="BC579" s="1" t="s">
        <v>5386</v>
      </c>
      <c r="BD579" s="1">
        <v>0</v>
      </c>
      <c r="BE579">
        <v>0</v>
      </c>
    </row>
    <row r="580" spans="1:57" x14ac:dyDescent="0.3">
      <c r="A580" s="1">
        <v>1041</v>
      </c>
      <c r="B580" s="1" t="s">
        <v>7018</v>
      </c>
      <c r="C580" s="207" t="s">
        <v>7019</v>
      </c>
      <c r="D580" s="1" t="s">
        <v>7019</v>
      </c>
      <c r="E580" s="1" t="s">
        <v>328</v>
      </c>
      <c r="F580" s="1" t="s">
        <v>328</v>
      </c>
      <c r="G580" s="1" t="s">
        <v>7020</v>
      </c>
      <c r="H580" s="1" t="s">
        <v>7021</v>
      </c>
      <c r="I580" s="1" t="s">
        <v>7022</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7023</v>
      </c>
      <c r="AK580" s="1" t="s">
        <v>328</v>
      </c>
      <c r="AL580" s="1">
        <v>8</v>
      </c>
      <c r="AM580" s="1" t="s">
        <v>1806</v>
      </c>
      <c r="AN580" s="1" t="s">
        <v>7024</v>
      </c>
      <c r="AO580" s="1" t="s">
        <v>4942</v>
      </c>
      <c r="AP580" s="1">
        <v>0</v>
      </c>
      <c r="AQ580" s="1" t="s">
        <v>5067</v>
      </c>
      <c r="AR580" s="1" t="s">
        <v>1201</v>
      </c>
      <c r="AS580" s="1" t="s">
        <v>6968</v>
      </c>
      <c r="AT580" s="1" t="s">
        <v>328</v>
      </c>
      <c r="AU580" s="1">
        <v>1041</v>
      </c>
      <c r="AV580" s="1">
        <v>1</v>
      </c>
      <c r="AW580" s="1" t="s">
        <v>6977</v>
      </c>
      <c r="AX580" s="1" t="s">
        <v>6993</v>
      </c>
      <c r="AY580" s="1">
        <v>7</v>
      </c>
      <c r="AZ580" s="1">
        <v>0</v>
      </c>
      <c r="BA580" s="1" t="s">
        <v>328</v>
      </c>
      <c r="BB580" s="1" t="s">
        <v>328</v>
      </c>
      <c r="BC580" s="1" t="s">
        <v>5386</v>
      </c>
      <c r="BD580" s="1">
        <v>0</v>
      </c>
      <c r="BE580">
        <v>0</v>
      </c>
    </row>
    <row r="581" spans="1:57" x14ac:dyDescent="0.3">
      <c r="A581" s="1">
        <v>9105</v>
      </c>
      <c r="B581" s="1" t="s">
        <v>7025</v>
      </c>
      <c r="C581" s="207" t="s">
        <v>7084</v>
      </c>
      <c r="D581" s="1" t="s">
        <v>7019</v>
      </c>
      <c r="E581" s="1" t="s">
        <v>328</v>
      </c>
      <c r="F581" s="1" t="s">
        <v>328</v>
      </c>
      <c r="G581" s="1" t="s">
        <v>7026</v>
      </c>
      <c r="H581" s="1" t="s">
        <v>7027</v>
      </c>
      <c r="I581" s="1" t="s">
        <v>7028</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7029</v>
      </c>
      <c r="AK581" s="1" t="s">
        <v>328</v>
      </c>
      <c r="AL581" s="1">
        <v>13</v>
      </c>
      <c r="AM581" s="1" t="s">
        <v>1806</v>
      </c>
      <c r="AN581" s="1" t="s">
        <v>4747</v>
      </c>
      <c r="AO581" s="1" t="s">
        <v>4744</v>
      </c>
      <c r="AP581" s="1">
        <v>0</v>
      </c>
      <c r="AQ581" s="1" t="s">
        <v>5852</v>
      </c>
      <c r="AR581" s="1" t="s">
        <v>1119</v>
      </c>
      <c r="AS581" s="1" t="s">
        <v>1129</v>
      </c>
      <c r="AT581" s="1" t="s">
        <v>328</v>
      </c>
      <c r="AU581" s="1">
        <v>6</v>
      </c>
      <c r="AV581" s="1">
        <v>0</v>
      </c>
      <c r="AW581" s="1" t="s">
        <v>5790</v>
      </c>
      <c r="AX581" s="1" t="s">
        <v>1806</v>
      </c>
      <c r="AY581" s="1">
        <v>3</v>
      </c>
      <c r="AZ581" s="1">
        <v>0</v>
      </c>
      <c r="BA581" s="1" t="s">
        <v>328</v>
      </c>
      <c r="BB581" s="1" t="s">
        <v>328</v>
      </c>
      <c r="BC581" s="1" t="s">
        <v>328</v>
      </c>
      <c r="BD581" s="1">
        <v>0</v>
      </c>
      <c r="BE581">
        <v>0</v>
      </c>
    </row>
    <row r="582" spans="1:57" x14ac:dyDescent="0.3">
      <c r="A582" s="1">
        <v>9106</v>
      </c>
      <c r="B582" s="1" t="s">
        <v>7030</v>
      </c>
      <c r="C582" s="207" t="s">
        <v>7031</v>
      </c>
      <c r="D582" s="1" t="s">
        <v>7031</v>
      </c>
      <c r="E582" s="1" t="s">
        <v>328</v>
      </c>
      <c r="F582" s="1" t="s">
        <v>328</v>
      </c>
      <c r="G582" s="1" t="s">
        <v>7032</v>
      </c>
      <c r="H582" s="1" t="s">
        <v>7033</v>
      </c>
      <c r="I582" s="1" t="s">
        <v>7034</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5790</v>
      </c>
      <c r="AX582" s="1" t="s">
        <v>1806</v>
      </c>
      <c r="AY582" s="1">
        <v>5</v>
      </c>
      <c r="AZ582" s="1">
        <v>0</v>
      </c>
      <c r="BA582" s="1" t="s">
        <v>328</v>
      </c>
      <c r="BB582" s="1" t="s">
        <v>328</v>
      </c>
      <c r="BC582" s="1" t="s">
        <v>328</v>
      </c>
      <c r="BD582" s="1">
        <v>0</v>
      </c>
      <c r="BE582">
        <v>0</v>
      </c>
    </row>
    <row r="583" spans="1:57" x14ac:dyDescent="0.3">
      <c r="A583" s="1">
        <v>9107</v>
      </c>
      <c r="B583" s="1" t="s">
        <v>7035</v>
      </c>
      <c r="C583" s="207" t="s">
        <v>7085</v>
      </c>
      <c r="D583" s="1" t="s">
        <v>6970</v>
      </c>
      <c r="E583" s="1" t="s">
        <v>328</v>
      </c>
      <c r="F583" s="1" t="s">
        <v>328</v>
      </c>
      <c r="G583" s="1" t="s">
        <v>7036</v>
      </c>
      <c r="H583" s="1" t="s">
        <v>7037</v>
      </c>
      <c r="I583" s="1" t="s">
        <v>7038</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7039</v>
      </c>
      <c r="AK583" s="1" t="s">
        <v>328</v>
      </c>
      <c r="AL583" s="1">
        <v>17</v>
      </c>
      <c r="AM583" s="1" t="s">
        <v>1806</v>
      </c>
      <c r="AN583" s="1" t="s">
        <v>7040</v>
      </c>
      <c r="AO583" s="1" t="s">
        <v>4751</v>
      </c>
      <c r="AP583" s="1">
        <v>0</v>
      </c>
      <c r="AQ583" s="1" t="s">
        <v>1118</v>
      </c>
      <c r="AR583" s="1" t="s">
        <v>1119</v>
      </c>
      <c r="AS583" s="1" t="s">
        <v>1120</v>
      </c>
      <c r="AT583" s="1" t="s">
        <v>328</v>
      </c>
      <c r="AU583" s="1">
        <v>1006</v>
      </c>
      <c r="AV583" s="1">
        <v>1</v>
      </c>
      <c r="AW583" s="1" t="s">
        <v>5790</v>
      </c>
      <c r="AX583" s="1" t="s">
        <v>1806</v>
      </c>
      <c r="AY583" s="1">
        <v>7</v>
      </c>
      <c r="AZ583" s="1">
        <v>0</v>
      </c>
      <c r="BA583" s="1" t="s">
        <v>328</v>
      </c>
      <c r="BB583" s="1" t="s">
        <v>328</v>
      </c>
      <c r="BC583" s="1" t="s">
        <v>5386</v>
      </c>
      <c r="BD583" s="1">
        <v>0</v>
      </c>
      <c r="BE583">
        <v>0</v>
      </c>
    </row>
    <row r="584" spans="1:57" x14ac:dyDescent="0.3">
      <c r="A584" s="1">
        <v>9108</v>
      </c>
      <c r="B584" s="1" t="s">
        <v>7041</v>
      </c>
      <c r="C584" s="207" t="s">
        <v>7086</v>
      </c>
      <c r="D584" s="1" t="s">
        <v>235</v>
      </c>
      <c r="E584" s="1" t="s">
        <v>328</v>
      </c>
      <c r="F584" s="1" t="s">
        <v>328</v>
      </c>
      <c r="G584" s="1" t="s">
        <v>7042</v>
      </c>
      <c r="H584" s="1" t="s">
        <v>7043</v>
      </c>
      <c r="I584" s="1" t="s">
        <v>7044</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7045</v>
      </c>
      <c r="AK584" s="1" t="s">
        <v>328</v>
      </c>
      <c r="AL584" s="1">
        <v>19</v>
      </c>
      <c r="AM584" s="1" t="s">
        <v>1806</v>
      </c>
      <c r="AN584" s="1" t="s">
        <v>7046</v>
      </c>
      <c r="AO584" s="1" t="s">
        <v>5019</v>
      </c>
      <c r="AP584" s="1">
        <v>0</v>
      </c>
      <c r="AQ584" s="1" t="s">
        <v>1140</v>
      </c>
      <c r="AR584" s="1" t="s">
        <v>1141</v>
      </c>
      <c r="AS584" s="1" t="s">
        <v>1142</v>
      </c>
      <c r="AT584" s="1" t="s">
        <v>328</v>
      </c>
      <c r="AU584" s="1">
        <v>150</v>
      </c>
      <c r="AV584" s="1">
        <v>1</v>
      </c>
      <c r="AW584" s="1" t="s">
        <v>5790</v>
      </c>
      <c r="AX584" s="1" t="s">
        <v>1806</v>
      </c>
      <c r="AY584" s="1">
        <v>7</v>
      </c>
      <c r="AZ584" s="1">
        <v>0</v>
      </c>
      <c r="BA584" s="1" t="s">
        <v>328</v>
      </c>
      <c r="BB584" s="1" t="s">
        <v>328</v>
      </c>
      <c r="BC584" s="1" t="s">
        <v>5386</v>
      </c>
      <c r="BD584" s="1">
        <v>0</v>
      </c>
      <c r="BE584">
        <v>0</v>
      </c>
    </row>
    <row r="585" spans="1:57" x14ac:dyDescent="0.3">
      <c r="A585" s="1">
        <v>9109</v>
      </c>
      <c r="B585" s="1" t="s">
        <v>7047</v>
      </c>
      <c r="C585" s="207" t="s">
        <v>7048</v>
      </c>
      <c r="D585" s="1" t="s">
        <v>7048</v>
      </c>
      <c r="E585" s="1" t="s">
        <v>328</v>
      </c>
      <c r="F585" s="1" t="s">
        <v>328</v>
      </c>
      <c r="G585" s="1" t="s">
        <v>7049</v>
      </c>
      <c r="H585" s="1" t="s">
        <v>7050</v>
      </c>
      <c r="I585" s="1" t="s">
        <v>7051</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5852</v>
      </c>
      <c r="AR585" s="1" t="s">
        <v>1119</v>
      </c>
      <c r="AS585" s="1" t="s">
        <v>1129</v>
      </c>
      <c r="AT585" s="1" t="s">
        <v>328</v>
      </c>
      <c r="AU585" s="1">
        <v>6</v>
      </c>
      <c r="AV585" s="1">
        <v>0</v>
      </c>
      <c r="AW585" s="1" t="s">
        <v>5790</v>
      </c>
      <c r="AX585" s="1" t="s">
        <v>1806</v>
      </c>
      <c r="AY585" s="1">
        <v>5</v>
      </c>
      <c r="AZ585" s="1">
        <v>0</v>
      </c>
      <c r="BA585" s="1" t="s">
        <v>328</v>
      </c>
      <c r="BB585" s="1" t="s">
        <v>328</v>
      </c>
      <c r="BC585" s="1" t="s">
        <v>328</v>
      </c>
      <c r="BD585" s="1">
        <v>0</v>
      </c>
      <c r="BE585">
        <v>0</v>
      </c>
    </row>
    <row r="586" spans="1:57" x14ac:dyDescent="0.3">
      <c r="A586" s="1">
        <v>379</v>
      </c>
      <c r="B586" s="1" t="s">
        <v>7104</v>
      </c>
      <c r="C586" s="207" t="s">
        <v>7105</v>
      </c>
      <c r="D586" s="1" t="s">
        <v>7105</v>
      </c>
      <c r="E586" s="1" t="s">
        <v>328</v>
      </c>
      <c r="F586" s="1" t="s">
        <v>328</v>
      </c>
      <c r="G586" s="1" t="s">
        <v>7106</v>
      </c>
      <c r="H586" s="1" t="s">
        <v>7107</v>
      </c>
      <c r="I586" s="1" t="s">
        <v>7108</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7109</v>
      </c>
      <c r="AO586" s="1" t="s">
        <v>5063</v>
      </c>
      <c r="AP586" s="1">
        <v>0</v>
      </c>
      <c r="AQ586" s="1" t="s">
        <v>1118</v>
      </c>
      <c r="AR586" s="1" t="s">
        <v>1119</v>
      </c>
      <c r="AS586" s="1" t="s">
        <v>1120</v>
      </c>
      <c r="AT586" s="1" t="s">
        <v>328</v>
      </c>
      <c r="AU586" s="1">
        <v>212</v>
      </c>
      <c r="AV586" s="1">
        <v>0</v>
      </c>
      <c r="AW586" s="1" t="s">
        <v>7110</v>
      </c>
      <c r="AX586" s="1" t="s">
        <v>4762</v>
      </c>
      <c r="AY586" s="1">
        <v>4</v>
      </c>
      <c r="AZ586" s="1">
        <v>0</v>
      </c>
      <c r="BA586" s="1" t="s">
        <v>328</v>
      </c>
      <c r="BB586" s="1" t="s">
        <v>328</v>
      </c>
      <c r="BC586" s="1" t="s">
        <v>328</v>
      </c>
      <c r="BD586" s="1">
        <v>10301</v>
      </c>
      <c r="BE586">
        <v>0</v>
      </c>
    </row>
    <row r="587" spans="1:57" x14ac:dyDescent="0.3">
      <c r="A587" s="1">
        <v>380</v>
      </c>
      <c r="B587" s="1" t="s">
        <v>7111</v>
      </c>
      <c r="C587" s="207" t="s">
        <v>7112</v>
      </c>
      <c r="D587" s="1" t="s">
        <v>7112</v>
      </c>
      <c r="E587" s="1" t="s">
        <v>328</v>
      </c>
      <c r="F587" s="1" t="s">
        <v>328</v>
      </c>
      <c r="G587" s="1" t="s">
        <v>7113</v>
      </c>
      <c r="H587" s="1" t="s">
        <v>7114</v>
      </c>
      <c r="I587" s="1" t="s">
        <v>7115</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7116</v>
      </c>
      <c r="AK587" s="1" t="s">
        <v>7117</v>
      </c>
      <c r="AL587" s="1">
        <v>13</v>
      </c>
      <c r="AM587" s="1" t="s">
        <v>4790</v>
      </c>
      <c r="AN587" s="1" t="s">
        <v>4795</v>
      </c>
      <c r="AO587" s="1" t="s">
        <v>5417</v>
      </c>
      <c r="AP587" s="1">
        <v>0</v>
      </c>
      <c r="AQ587" s="1" t="s">
        <v>1129</v>
      </c>
      <c r="AR587" s="1" t="s">
        <v>1119</v>
      </c>
      <c r="AS587" s="1" t="s">
        <v>1130</v>
      </c>
      <c r="AT587" s="1" t="s">
        <v>328</v>
      </c>
      <c r="AU587" s="1">
        <v>150</v>
      </c>
      <c r="AV587" s="1">
        <v>0</v>
      </c>
      <c r="AW587" s="1" t="s">
        <v>7110</v>
      </c>
      <c r="AX587" s="1" t="s">
        <v>331</v>
      </c>
      <c r="AY587" s="1">
        <v>4</v>
      </c>
      <c r="AZ587" s="1">
        <v>0</v>
      </c>
      <c r="BA587" s="1" t="s">
        <v>328</v>
      </c>
      <c r="BB587" s="1" t="s">
        <v>328</v>
      </c>
      <c r="BC587" s="1" t="s">
        <v>328</v>
      </c>
      <c r="BD587" s="1">
        <v>10402</v>
      </c>
      <c r="BE587">
        <v>0</v>
      </c>
    </row>
    <row r="588" spans="1:57" x14ac:dyDescent="0.3">
      <c r="A588" s="1">
        <v>381</v>
      </c>
      <c r="B588" s="1" t="s">
        <v>7118</v>
      </c>
      <c r="C588" s="207" t="s">
        <v>7119</v>
      </c>
      <c r="D588" s="1" t="s">
        <v>7119</v>
      </c>
      <c r="E588" s="1" t="s">
        <v>328</v>
      </c>
      <c r="F588" s="1" t="s">
        <v>328</v>
      </c>
      <c r="G588" s="1" t="s">
        <v>7120</v>
      </c>
      <c r="H588" s="1" t="s">
        <v>7121</v>
      </c>
      <c r="I588" s="1" t="s">
        <v>7122</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7123</v>
      </c>
      <c r="AK588" s="1" t="s">
        <v>328</v>
      </c>
      <c r="AL588" s="1">
        <v>17</v>
      </c>
      <c r="AM588" s="1" t="s">
        <v>4762</v>
      </c>
      <c r="AN588" s="1" t="s">
        <v>7124</v>
      </c>
      <c r="AO588" s="1" t="s">
        <v>4845</v>
      </c>
      <c r="AP588" s="1">
        <v>0</v>
      </c>
      <c r="AQ588" s="1" t="s">
        <v>1140</v>
      </c>
      <c r="AR588" s="1" t="s">
        <v>1141</v>
      </c>
      <c r="AS588" s="1" t="s">
        <v>1142</v>
      </c>
      <c r="AT588" s="1" t="s">
        <v>328</v>
      </c>
      <c r="AU588" s="1">
        <v>241</v>
      </c>
      <c r="AV588" s="1">
        <v>0</v>
      </c>
      <c r="AW588" s="1" t="s">
        <v>7110</v>
      </c>
      <c r="AX588" s="1" t="s">
        <v>331</v>
      </c>
      <c r="AY588" s="1">
        <v>5</v>
      </c>
      <c r="AZ588" s="1">
        <v>0</v>
      </c>
      <c r="BA588" s="1" t="s">
        <v>328</v>
      </c>
      <c r="BB588" s="1" t="s">
        <v>328</v>
      </c>
      <c r="BC588" s="1" t="s">
        <v>4720</v>
      </c>
      <c r="BD588" s="1">
        <v>10705</v>
      </c>
      <c r="BE588">
        <v>0</v>
      </c>
    </row>
    <row r="589" spans="1:57" x14ac:dyDescent="0.3">
      <c r="A589" s="1">
        <v>382</v>
      </c>
      <c r="B589" s="1" t="s">
        <v>7125</v>
      </c>
      <c r="C589" s="207" t="s">
        <v>7126</v>
      </c>
      <c r="D589" s="1" t="s">
        <v>7126</v>
      </c>
      <c r="E589" s="1" t="s">
        <v>328</v>
      </c>
      <c r="F589" s="1" t="s">
        <v>328</v>
      </c>
      <c r="G589" s="1" t="s">
        <v>7127</v>
      </c>
      <c r="H589" s="1" t="s">
        <v>7128</v>
      </c>
      <c r="I589" s="1" t="s">
        <v>7129</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7130</v>
      </c>
      <c r="AK589" s="1" t="s">
        <v>7131</v>
      </c>
      <c r="AL589" s="1">
        <v>12</v>
      </c>
      <c r="AM589" s="1" t="s">
        <v>398</v>
      </c>
      <c r="AN589" s="1" t="s">
        <v>7132</v>
      </c>
      <c r="AO589" s="1" t="s">
        <v>4998</v>
      </c>
      <c r="AP589" s="1">
        <v>0</v>
      </c>
      <c r="AQ589" s="1" t="s">
        <v>1130</v>
      </c>
      <c r="AR589" s="1" t="s">
        <v>1154</v>
      </c>
      <c r="AS589" s="1" t="s">
        <v>1129</v>
      </c>
      <c r="AT589" s="1" t="s">
        <v>328</v>
      </c>
      <c r="AU589" s="1">
        <v>48</v>
      </c>
      <c r="AV589" s="1">
        <v>0</v>
      </c>
      <c r="AW589" s="1" t="s">
        <v>7110</v>
      </c>
      <c r="AX589" s="1" t="s">
        <v>331</v>
      </c>
      <c r="AY589" s="1">
        <v>4</v>
      </c>
      <c r="AZ589" s="1">
        <v>0</v>
      </c>
      <c r="BA589" s="1" t="s">
        <v>328</v>
      </c>
      <c r="BB589" s="1" t="s">
        <v>328</v>
      </c>
      <c r="BC589" s="1" t="s">
        <v>328</v>
      </c>
      <c r="BD589" s="1">
        <v>10402</v>
      </c>
      <c r="BE589">
        <v>0</v>
      </c>
    </row>
    <row r="590" spans="1:57" x14ac:dyDescent="0.3">
      <c r="A590">
        <v>20080</v>
      </c>
      <c r="B590" t="s">
        <v>7140</v>
      </c>
      <c r="C590" s="208" t="s">
        <v>7141</v>
      </c>
      <c r="D590" t="s">
        <v>7141</v>
      </c>
      <c r="E590" t="s">
        <v>7133</v>
      </c>
      <c r="F590" t="s">
        <v>7134</v>
      </c>
      <c r="G590" t="s">
        <v>7142</v>
      </c>
      <c r="H590" t="s">
        <v>7143</v>
      </c>
      <c r="I590" t="s">
        <v>7144</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7145</v>
      </c>
      <c r="AK590" t="s">
        <v>328</v>
      </c>
      <c r="AL590">
        <v>19</v>
      </c>
      <c r="AM590" t="s">
        <v>4858</v>
      </c>
      <c r="AN590" t="s">
        <v>5204</v>
      </c>
      <c r="AO590" t="s">
        <v>7146</v>
      </c>
      <c r="AP590">
        <v>0</v>
      </c>
      <c r="AQ590" t="s">
        <v>1167</v>
      </c>
      <c r="AR590" t="s">
        <v>4911</v>
      </c>
      <c r="AS590" t="s">
        <v>7135</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7147</v>
      </c>
      <c r="C591" s="208" t="s">
        <v>7148</v>
      </c>
      <c r="D591" t="s">
        <v>7148</v>
      </c>
      <c r="E591" t="s">
        <v>7136</v>
      </c>
      <c r="F591" t="s">
        <v>7137</v>
      </c>
      <c r="G591" t="s">
        <v>7149</v>
      </c>
      <c r="H591" t="s">
        <v>7150</v>
      </c>
      <c r="I591" t="s">
        <v>7151</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7152</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7153</v>
      </c>
      <c r="C592" s="208" t="s">
        <v>7192</v>
      </c>
      <c r="D592" t="s">
        <v>7154</v>
      </c>
      <c r="E592" t="s">
        <v>7138</v>
      </c>
      <c r="F592" t="s">
        <v>7139</v>
      </c>
      <c r="G592" t="s">
        <v>7155</v>
      </c>
      <c r="H592" t="s">
        <v>7156</v>
      </c>
      <c r="I592" t="s">
        <v>7157</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7158</v>
      </c>
      <c r="AK592" t="s">
        <v>7159</v>
      </c>
      <c r="AL592">
        <v>14</v>
      </c>
      <c r="AM592" t="s">
        <v>4790</v>
      </c>
      <c r="AN592" t="s">
        <v>7160</v>
      </c>
      <c r="AO592" t="s">
        <v>7161</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7162</v>
      </c>
      <c r="C593" s="208" t="s">
        <v>7163</v>
      </c>
      <c r="D593" t="s">
        <v>7163</v>
      </c>
      <c r="E593" t="s">
        <v>328</v>
      </c>
      <c r="F593" t="s">
        <v>328</v>
      </c>
      <c r="G593" t="s">
        <v>7164</v>
      </c>
      <c r="H593" t="s">
        <v>7165</v>
      </c>
      <c r="I593" t="s">
        <v>7166</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7167</v>
      </c>
      <c r="AL593">
        <v>8</v>
      </c>
      <c r="AM593" t="s">
        <v>335</v>
      </c>
      <c r="AN593" t="s">
        <v>4728</v>
      </c>
      <c r="AO593" t="s">
        <v>7168</v>
      </c>
      <c r="AP593">
        <v>0</v>
      </c>
      <c r="AQ593" t="s">
        <v>5067</v>
      </c>
      <c r="AR593" t="s">
        <v>1201</v>
      </c>
      <c r="AS593" t="s">
        <v>6968</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7193</v>
      </c>
      <c r="C594" s="208" t="s">
        <v>7194</v>
      </c>
      <c r="D594" t="s">
        <v>7194</v>
      </c>
      <c r="E594" t="s">
        <v>328</v>
      </c>
      <c r="F594" t="s">
        <v>328</v>
      </c>
      <c r="G594" t="s">
        <v>7195</v>
      </c>
      <c r="H594" t="s">
        <v>7196</v>
      </c>
      <c r="I594" t="s">
        <v>7197</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7198</v>
      </c>
      <c r="AK594" t="s">
        <v>328</v>
      </c>
      <c r="AL594">
        <v>13</v>
      </c>
      <c r="AM594" t="s">
        <v>1806</v>
      </c>
      <c r="AN594" t="s">
        <v>5398</v>
      </c>
      <c r="AO594" t="s">
        <v>7199</v>
      </c>
      <c r="AP594">
        <v>0</v>
      </c>
      <c r="AQ594" t="s">
        <v>1118</v>
      </c>
      <c r="AR594" t="s">
        <v>1119</v>
      </c>
      <c r="AS594" t="s">
        <v>1120</v>
      </c>
      <c r="AT594" t="s">
        <v>328</v>
      </c>
      <c r="AU594">
        <v>212</v>
      </c>
      <c r="AV594">
        <v>0</v>
      </c>
      <c r="AW594" t="s">
        <v>7200</v>
      </c>
      <c r="AX594" t="s">
        <v>7201</v>
      </c>
      <c r="AY594">
        <v>4</v>
      </c>
      <c r="AZ594">
        <v>0</v>
      </c>
      <c r="BA594" t="s">
        <v>328</v>
      </c>
      <c r="BB594" t="s">
        <v>328</v>
      </c>
      <c r="BC594" t="s">
        <v>4769</v>
      </c>
      <c r="BD594">
        <v>10703</v>
      </c>
      <c r="BE594">
        <v>0</v>
      </c>
    </row>
    <row r="595" spans="1:57" x14ac:dyDescent="0.3">
      <c r="A595">
        <v>384</v>
      </c>
      <c r="B595" t="s">
        <v>7202</v>
      </c>
      <c r="C595" s="208" t="s">
        <v>7203</v>
      </c>
      <c r="D595" t="s">
        <v>7203</v>
      </c>
      <c r="E595" t="s">
        <v>328</v>
      </c>
      <c r="F595" t="s">
        <v>328</v>
      </c>
      <c r="G595" t="s">
        <v>7204</v>
      </c>
      <c r="H595" t="s">
        <v>7205</v>
      </c>
      <c r="I595" t="s">
        <v>7206</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7207</v>
      </c>
      <c r="AK595" t="s">
        <v>7208</v>
      </c>
      <c r="AL595">
        <v>13</v>
      </c>
      <c r="AM595" t="s">
        <v>4790</v>
      </c>
      <c r="AN595" t="s">
        <v>388</v>
      </c>
      <c r="AO595" t="s">
        <v>5030</v>
      </c>
      <c r="AP595">
        <v>0</v>
      </c>
      <c r="AQ595" t="s">
        <v>1129</v>
      </c>
      <c r="AR595" t="s">
        <v>1119</v>
      </c>
      <c r="AS595" t="s">
        <v>1130</v>
      </c>
      <c r="AT595" t="s">
        <v>328</v>
      </c>
      <c r="AU595">
        <v>150</v>
      </c>
      <c r="AV595">
        <v>0</v>
      </c>
      <c r="AW595" t="s">
        <v>7200</v>
      </c>
      <c r="AX595" t="s">
        <v>7209</v>
      </c>
      <c r="AY595">
        <v>5</v>
      </c>
      <c r="AZ595">
        <v>0</v>
      </c>
      <c r="BA595" t="s">
        <v>328</v>
      </c>
      <c r="BB595" t="s">
        <v>328</v>
      </c>
      <c r="BC595" t="s">
        <v>328</v>
      </c>
      <c r="BD595">
        <v>10702</v>
      </c>
      <c r="BE595">
        <v>0</v>
      </c>
    </row>
    <row r="596" spans="1:57" x14ac:dyDescent="0.3">
      <c r="A596">
        <v>385</v>
      </c>
      <c r="B596" t="s">
        <v>7210</v>
      </c>
      <c r="C596" s="208" t="s">
        <v>7211</v>
      </c>
      <c r="D596" t="s">
        <v>7211</v>
      </c>
      <c r="E596" t="s">
        <v>328</v>
      </c>
      <c r="F596" t="s">
        <v>328</v>
      </c>
      <c r="G596" t="s">
        <v>7212</v>
      </c>
      <c r="H596" t="s">
        <v>7213</v>
      </c>
      <c r="I596" t="s">
        <v>7214</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7215</v>
      </c>
      <c r="AK596" t="s">
        <v>7216</v>
      </c>
      <c r="AL596">
        <v>12</v>
      </c>
      <c r="AM596" t="s">
        <v>4719</v>
      </c>
      <c r="AN596" t="s">
        <v>5188</v>
      </c>
      <c r="AO596" t="s">
        <v>5090</v>
      </c>
      <c r="AP596">
        <v>0</v>
      </c>
      <c r="AQ596" t="s">
        <v>1130</v>
      </c>
      <c r="AR596" t="s">
        <v>1154</v>
      </c>
      <c r="AS596" t="s">
        <v>1129</v>
      </c>
      <c r="AT596" t="s">
        <v>328</v>
      </c>
      <c r="AU596">
        <v>48</v>
      </c>
      <c r="AV596">
        <v>0</v>
      </c>
      <c r="AW596" t="s">
        <v>7200</v>
      </c>
      <c r="AX596" t="s">
        <v>7217</v>
      </c>
      <c r="AY596">
        <v>5</v>
      </c>
      <c r="AZ596">
        <v>0</v>
      </c>
      <c r="BA596" t="s">
        <v>328</v>
      </c>
      <c r="BB596" t="s">
        <v>328</v>
      </c>
      <c r="BC596" t="s">
        <v>4769</v>
      </c>
      <c r="BD596">
        <v>10402</v>
      </c>
      <c r="BE596">
        <v>0</v>
      </c>
    </row>
    <row r="597" spans="1:57" x14ac:dyDescent="0.3">
      <c r="A597">
        <v>386</v>
      </c>
      <c r="B597" t="s">
        <v>7218</v>
      </c>
      <c r="C597" s="208" t="s">
        <v>7219</v>
      </c>
      <c r="D597" t="s">
        <v>7219</v>
      </c>
      <c r="E597" t="s">
        <v>328</v>
      </c>
      <c r="F597" t="s">
        <v>328</v>
      </c>
      <c r="G597" t="s">
        <v>7220</v>
      </c>
      <c r="H597" t="s">
        <v>7221</v>
      </c>
      <c r="I597" t="s">
        <v>7222</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7223</v>
      </c>
      <c r="AK597" t="s">
        <v>328</v>
      </c>
      <c r="AL597">
        <v>17</v>
      </c>
      <c r="AM597" t="s">
        <v>4858</v>
      </c>
      <c r="AN597" t="s">
        <v>7224</v>
      </c>
      <c r="AO597" t="s">
        <v>5155</v>
      </c>
      <c r="AP597">
        <v>0</v>
      </c>
      <c r="AQ597" t="s">
        <v>7225</v>
      </c>
      <c r="AR597" t="s">
        <v>5956</v>
      </c>
      <c r="AS597" t="s">
        <v>7226</v>
      </c>
      <c r="AT597" t="s">
        <v>328</v>
      </c>
      <c r="AU597">
        <v>238</v>
      </c>
      <c r="AV597">
        <v>0</v>
      </c>
      <c r="AW597" t="s">
        <v>7200</v>
      </c>
      <c r="AX597" t="s">
        <v>7217</v>
      </c>
      <c r="AY597">
        <v>5</v>
      </c>
      <c r="AZ597">
        <v>0</v>
      </c>
      <c r="BA597" t="s">
        <v>328</v>
      </c>
      <c r="BB597" t="s">
        <v>328</v>
      </c>
      <c r="BC597" t="s">
        <v>4720</v>
      </c>
      <c r="BD597">
        <v>10202</v>
      </c>
      <c r="BE597">
        <v>0</v>
      </c>
    </row>
    <row r="598" spans="1:57" x14ac:dyDescent="0.3">
      <c r="A598">
        <v>387</v>
      </c>
      <c r="B598" t="s">
        <v>7227</v>
      </c>
      <c r="C598" s="208" t="s">
        <v>7228</v>
      </c>
      <c r="D598" t="s">
        <v>7228</v>
      </c>
      <c r="E598" t="s">
        <v>328</v>
      </c>
      <c r="F598" t="s">
        <v>328</v>
      </c>
      <c r="G598" t="s">
        <v>7229</v>
      </c>
      <c r="H598" t="s">
        <v>7230</v>
      </c>
      <c r="I598" t="s">
        <v>7231</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7232</v>
      </c>
      <c r="AK598" t="s">
        <v>7233</v>
      </c>
      <c r="AL598">
        <v>7</v>
      </c>
      <c r="AM598" t="s">
        <v>387</v>
      </c>
      <c r="AN598" t="s">
        <v>7234</v>
      </c>
      <c r="AO598" t="s">
        <v>4910</v>
      </c>
      <c r="AP598">
        <v>0</v>
      </c>
      <c r="AQ598" t="s">
        <v>1200</v>
      </c>
      <c r="AR598" t="s">
        <v>1201</v>
      </c>
      <c r="AS598" t="s">
        <v>6968</v>
      </c>
      <c r="AT598" t="s">
        <v>328</v>
      </c>
      <c r="AU598">
        <v>229</v>
      </c>
      <c r="AV598">
        <v>0</v>
      </c>
      <c r="AW598" t="s">
        <v>7200</v>
      </c>
      <c r="AX598" t="s">
        <v>7201</v>
      </c>
      <c r="AY598">
        <v>5</v>
      </c>
      <c r="AZ598">
        <v>0</v>
      </c>
      <c r="BA598" t="s">
        <v>328</v>
      </c>
      <c r="BB598" t="s">
        <v>328</v>
      </c>
      <c r="BC598" t="s">
        <v>4853</v>
      </c>
      <c r="BD598">
        <v>10802</v>
      </c>
      <c r="BE598">
        <v>0</v>
      </c>
    </row>
    <row r="599" spans="1:57" x14ac:dyDescent="0.3">
      <c r="A599">
        <v>9110</v>
      </c>
      <c r="B599" t="s">
        <v>7235</v>
      </c>
      <c r="C599" s="208" t="s">
        <v>6121</v>
      </c>
      <c r="D599" t="s">
        <v>6121</v>
      </c>
      <c r="E599" t="s">
        <v>328</v>
      </c>
      <c r="F599" t="s">
        <v>328</v>
      </c>
      <c r="G599" t="s">
        <v>7236</v>
      </c>
      <c r="H599" t="s">
        <v>7237</v>
      </c>
      <c r="I599" t="s">
        <v>7238</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5790</v>
      </c>
      <c r="AX599" t="s">
        <v>1806</v>
      </c>
      <c r="AY599">
        <v>5</v>
      </c>
      <c r="AZ599">
        <v>0</v>
      </c>
      <c r="BA599" t="s">
        <v>328</v>
      </c>
      <c r="BB599" t="s">
        <v>328</v>
      </c>
      <c r="BC599" t="s">
        <v>328</v>
      </c>
      <c r="BD599">
        <v>0</v>
      </c>
      <c r="BE599">
        <v>0</v>
      </c>
    </row>
    <row r="600" spans="1:57" x14ac:dyDescent="0.3">
      <c r="A600">
        <v>9111</v>
      </c>
      <c r="B600" t="s">
        <v>7239</v>
      </c>
      <c r="C600" s="208" t="s">
        <v>7240</v>
      </c>
      <c r="D600" t="s">
        <v>7241</v>
      </c>
      <c r="E600" t="s">
        <v>328</v>
      </c>
      <c r="F600" t="s">
        <v>328</v>
      </c>
      <c r="G600" t="s">
        <v>7242</v>
      </c>
      <c r="H600" t="s">
        <v>7243</v>
      </c>
      <c r="I600" t="s">
        <v>7244</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5790</v>
      </c>
      <c r="AX600" t="s">
        <v>1806</v>
      </c>
      <c r="AY600">
        <v>5</v>
      </c>
      <c r="AZ600">
        <v>0</v>
      </c>
      <c r="BA600" t="s">
        <v>328</v>
      </c>
      <c r="BB600" t="s">
        <v>328</v>
      </c>
      <c r="BC600" t="s">
        <v>328</v>
      </c>
      <c r="BD600">
        <v>0</v>
      </c>
      <c r="BE600">
        <v>0</v>
      </c>
    </row>
    <row r="601" spans="1:57" x14ac:dyDescent="0.3">
      <c r="A601">
        <v>9112</v>
      </c>
      <c r="B601" t="s">
        <v>7245</v>
      </c>
      <c r="C601" s="208" t="s">
        <v>7246</v>
      </c>
      <c r="D601" t="s">
        <v>7247</v>
      </c>
      <c r="E601" t="s">
        <v>328</v>
      </c>
      <c r="F601" t="s">
        <v>328</v>
      </c>
      <c r="G601" t="s">
        <v>7248</v>
      </c>
      <c r="H601" t="s">
        <v>7249</v>
      </c>
      <c r="I601" t="s">
        <v>7250</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5790</v>
      </c>
      <c r="AX601" t="s">
        <v>1806</v>
      </c>
      <c r="AY601">
        <v>5</v>
      </c>
      <c r="AZ601">
        <v>0</v>
      </c>
      <c r="BA601" t="s">
        <v>328</v>
      </c>
      <c r="BB601" t="s">
        <v>328</v>
      </c>
      <c r="BC601" t="s">
        <v>328</v>
      </c>
      <c r="BD601">
        <v>0</v>
      </c>
      <c r="BE601">
        <v>0</v>
      </c>
    </row>
    <row r="602" spans="1:57" x14ac:dyDescent="0.3">
      <c r="A602">
        <v>9113</v>
      </c>
      <c r="B602" t="s">
        <v>7251</v>
      </c>
      <c r="C602" s="208" t="s">
        <v>7252</v>
      </c>
      <c r="D602" t="s">
        <v>7253</v>
      </c>
      <c r="E602" t="s">
        <v>328</v>
      </c>
      <c r="F602" t="s">
        <v>328</v>
      </c>
      <c r="G602" t="s">
        <v>7254</v>
      </c>
      <c r="H602" t="s">
        <v>7255</v>
      </c>
      <c r="I602" t="s">
        <v>7256</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5790</v>
      </c>
      <c r="AX602" t="s">
        <v>1806</v>
      </c>
      <c r="AY602">
        <v>5</v>
      </c>
      <c r="AZ602">
        <v>0</v>
      </c>
      <c r="BA602" t="s">
        <v>328</v>
      </c>
      <c r="BB602" t="s">
        <v>328</v>
      </c>
      <c r="BC602" t="s">
        <v>328</v>
      </c>
      <c r="BD602">
        <v>0</v>
      </c>
      <c r="BE602">
        <v>0</v>
      </c>
    </row>
    <row r="603" spans="1:57" x14ac:dyDescent="0.3">
      <c r="A603">
        <v>9114</v>
      </c>
      <c r="B603" t="s">
        <v>7257</v>
      </c>
      <c r="C603" s="208" t="s">
        <v>7258</v>
      </c>
      <c r="D603" t="s">
        <v>7259</v>
      </c>
      <c r="E603" t="s">
        <v>328</v>
      </c>
      <c r="F603" t="s">
        <v>328</v>
      </c>
      <c r="G603" t="s">
        <v>7260</v>
      </c>
      <c r="H603" t="s">
        <v>7261</v>
      </c>
      <c r="I603" t="s">
        <v>7262</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5790</v>
      </c>
      <c r="AX603" t="s">
        <v>1806</v>
      </c>
      <c r="AY603">
        <v>5</v>
      </c>
      <c r="AZ603">
        <v>0</v>
      </c>
      <c r="BA603" t="s">
        <v>328</v>
      </c>
      <c r="BB603" t="s">
        <v>328</v>
      </c>
      <c r="BC603" t="s">
        <v>328</v>
      </c>
      <c r="BD603">
        <v>0</v>
      </c>
      <c r="BE603">
        <v>0</v>
      </c>
    </row>
    <row r="604" spans="1:57" x14ac:dyDescent="0.3">
      <c r="A604">
        <v>9115</v>
      </c>
      <c r="B604" t="s">
        <v>7263</v>
      </c>
      <c r="C604" s="208" t="s">
        <v>7264</v>
      </c>
      <c r="D604" t="s">
        <v>7265</v>
      </c>
      <c r="E604" t="s">
        <v>328</v>
      </c>
      <c r="F604" t="s">
        <v>328</v>
      </c>
      <c r="G604" t="s">
        <v>7266</v>
      </c>
      <c r="H604" t="s">
        <v>7267</v>
      </c>
      <c r="I604" t="s">
        <v>7268</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5790</v>
      </c>
      <c r="AX604" t="s">
        <v>1806</v>
      </c>
      <c r="AY604">
        <v>5</v>
      </c>
      <c r="AZ604">
        <v>0</v>
      </c>
      <c r="BA604" t="s">
        <v>328</v>
      </c>
      <c r="BB604" t="s">
        <v>328</v>
      </c>
      <c r="BC604" t="s">
        <v>328</v>
      </c>
      <c r="BD604">
        <v>0</v>
      </c>
      <c r="BE604">
        <v>0</v>
      </c>
    </row>
    <row r="605" spans="1:57" x14ac:dyDescent="0.3">
      <c r="A605">
        <v>9116</v>
      </c>
      <c r="B605" t="s">
        <v>7269</v>
      </c>
      <c r="C605" s="208" t="s">
        <v>7270</v>
      </c>
      <c r="D605" t="s">
        <v>7271</v>
      </c>
      <c r="E605" t="s">
        <v>328</v>
      </c>
      <c r="F605" t="s">
        <v>328</v>
      </c>
      <c r="G605" t="s">
        <v>7272</v>
      </c>
      <c r="H605" t="s">
        <v>7273</v>
      </c>
      <c r="I605" t="s">
        <v>7274</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5790</v>
      </c>
      <c r="AX605" t="s">
        <v>1806</v>
      </c>
      <c r="AY605">
        <v>5</v>
      </c>
      <c r="AZ605">
        <v>0</v>
      </c>
      <c r="BA605" t="s">
        <v>328</v>
      </c>
      <c r="BB605" t="s">
        <v>328</v>
      </c>
      <c r="BC605" t="s">
        <v>328</v>
      </c>
      <c r="BD605">
        <v>0</v>
      </c>
      <c r="BE605">
        <v>0</v>
      </c>
    </row>
    <row r="606" spans="1:57" x14ac:dyDescent="0.3">
      <c r="A606">
        <v>9117</v>
      </c>
      <c r="B606" t="s">
        <v>7275</v>
      </c>
      <c r="C606" s="208" t="s">
        <v>7276</v>
      </c>
      <c r="D606" t="s">
        <v>7276</v>
      </c>
      <c r="E606" t="s">
        <v>328</v>
      </c>
      <c r="F606" t="s">
        <v>328</v>
      </c>
      <c r="G606" t="s">
        <v>7277</v>
      </c>
      <c r="H606" t="s">
        <v>7278</v>
      </c>
      <c r="I606" t="s">
        <v>7279</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5790</v>
      </c>
      <c r="AX606" t="s">
        <v>1806</v>
      </c>
      <c r="AY606">
        <v>5</v>
      </c>
      <c r="AZ606">
        <v>0</v>
      </c>
      <c r="BA606" t="s">
        <v>328</v>
      </c>
      <c r="BB606" t="s">
        <v>328</v>
      </c>
      <c r="BC606" t="s">
        <v>328</v>
      </c>
      <c r="BD606">
        <v>0</v>
      </c>
      <c r="BE606">
        <v>0</v>
      </c>
    </row>
    <row r="607" spans="1:57" x14ac:dyDescent="0.3">
      <c r="A607">
        <v>388</v>
      </c>
      <c r="B607" t="s">
        <v>7469</v>
      </c>
      <c r="C607" s="208" t="s">
        <v>7470</v>
      </c>
      <c r="D607" t="s">
        <v>7470</v>
      </c>
      <c r="E607" t="s">
        <v>328</v>
      </c>
      <c r="F607" t="s">
        <v>328</v>
      </c>
      <c r="G607" t="s">
        <v>7471</v>
      </c>
      <c r="H607" t="s">
        <v>7472</v>
      </c>
      <c r="I607" t="s">
        <v>7473</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7474</v>
      </c>
      <c r="AK607" t="s">
        <v>7475</v>
      </c>
      <c r="AL607">
        <v>13</v>
      </c>
      <c r="AM607" t="s">
        <v>1806</v>
      </c>
      <c r="AN607" t="s">
        <v>7476</v>
      </c>
      <c r="AO607" t="s">
        <v>7477</v>
      </c>
      <c r="AP607">
        <v>0</v>
      </c>
      <c r="AQ607" t="s">
        <v>1192</v>
      </c>
      <c r="AR607" t="s">
        <v>1141</v>
      </c>
      <c r="AS607" t="s">
        <v>1142</v>
      </c>
      <c r="AT607" t="s">
        <v>328</v>
      </c>
      <c r="AU607">
        <v>241</v>
      </c>
      <c r="AV607">
        <v>0</v>
      </c>
      <c r="AW607" t="s">
        <v>7478</v>
      </c>
      <c r="AX607" t="s">
        <v>331</v>
      </c>
      <c r="AY607">
        <v>5</v>
      </c>
      <c r="AZ607">
        <v>0</v>
      </c>
      <c r="BA607" t="s">
        <v>328</v>
      </c>
      <c r="BB607" t="s">
        <v>328</v>
      </c>
      <c r="BC607" t="s">
        <v>4783</v>
      </c>
      <c r="BD607">
        <v>10201</v>
      </c>
      <c r="BE607">
        <v>0</v>
      </c>
    </row>
    <row r="608" spans="1:57" x14ac:dyDescent="0.3">
      <c r="A608">
        <v>389</v>
      </c>
      <c r="B608" t="s">
        <v>7479</v>
      </c>
      <c r="C608" s="208" t="s">
        <v>7480</v>
      </c>
      <c r="D608" t="s">
        <v>7481</v>
      </c>
      <c r="E608" t="s">
        <v>328</v>
      </c>
      <c r="F608" t="s">
        <v>328</v>
      </c>
      <c r="G608" t="s">
        <v>7482</v>
      </c>
      <c r="H608" t="s">
        <v>7483</v>
      </c>
      <c r="I608" t="s">
        <v>7484</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7485</v>
      </c>
      <c r="AK608" t="s">
        <v>7486</v>
      </c>
      <c r="AL608">
        <v>14</v>
      </c>
      <c r="AM608" t="s">
        <v>4762</v>
      </c>
      <c r="AN608" t="s">
        <v>7487</v>
      </c>
      <c r="AO608" t="s">
        <v>4845</v>
      </c>
      <c r="AP608">
        <v>0</v>
      </c>
      <c r="AQ608" t="s">
        <v>1140</v>
      </c>
      <c r="AR608" t="s">
        <v>1141</v>
      </c>
      <c r="AS608" t="s">
        <v>1142</v>
      </c>
      <c r="AT608" t="s">
        <v>328</v>
      </c>
      <c r="AU608">
        <v>241</v>
      </c>
      <c r="AV608">
        <v>0</v>
      </c>
      <c r="AW608" t="s">
        <v>7478</v>
      </c>
      <c r="AX608" t="s">
        <v>331</v>
      </c>
      <c r="AY608">
        <v>5</v>
      </c>
      <c r="AZ608">
        <v>0</v>
      </c>
      <c r="BA608" t="s">
        <v>328</v>
      </c>
      <c r="BB608" t="s">
        <v>328</v>
      </c>
      <c r="BC608" t="s">
        <v>328</v>
      </c>
      <c r="BD608">
        <v>10202</v>
      </c>
      <c r="BE608">
        <v>0</v>
      </c>
    </row>
    <row r="609" spans="1:57" x14ac:dyDescent="0.3">
      <c r="A609">
        <v>390</v>
      </c>
      <c r="B609" t="s">
        <v>7488</v>
      </c>
      <c r="C609" s="208" t="s">
        <v>7489</v>
      </c>
      <c r="D609" t="s">
        <v>7489</v>
      </c>
      <c r="E609" t="s">
        <v>328</v>
      </c>
      <c r="F609" t="s">
        <v>328</v>
      </c>
      <c r="G609" t="s">
        <v>7490</v>
      </c>
      <c r="H609" t="s">
        <v>7491</v>
      </c>
      <c r="I609" t="s">
        <v>7492</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7493</v>
      </c>
      <c r="AK609" t="s">
        <v>7494</v>
      </c>
      <c r="AL609">
        <v>13</v>
      </c>
      <c r="AM609" t="s">
        <v>4719</v>
      </c>
      <c r="AN609" t="s">
        <v>4864</v>
      </c>
      <c r="AO609" t="s">
        <v>5711</v>
      </c>
      <c r="AP609">
        <v>0</v>
      </c>
      <c r="AQ609" t="s">
        <v>1130</v>
      </c>
      <c r="AR609" t="s">
        <v>1154</v>
      </c>
      <c r="AS609" t="s">
        <v>1129</v>
      </c>
      <c r="AT609" t="s">
        <v>328</v>
      </c>
      <c r="AU609">
        <v>48</v>
      </c>
      <c r="AV609">
        <v>0</v>
      </c>
      <c r="AW609" t="s">
        <v>7478</v>
      </c>
      <c r="AX609" t="s">
        <v>331</v>
      </c>
      <c r="AY609">
        <v>5</v>
      </c>
      <c r="AZ609">
        <v>0</v>
      </c>
      <c r="BA609" t="s">
        <v>328</v>
      </c>
      <c r="BB609" t="s">
        <v>328</v>
      </c>
      <c r="BC609" t="s">
        <v>4769</v>
      </c>
      <c r="BD609">
        <v>10301</v>
      </c>
      <c r="BE609">
        <v>0</v>
      </c>
    </row>
    <row r="610" spans="1:57" x14ac:dyDescent="0.3">
      <c r="A610">
        <v>391</v>
      </c>
      <c r="B610" t="s">
        <v>7538</v>
      </c>
      <c r="C610" s="208" t="s">
        <v>7569</v>
      </c>
      <c r="D610" t="s">
        <v>7539</v>
      </c>
      <c r="E610" t="s">
        <v>328</v>
      </c>
      <c r="F610" t="s">
        <v>328</v>
      </c>
      <c r="G610" t="s">
        <v>7540</v>
      </c>
      <c r="H610" t="s">
        <v>7541</v>
      </c>
      <c r="I610" t="s">
        <v>7542</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7543</v>
      </c>
      <c r="AK610" t="s">
        <v>7544</v>
      </c>
      <c r="AL610">
        <v>7</v>
      </c>
      <c r="AM610" t="s">
        <v>398</v>
      </c>
      <c r="AN610" t="s">
        <v>7545</v>
      </c>
      <c r="AO610" t="s">
        <v>7546</v>
      </c>
      <c r="AP610">
        <v>0</v>
      </c>
      <c r="AQ610" t="s">
        <v>1129</v>
      </c>
      <c r="AR610" t="s">
        <v>1119</v>
      </c>
      <c r="AS610" t="s">
        <v>1130</v>
      </c>
      <c r="AT610" t="s">
        <v>328</v>
      </c>
      <c r="AU610">
        <v>150</v>
      </c>
      <c r="AV610">
        <v>0</v>
      </c>
      <c r="AW610" t="s">
        <v>7547</v>
      </c>
      <c r="AX610" t="s">
        <v>331</v>
      </c>
      <c r="AY610">
        <v>5</v>
      </c>
      <c r="AZ610">
        <v>0</v>
      </c>
      <c r="BA610" t="s">
        <v>328</v>
      </c>
      <c r="BB610" t="s">
        <v>328</v>
      </c>
      <c r="BC610" t="s">
        <v>4783</v>
      </c>
      <c r="BD610">
        <v>10802</v>
      </c>
      <c r="BE610">
        <v>0</v>
      </c>
    </row>
    <row r="611" spans="1:57" x14ac:dyDescent="0.3">
      <c r="A611">
        <v>392</v>
      </c>
      <c r="B611" t="s">
        <v>7548</v>
      </c>
      <c r="C611" s="208" t="s">
        <v>7549</v>
      </c>
      <c r="D611" t="s">
        <v>7549</v>
      </c>
      <c r="E611" t="s">
        <v>328</v>
      </c>
      <c r="F611" t="s">
        <v>328</v>
      </c>
      <c r="G611" t="s">
        <v>7550</v>
      </c>
      <c r="H611" t="s">
        <v>7551</v>
      </c>
      <c r="I611" t="s">
        <v>7552</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7553</v>
      </c>
      <c r="AK611" t="s">
        <v>7554</v>
      </c>
      <c r="AL611">
        <v>14</v>
      </c>
      <c r="AM611" t="s">
        <v>4790</v>
      </c>
      <c r="AN611" t="s">
        <v>402</v>
      </c>
      <c r="AO611" t="s">
        <v>5144</v>
      </c>
      <c r="AP611">
        <v>0</v>
      </c>
      <c r="AQ611" t="s">
        <v>1129</v>
      </c>
      <c r="AR611" t="s">
        <v>1119</v>
      </c>
      <c r="AS611" t="s">
        <v>1130</v>
      </c>
      <c r="AT611" t="s">
        <v>328</v>
      </c>
      <c r="AU611">
        <v>150</v>
      </c>
      <c r="AV611">
        <v>0</v>
      </c>
      <c r="AW611" t="s">
        <v>7547</v>
      </c>
      <c r="AX611" t="s">
        <v>331</v>
      </c>
      <c r="AY611">
        <v>4</v>
      </c>
      <c r="AZ611">
        <v>0</v>
      </c>
      <c r="BA611" t="s">
        <v>328</v>
      </c>
      <c r="BB611" t="s">
        <v>328</v>
      </c>
      <c r="BC611" t="s">
        <v>328</v>
      </c>
      <c r="BD611">
        <v>10402</v>
      </c>
      <c r="BE611">
        <v>0</v>
      </c>
    </row>
    <row r="612" spans="1:57" x14ac:dyDescent="0.3">
      <c r="A612">
        <v>393</v>
      </c>
      <c r="B612" t="s">
        <v>7555</v>
      </c>
      <c r="C612" s="208" t="s">
        <v>7556</v>
      </c>
      <c r="D612" t="s">
        <v>7556</v>
      </c>
      <c r="E612" t="s">
        <v>328</v>
      </c>
      <c r="F612" t="s">
        <v>328</v>
      </c>
      <c r="G612" t="s">
        <v>7557</v>
      </c>
      <c r="H612" t="s">
        <v>7558</v>
      </c>
      <c r="I612" t="s">
        <v>7559</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7560</v>
      </c>
      <c r="AK612" t="s">
        <v>7561</v>
      </c>
      <c r="AL612">
        <v>13</v>
      </c>
      <c r="AM612" t="s">
        <v>4719</v>
      </c>
      <c r="AN612" t="s">
        <v>4884</v>
      </c>
      <c r="AO612" t="s">
        <v>6400</v>
      </c>
      <c r="AP612">
        <v>0</v>
      </c>
      <c r="AQ612" t="s">
        <v>1130</v>
      </c>
      <c r="AR612" t="s">
        <v>1154</v>
      </c>
      <c r="AS612" t="s">
        <v>1129</v>
      </c>
      <c r="AT612" t="s">
        <v>328</v>
      </c>
      <c r="AU612">
        <v>48</v>
      </c>
      <c r="AV612">
        <v>0</v>
      </c>
      <c r="AW612" t="s">
        <v>7547</v>
      </c>
      <c r="AX612" t="s">
        <v>331</v>
      </c>
      <c r="AY612">
        <v>5</v>
      </c>
      <c r="AZ612">
        <v>0</v>
      </c>
      <c r="BA612" t="s">
        <v>328</v>
      </c>
      <c r="BB612" t="s">
        <v>328</v>
      </c>
      <c r="BC612" t="s">
        <v>4720</v>
      </c>
      <c r="BD612">
        <v>10402</v>
      </c>
      <c r="BE612">
        <v>0</v>
      </c>
    </row>
    <row r="613" spans="1:57" x14ac:dyDescent="0.3">
      <c r="A613">
        <v>394</v>
      </c>
      <c r="B613" t="s">
        <v>7562</v>
      </c>
      <c r="C613" s="208" t="s">
        <v>7563</v>
      </c>
      <c r="D613" t="s">
        <v>7563</v>
      </c>
      <c r="E613" t="s">
        <v>328</v>
      </c>
      <c r="F613" t="s">
        <v>328</v>
      </c>
      <c r="G613" t="s">
        <v>7564</v>
      </c>
      <c r="H613" t="s">
        <v>7565</v>
      </c>
      <c r="I613" t="s">
        <v>7566</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7567</v>
      </c>
      <c r="AO613" t="s">
        <v>7568</v>
      </c>
      <c r="AP613">
        <v>0</v>
      </c>
      <c r="AQ613" t="s">
        <v>1130</v>
      </c>
      <c r="AR613" t="s">
        <v>1154</v>
      </c>
      <c r="AS613" t="s">
        <v>1129</v>
      </c>
      <c r="AT613" t="s">
        <v>328</v>
      </c>
      <c r="AU613">
        <v>48</v>
      </c>
      <c r="AV613">
        <v>0</v>
      </c>
      <c r="AW613" t="s">
        <v>7547</v>
      </c>
      <c r="AX613" t="s">
        <v>331</v>
      </c>
      <c r="AY613">
        <v>4</v>
      </c>
      <c r="AZ613">
        <v>0</v>
      </c>
      <c r="BA613" t="s">
        <v>328</v>
      </c>
      <c r="BB613" t="s">
        <v>328</v>
      </c>
      <c r="BC613" t="s">
        <v>4720</v>
      </c>
      <c r="BD613">
        <v>10303</v>
      </c>
      <c r="BE613">
        <v>0</v>
      </c>
    </row>
    <row r="614" spans="1:57" x14ac:dyDescent="0.3">
      <c r="A614">
        <v>395</v>
      </c>
      <c r="B614" t="s">
        <v>7951</v>
      </c>
      <c r="C614" s="208" t="s">
        <v>7952</v>
      </c>
      <c r="D614" t="s">
        <v>7952</v>
      </c>
      <c r="E614" t="s">
        <v>328</v>
      </c>
      <c r="F614" t="s">
        <v>328</v>
      </c>
      <c r="G614" t="s">
        <v>7953</v>
      </c>
      <c r="H614" t="s">
        <v>7954</v>
      </c>
      <c r="I614" t="s">
        <v>7955</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7956</v>
      </c>
      <c r="AK614" t="s">
        <v>328</v>
      </c>
      <c r="AL614">
        <v>18</v>
      </c>
      <c r="AM614" t="s">
        <v>4858</v>
      </c>
      <c r="AN614" t="s">
        <v>4984</v>
      </c>
      <c r="AO614" t="s">
        <v>5205</v>
      </c>
      <c r="AP614">
        <v>0</v>
      </c>
      <c r="AQ614" t="s">
        <v>1167</v>
      </c>
      <c r="AR614" t="s">
        <v>1168</v>
      </c>
      <c r="AS614" t="s">
        <v>6967</v>
      </c>
      <c r="AT614" t="s">
        <v>328</v>
      </c>
      <c r="AU614">
        <v>238</v>
      </c>
      <c r="AV614">
        <v>0</v>
      </c>
      <c r="AW614" t="s">
        <v>7957</v>
      </c>
      <c r="AX614" t="s">
        <v>331</v>
      </c>
      <c r="AY614">
        <v>5</v>
      </c>
      <c r="AZ614">
        <v>0</v>
      </c>
      <c r="BA614" t="s">
        <v>328</v>
      </c>
      <c r="BB614" t="s">
        <v>328</v>
      </c>
      <c r="BC614" t="s">
        <v>328</v>
      </c>
      <c r="BD614">
        <v>10403</v>
      </c>
      <c r="BE614">
        <v>0</v>
      </c>
    </row>
    <row r="615" spans="1:57" x14ac:dyDescent="0.3">
      <c r="A615">
        <v>396</v>
      </c>
      <c r="B615" t="s">
        <v>7958</v>
      </c>
      <c r="C615" s="208" t="s">
        <v>7959</v>
      </c>
      <c r="D615" t="s">
        <v>7959</v>
      </c>
      <c r="E615" t="s">
        <v>328</v>
      </c>
      <c r="F615" t="s">
        <v>328</v>
      </c>
      <c r="G615" t="s">
        <v>7960</v>
      </c>
      <c r="H615" t="s">
        <v>7961</v>
      </c>
      <c r="I615" t="s">
        <v>7962</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7963</v>
      </c>
      <c r="AK615" t="s">
        <v>7964</v>
      </c>
      <c r="AL615">
        <v>18</v>
      </c>
      <c r="AM615" t="s">
        <v>4858</v>
      </c>
      <c r="AN615" t="s">
        <v>7965</v>
      </c>
      <c r="AO615" t="s">
        <v>5114</v>
      </c>
      <c r="AP615">
        <v>0</v>
      </c>
      <c r="AQ615" t="s">
        <v>1167</v>
      </c>
      <c r="AR615" t="s">
        <v>1168</v>
      </c>
      <c r="AS615" t="s">
        <v>6967</v>
      </c>
      <c r="AT615" t="s">
        <v>328</v>
      </c>
      <c r="AU615">
        <v>238</v>
      </c>
      <c r="AV615">
        <v>0</v>
      </c>
      <c r="AW615" t="s">
        <v>7957</v>
      </c>
      <c r="AX615" t="s">
        <v>331</v>
      </c>
      <c r="AY615">
        <v>4</v>
      </c>
      <c r="AZ615">
        <v>0</v>
      </c>
      <c r="BA615" t="s">
        <v>328</v>
      </c>
      <c r="BB615" t="s">
        <v>328</v>
      </c>
      <c r="BC615" t="s">
        <v>4769</v>
      </c>
      <c r="BD615">
        <v>10402</v>
      </c>
      <c r="BE615">
        <v>0</v>
      </c>
    </row>
    <row r="616" spans="1:57" x14ac:dyDescent="0.3">
      <c r="A616">
        <v>397</v>
      </c>
      <c r="B616" t="s">
        <v>7966</v>
      </c>
      <c r="C616" s="208" t="s">
        <v>7967</v>
      </c>
      <c r="D616" t="s">
        <v>7967</v>
      </c>
      <c r="E616" t="s">
        <v>328</v>
      </c>
      <c r="F616" t="s">
        <v>328</v>
      </c>
      <c r="G616" t="s">
        <v>7968</v>
      </c>
      <c r="H616" t="s">
        <v>7969</v>
      </c>
      <c r="I616" t="s">
        <v>7970</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7971</v>
      </c>
      <c r="AK616" t="s">
        <v>328</v>
      </c>
      <c r="AL616">
        <v>8</v>
      </c>
      <c r="AM616" t="s">
        <v>4716</v>
      </c>
      <c r="AN616" t="s">
        <v>4728</v>
      </c>
      <c r="AO616" t="s">
        <v>4942</v>
      </c>
      <c r="AP616">
        <v>0</v>
      </c>
      <c r="AQ616" t="s">
        <v>1200</v>
      </c>
      <c r="AR616" t="s">
        <v>1201</v>
      </c>
      <c r="AS616" t="s">
        <v>6968</v>
      </c>
      <c r="AT616" t="s">
        <v>328</v>
      </c>
      <c r="AU616">
        <v>164</v>
      </c>
      <c r="AV616">
        <v>0</v>
      </c>
      <c r="AW616" t="s">
        <v>7957</v>
      </c>
      <c r="AX616" t="s">
        <v>4719</v>
      </c>
      <c r="AY616">
        <v>5</v>
      </c>
      <c r="AZ616">
        <v>0</v>
      </c>
      <c r="BA616" t="s">
        <v>328</v>
      </c>
      <c r="BB616" t="s">
        <v>328</v>
      </c>
      <c r="BC616" t="s">
        <v>4720</v>
      </c>
      <c r="BD616">
        <v>10202</v>
      </c>
      <c r="BE616">
        <v>0</v>
      </c>
    </row>
    <row r="617" spans="1:57" x14ac:dyDescent="0.3">
      <c r="A617">
        <v>398</v>
      </c>
      <c r="B617" t="s">
        <v>7972</v>
      </c>
      <c r="C617" s="208" t="s">
        <v>7973</v>
      </c>
      <c r="D617" t="s">
        <v>7973</v>
      </c>
      <c r="E617" t="s">
        <v>328</v>
      </c>
      <c r="F617" t="s">
        <v>328</v>
      </c>
      <c r="G617" t="s">
        <v>7974</v>
      </c>
      <c r="H617" t="s">
        <v>7975</v>
      </c>
      <c r="I617" t="s">
        <v>7976</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7977</v>
      </c>
      <c r="AK617" t="s">
        <v>7978</v>
      </c>
      <c r="AL617">
        <v>8</v>
      </c>
      <c r="AM617" t="s">
        <v>4716</v>
      </c>
      <c r="AN617" t="s">
        <v>7979</v>
      </c>
      <c r="AO617" t="s">
        <v>5190</v>
      </c>
      <c r="AP617">
        <v>0</v>
      </c>
      <c r="AQ617" t="s">
        <v>1200</v>
      </c>
      <c r="AR617" t="s">
        <v>1201</v>
      </c>
      <c r="AS617" t="s">
        <v>6968</v>
      </c>
      <c r="AT617" t="s">
        <v>328</v>
      </c>
      <c r="AU617">
        <v>164</v>
      </c>
      <c r="AV617">
        <v>0</v>
      </c>
      <c r="AW617" t="s">
        <v>7957</v>
      </c>
      <c r="AX617" t="s">
        <v>4719</v>
      </c>
      <c r="AY617">
        <v>5</v>
      </c>
      <c r="AZ617">
        <v>0</v>
      </c>
      <c r="BA617" t="s">
        <v>328</v>
      </c>
      <c r="BB617" t="s">
        <v>328</v>
      </c>
      <c r="BC617" t="s">
        <v>4720</v>
      </c>
      <c r="BD617">
        <v>10202</v>
      </c>
      <c r="BE617">
        <v>0</v>
      </c>
    </row>
    <row r="618" spans="1:57" x14ac:dyDescent="0.3">
      <c r="A618">
        <v>20131</v>
      </c>
      <c r="B618" t="s">
        <v>8048</v>
      </c>
      <c r="C618" s="208" t="s">
        <v>8093</v>
      </c>
      <c r="D618" t="s">
        <v>8049</v>
      </c>
      <c r="E618" t="s">
        <v>8044</v>
      </c>
      <c r="F618" t="s">
        <v>8045</v>
      </c>
      <c r="G618" t="s">
        <v>8050</v>
      </c>
      <c r="H618" t="s">
        <v>8051</v>
      </c>
      <c r="I618" t="s">
        <v>8052</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8053</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8054</v>
      </c>
      <c r="C619" s="208" t="s">
        <v>8094</v>
      </c>
      <c r="D619" t="s">
        <v>8055</v>
      </c>
      <c r="E619" t="s">
        <v>328</v>
      </c>
      <c r="F619" t="s">
        <v>328</v>
      </c>
      <c r="G619" t="s">
        <v>8056</v>
      </c>
      <c r="H619" t="s">
        <v>8057</v>
      </c>
      <c r="I619" t="s">
        <v>8058</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8059</v>
      </c>
      <c r="AK619" t="s">
        <v>8060</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8061</v>
      </c>
      <c r="C620" s="208" t="s">
        <v>8062</v>
      </c>
      <c r="D620" t="s">
        <v>8062</v>
      </c>
      <c r="E620" t="s">
        <v>8046</v>
      </c>
      <c r="F620" t="s">
        <v>328</v>
      </c>
      <c r="G620" t="s">
        <v>8063</v>
      </c>
      <c r="H620" t="s">
        <v>8064</v>
      </c>
      <c r="I620" t="s">
        <v>8065</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8066</v>
      </c>
      <c r="AK620" t="s">
        <v>1267</v>
      </c>
      <c r="AL620">
        <v>13</v>
      </c>
      <c r="AM620" t="s">
        <v>4762</v>
      </c>
      <c r="AN620" t="s">
        <v>4884</v>
      </c>
      <c r="AO620" t="s">
        <v>4832</v>
      </c>
      <c r="AP620">
        <v>0</v>
      </c>
      <c r="AQ620" t="s">
        <v>1746</v>
      </c>
      <c r="AR620" t="s">
        <v>1141</v>
      </c>
      <c r="AS620" t="s">
        <v>8043</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8067</v>
      </c>
      <c r="C621" s="208" t="s">
        <v>8068</v>
      </c>
      <c r="D621" t="s">
        <v>8068</v>
      </c>
      <c r="E621" t="s">
        <v>8047</v>
      </c>
      <c r="F621" t="s">
        <v>328</v>
      </c>
      <c r="G621" t="s">
        <v>8069</v>
      </c>
      <c r="H621" t="s">
        <v>8070</v>
      </c>
      <c r="I621" t="s">
        <v>8071</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8072</v>
      </c>
      <c r="AK621" t="s">
        <v>8073</v>
      </c>
      <c r="AL621">
        <v>13</v>
      </c>
      <c r="AM621" t="s">
        <v>4719</v>
      </c>
      <c r="AN621" t="s">
        <v>4834</v>
      </c>
      <c r="AO621" t="s">
        <v>8074</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8095</v>
      </c>
      <c r="C622" s="208" t="s">
        <v>8096</v>
      </c>
      <c r="D622" t="s">
        <v>8096</v>
      </c>
      <c r="E622" t="s">
        <v>328</v>
      </c>
      <c r="F622" t="s">
        <v>328</v>
      </c>
      <c r="G622" t="s">
        <v>8097</v>
      </c>
      <c r="H622" t="s">
        <v>8098</v>
      </c>
      <c r="I622" t="s">
        <v>8099</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8100</v>
      </c>
      <c r="AK622" t="s">
        <v>8101</v>
      </c>
      <c r="AL622">
        <v>17</v>
      </c>
      <c r="AM622" t="s">
        <v>1806</v>
      </c>
      <c r="AN622" t="s">
        <v>8102</v>
      </c>
      <c r="AO622" t="s">
        <v>4875</v>
      </c>
      <c r="AP622">
        <v>0</v>
      </c>
      <c r="AQ622" t="s">
        <v>4742</v>
      </c>
      <c r="AR622" t="s">
        <v>1119</v>
      </c>
      <c r="AS622" t="s">
        <v>1120</v>
      </c>
      <c r="AT622" t="s">
        <v>328</v>
      </c>
      <c r="AU622">
        <v>96</v>
      </c>
      <c r="AV622">
        <v>0</v>
      </c>
      <c r="AW622" t="s">
        <v>8103</v>
      </c>
      <c r="AX622" t="s">
        <v>8104</v>
      </c>
      <c r="AY622">
        <v>5</v>
      </c>
      <c r="AZ622">
        <v>0</v>
      </c>
      <c r="BA622" t="s">
        <v>328</v>
      </c>
      <c r="BB622" t="s">
        <v>328</v>
      </c>
      <c r="BC622" t="s">
        <v>4769</v>
      </c>
      <c r="BD622">
        <v>10402</v>
      </c>
      <c r="BE622">
        <v>0</v>
      </c>
    </row>
    <row r="623" spans="1:57" x14ac:dyDescent="0.3">
      <c r="A623">
        <v>1042</v>
      </c>
      <c r="B623" t="s">
        <v>8118</v>
      </c>
      <c r="C623" s="208" t="s">
        <v>8119</v>
      </c>
      <c r="D623" t="s">
        <v>8119</v>
      </c>
      <c r="E623" t="s">
        <v>328</v>
      </c>
      <c r="F623" t="s">
        <v>328</v>
      </c>
      <c r="G623" t="s">
        <v>8120</v>
      </c>
      <c r="H623" t="s">
        <v>8121</v>
      </c>
      <c r="I623" t="s">
        <v>8122</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8123</v>
      </c>
      <c r="AK623" t="s">
        <v>8124</v>
      </c>
      <c r="AL623">
        <v>13</v>
      </c>
      <c r="AM623" t="s">
        <v>1806</v>
      </c>
      <c r="AN623" t="s">
        <v>6976</v>
      </c>
      <c r="AO623" t="s">
        <v>4751</v>
      </c>
      <c r="AP623">
        <v>0</v>
      </c>
      <c r="AQ623" t="s">
        <v>1118</v>
      </c>
      <c r="AR623" t="s">
        <v>1119</v>
      </c>
      <c r="AS623" t="s">
        <v>4761</v>
      </c>
      <c r="AT623" t="s">
        <v>328</v>
      </c>
      <c r="AU623">
        <v>1035</v>
      </c>
      <c r="AV623">
        <v>1</v>
      </c>
      <c r="AW623" t="s">
        <v>8125</v>
      </c>
      <c r="AX623" t="s">
        <v>6936</v>
      </c>
      <c r="AY623">
        <v>7</v>
      </c>
      <c r="AZ623">
        <v>0</v>
      </c>
      <c r="BA623" t="s">
        <v>328</v>
      </c>
      <c r="BB623" t="s">
        <v>328</v>
      </c>
      <c r="BC623" t="s">
        <v>5386</v>
      </c>
      <c r="BD623">
        <v>0</v>
      </c>
      <c r="BE623">
        <v>0</v>
      </c>
    </row>
    <row r="624" spans="1:57" x14ac:dyDescent="0.3">
      <c r="A624">
        <v>1043</v>
      </c>
      <c r="B624" t="s">
        <v>8126</v>
      </c>
      <c r="C624" s="208" t="s">
        <v>8127</v>
      </c>
      <c r="D624" t="s">
        <v>8127</v>
      </c>
      <c r="E624" t="s">
        <v>328</v>
      </c>
      <c r="F624" t="s">
        <v>328</v>
      </c>
      <c r="G624" t="s">
        <v>8128</v>
      </c>
      <c r="H624" t="s">
        <v>8129</v>
      </c>
      <c r="I624" t="s">
        <v>8130</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8131</v>
      </c>
      <c r="AK624" t="s">
        <v>8132</v>
      </c>
      <c r="AL624">
        <v>13</v>
      </c>
      <c r="AM624" t="s">
        <v>398</v>
      </c>
      <c r="AN624" t="s">
        <v>5384</v>
      </c>
      <c r="AO624" t="s">
        <v>5258</v>
      </c>
      <c r="AP624">
        <v>0</v>
      </c>
      <c r="AQ624" t="s">
        <v>1130</v>
      </c>
      <c r="AR624" t="s">
        <v>1154</v>
      </c>
      <c r="AS624" t="s">
        <v>1744</v>
      </c>
      <c r="AT624" t="s">
        <v>328</v>
      </c>
      <c r="AU624">
        <v>1007</v>
      </c>
      <c r="AV624">
        <v>1</v>
      </c>
      <c r="AW624" t="s">
        <v>8125</v>
      </c>
      <c r="AX624" t="s">
        <v>8133</v>
      </c>
      <c r="AY624">
        <v>7</v>
      </c>
      <c r="AZ624">
        <v>0</v>
      </c>
      <c r="BA624" t="s">
        <v>328</v>
      </c>
      <c r="BB624" t="s">
        <v>328</v>
      </c>
      <c r="BC624" t="s">
        <v>5386</v>
      </c>
      <c r="BD624">
        <v>0</v>
      </c>
      <c r="BE624">
        <v>0</v>
      </c>
    </row>
    <row r="625" spans="1:57" x14ac:dyDescent="0.3">
      <c r="A625">
        <v>1044</v>
      </c>
      <c r="B625" t="s">
        <v>8134</v>
      </c>
      <c r="C625" s="208" t="s">
        <v>8158</v>
      </c>
      <c r="D625" t="s">
        <v>8135</v>
      </c>
      <c r="E625" t="s">
        <v>328</v>
      </c>
      <c r="F625" t="s">
        <v>328</v>
      </c>
      <c r="G625" t="s">
        <v>8136</v>
      </c>
      <c r="H625" t="s">
        <v>8137</v>
      </c>
      <c r="I625" t="s">
        <v>8138</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8139</v>
      </c>
      <c r="AK625" t="s">
        <v>8140</v>
      </c>
      <c r="AL625">
        <v>18</v>
      </c>
      <c r="AM625" t="s">
        <v>4858</v>
      </c>
      <c r="AN625" t="s">
        <v>4937</v>
      </c>
      <c r="AO625" t="s">
        <v>5155</v>
      </c>
      <c r="AP625">
        <v>0</v>
      </c>
      <c r="AQ625" t="s">
        <v>1167</v>
      </c>
      <c r="AR625" t="s">
        <v>4911</v>
      </c>
      <c r="AS625" t="s">
        <v>6967</v>
      </c>
      <c r="AT625" t="s">
        <v>328</v>
      </c>
      <c r="AU625">
        <v>1026</v>
      </c>
      <c r="AV625">
        <v>1</v>
      </c>
      <c r="AW625" t="s">
        <v>8125</v>
      </c>
      <c r="AX625" t="s">
        <v>6752</v>
      </c>
      <c r="AY625">
        <v>7</v>
      </c>
      <c r="AZ625">
        <v>0</v>
      </c>
      <c r="BA625" t="s">
        <v>328</v>
      </c>
      <c r="BB625" t="s">
        <v>328</v>
      </c>
      <c r="BC625" t="s">
        <v>5386</v>
      </c>
      <c r="BD625">
        <v>0</v>
      </c>
      <c r="BE625">
        <v>0</v>
      </c>
    </row>
    <row r="626" spans="1:57" x14ac:dyDescent="0.3">
      <c r="A626">
        <v>20127</v>
      </c>
      <c r="B626" t="s">
        <v>8196</v>
      </c>
      <c r="C626" s="208" t="s">
        <v>8214</v>
      </c>
      <c r="D626" t="s">
        <v>8197</v>
      </c>
      <c r="E626" t="s">
        <v>8194</v>
      </c>
      <c r="F626" t="s">
        <v>8195</v>
      </c>
      <c r="G626" t="s">
        <v>8198</v>
      </c>
      <c r="H626" t="s">
        <v>8199</v>
      </c>
      <c r="I626" t="s">
        <v>8200</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8201</v>
      </c>
      <c r="AK626" t="s">
        <v>8202</v>
      </c>
      <c r="AL626">
        <v>13</v>
      </c>
      <c r="AM626" t="s">
        <v>4790</v>
      </c>
      <c r="AN626" t="s">
        <v>4795</v>
      </c>
      <c r="AO626" t="s">
        <v>8203</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8339</v>
      </c>
      <c r="C627" s="208" t="s">
        <v>8364</v>
      </c>
      <c r="D627" t="s">
        <v>8340</v>
      </c>
      <c r="E627" t="s">
        <v>328</v>
      </c>
      <c r="F627" t="s">
        <v>328</v>
      </c>
      <c r="G627" t="s">
        <v>8341</v>
      </c>
      <c r="H627" t="s">
        <v>8342</v>
      </c>
      <c r="I627" t="s">
        <v>8343</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8344</v>
      </c>
      <c r="AK627" t="s">
        <v>8345</v>
      </c>
      <c r="AL627">
        <v>13</v>
      </c>
      <c r="AM627" t="s">
        <v>1806</v>
      </c>
      <c r="AN627" t="s">
        <v>4780</v>
      </c>
      <c r="AO627" t="s">
        <v>8346</v>
      </c>
      <c r="AP627">
        <v>0</v>
      </c>
      <c r="AQ627" t="s">
        <v>1118</v>
      </c>
      <c r="AR627" t="s">
        <v>1119</v>
      </c>
      <c r="AS627" t="s">
        <v>1120</v>
      </c>
      <c r="AT627" t="s">
        <v>328</v>
      </c>
      <c r="AU627">
        <v>4</v>
      </c>
      <c r="AV627">
        <v>0</v>
      </c>
      <c r="AW627" t="s">
        <v>8347</v>
      </c>
      <c r="AX627" t="s">
        <v>4762</v>
      </c>
      <c r="AY627">
        <v>5</v>
      </c>
      <c r="AZ627">
        <v>0</v>
      </c>
      <c r="BA627" t="s">
        <v>328</v>
      </c>
      <c r="BB627" t="s">
        <v>328</v>
      </c>
      <c r="BC627" t="s">
        <v>4720</v>
      </c>
      <c r="BD627">
        <v>10303</v>
      </c>
      <c r="BE627">
        <v>0</v>
      </c>
    </row>
    <row r="628" spans="1:57" x14ac:dyDescent="0.3">
      <c r="A628">
        <v>401</v>
      </c>
      <c r="B628" t="s">
        <v>8348</v>
      </c>
      <c r="C628" s="208" t="s">
        <v>8349</v>
      </c>
      <c r="D628" t="s">
        <v>8349</v>
      </c>
      <c r="E628" t="s">
        <v>328</v>
      </c>
      <c r="F628" t="s">
        <v>328</v>
      </c>
      <c r="G628" t="s">
        <v>8350</v>
      </c>
      <c r="H628" t="s">
        <v>8351</v>
      </c>
      <c r="I628" t="s">
        <v>8352</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8353</v>
      </c>
      <c r="AK628" t="s">
        <v>8354</v>
      </c>
      <c r="AL628">
        <v>12</v>
      </c>
      <c r="AM628" t="s">
        <v>4790</v>
      </c>
      <c r="AN628" t="s">
        <v>5198</v>
      </c>
      <c r="AO628" t="s">
        <v>8355</v>
      </c>
      <c r="AP628">
        <v>0</v>
      </c>
      <c r="AQ628" t="s">
        <v>1129</v>
      </c>
      <c r="AR628" t="s">
        <v>1119</v>
      </c>
      <c r="AS628" t="s">
        <v>1130</v>
      </c>
      <c r="AT628" t="s">
        <v>328</v>
      </c>
      <c r="AU628">
        <v>150</v>
      </c>
      <c r="AV628">
        <v>0</v>
      </c>
      <c r="AW628" t="s">
        <v>8347</v>
      </c>
      <c r="AX628" t="s">
        <v>331</v>
      </c>
      <c r="AY628">
        <v>5</v>
      </c>
      <c r="AZ628">
        <v>0</v>
      </c>
      <c r="BA628" t="s">
        <v>328</v>
      </c>
      <c r="BB628" t="s">
        <v>328</v>
      </c>
      <c r="BC628" t="s">
        <v>4720</v>
      </c>
      <c r="BD628">
        <v>10402</v>
      </c>
      <c r="BE628">
        <v>0</v>
      </c>
    </row>
    <row r="629" spans="1:57" x14ac:dyDescent="0.3">
      <c r="A629">
        <v>402</v>
      </c>
      <c r="B629" t="s">
        <v>8356</v>
      </c>
      <c r="C629" s="208" t="s">
        <v>8357</v>
      </c>
      <c r="D629" t="s">
        <v>8357</v>
      </c>
      <c r="E629" t="s">
        <v>328</v>
      </c>
      <c r="F629" t="s">
        <v>328</v>
      </c>
      <c r="G629" t="s">
        <v>8358</v>
      </c>
      <c r="H629" t="s">
        <v>8359</v>
      </c>
      <c r="I629" t="s">
        <v>8360</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8361</v>
      </c>
      <c r="AK629" t="s">
        <v>328</v>
      </c>
      <c r="AL629">
        <v>14</v>
      </c>
      <c r="AM629" t="s">
        <v>470</v>
      </c>
      <c r="AN629" t="s">
        <v>8362</v>
      </c>
      <c r="AO629" t="s">
        <v>8363</v>
      </c>
      <c r="AP629">
        <v>0</v>
      </c>
      <c r="AQ629" t="s">
        <v>1140</v>
      </c>
      <c r="AR629" t="s">
        <v>1141</v>
      </c>
      <c r="AS629" t="s">
        <v>1142</v>
      </c>
      <c r="AT629" t="s">
        <v>328</v>
      </c>
      <c r="AU629">
        <v>241</v>
      </c>
      <c r="AV629">
        <v>0</v>
      </c>
      <c r="AW629" t="s">
        <v>8347</v>
      </c>
      <c r="AX629" t="s">
        <v>331</v>
      </c>
      <c r="AY629">
        <v>5</v>
      </c>
      <c r="AZ629">
        <v>0</v>
      </c>
      <c r="BA629" t="s">
        <v>328</v>
      </c>
      <c r="BB629" t="s">
        <v>328</v>
      </c>
      <c r="BC629" t="s">
        <v>328</v>
      </c>
      <c r="BD629">
        <v>10501</v>
      </c>
      <c r="BE629">
        <v>0</v>
      </c>
    </row>
    <row r="630" spans="1:57" x14ac:dyDescent="0.3">
      <c r="A630">
        <v>9118</v>
      </c>
      <c r="B630" t="s">
        <v>8394</v>
      </c>
      <c r="C630" s="208" t="s">
        <v>98</v>
      </c>
      <c r="D630" t="s">
        <v>8395</v>
      </c>
      <c r="E630" t="s">
        <v>328</v>
      </c>
      <c r="F630" t="s">
        <v>328</v>
      </c>
      <c r="G630" t="s">
        <v>8396</v>
      </c>
      <c r="H630" t="s">
        <v>8397</v>
      </c>
      <c r="I630" t="s">
        <v>8398</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5993</v>
      </c>
      <c r="AS630" t="s">
        <v>5993</v>
      </c>
      <c r="AT630" t="s">
        <v>328</v>
      </c>
      <c r="AU630">
        <v>54</v>
      </c>
      <c r="AV630">
        <v>0</v>
      </c>
      <c r="AW630" t="s">
        <v>5790</v>
      </c>
      <c r="AX630" t="s">
        <v>1806</v>
      </c>
      <c r="AY630">
        <v>5</v>
      </c>
      <c r="AZ630">
        <v>0</v>
      </c>
      <c r="BA630" t="s">
        <v>328</v>
      </c>
      <c r="BB630" t="s">
        <v>328</v>
      </c>
      <c r="BC630" t="s">
        <v>328</v>
      </c>
      <c r="BD630">
        <v>0</v>
      </c>
      <c r="BE630">
        <v>0</v>
      </c>
    </row>
    <row r="631" spans="1:57" x14ac:dyDescent="0.3">
      <c r="A631">
        <v>20310</v>
      </c>
      <c r="B631" t="s">
        <v>8399</v>
      </c>
      <c r="C631" s="208" t="s">
        <v>8431</v>
      </c>
      <c r="D631" t="s">
        <v>8400</v>
      </c>
      <c r="E631" t="s">
        <v>328</v>
      </c>
      <c r="F631" t="s">
        <v>328</v>
      </c>
      <c r="G631" t="s">
        <v>8401</v>
      </c>
      <c r="H631" t="s">
        <v>8402</v>
      </c>
      <c r="I631" t="s">
        <v>8403</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8393</v>
      </c>
      <c r="AK631" t="s">
        <v>328</v>
      </c>
      <c r="AL631">
        <v>12</v>
      </c>
      <c r="AM631" t="s">
        <v>1806</v>
      </c>
      <c r="AN631" t="s">
        <v>8404</v>
      </c>
      <c r="AO631" t="s">
        <v>8405</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8460</v>
      </c>
      <c r="C632" s="208" t="s">
        <v>8461</v>
      </c>
      <c r="D632" t="s">
        <v>8461</v>
      </c>
      <c r="E632" t="s">
        <v>8457</v>
      </c>
      <c r="F632" t="s">
        <v>8458</v>
      </c>
      <c r="G632" t="s">
        <v>8462</v>
      </c>
      <c r="H632" t="s">
        <v>8463</v>
      </c>
      <c r="I632" t="s">
        <v>8464</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8465</v>
      </c>
      <c r="AK632" t="s">
        <v>8459</v>
      </c>
      <c r="AL632">
        <v>14</v>
      </c>
      <c r="AM632" t="s">
        <v>4719</v>
      </c>
      <c r="AN632" t="s">
        <v>8466</v>
      </c>
      <c r="AO632" t="s">
        <v>8467</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8488</v>
      </c>
      <c r="C633" s="208" t="s">
        <v>8489</v>
      </c>
      <c r="D633" t="s">
        <v>8489</v>
      </c>
      <c r="E633" t="s">
        <v>8486</v>
      </c>
      <c r="F633" t="s">
        <v>8487</v>
      </c>
      <c r="G633" t="s">
        <v>8490</v>
      </c>
      <c r="H633" t="s">
        <v>8491</v>
      </c>
      <c r="I633" t="s">
        <v>8492</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8493</v>
      </c>
      <c r="AK633" t="s">
        <v>8494</v>
      </c>
      <c r="AL633">
        <v>9</v>
      </c>
      <c r="AM633" t="s">
        <v>4716</v>
      </c>
      <c r="AN633" t="s">
        <v>5467</v>
      </c>
      <c r="AO633" t="s">
        <v>7161</v>
      </c>
      <c r="AP633">
        <v>0</v>
      </c>
      <c r="AQ633" t="s">
        <v>5067</v>
      </c>
      <c r="AR633" t="s">
        <v>1201</v>
      </c>
      <c r="AS633" t="s">
        <v>6968</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8544</v>
      </c>
      <c r="C634" s="208" t="s">
        <v>8545</v>
      </c>
      <c r="D634" t="s">
        <v>8546</v>
      </c>
      <c r="E634" t="s">
        <v>328</v>
      </c>
      <c r="F634" t="s">
        <v>328</v>
      </c>
      <c r="G634" t="s">
        <v>8547</v>
      </c>
      <c r="H634" t="s">
        <v>8548</v>
      </c>
      <c r="I634" t="s">
        <v>8549</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8550</v>
      </c>
      <c r="AK634" t="s">
        <v>8551</v>
      </c>
      <c r="AL634">
        <v>13</v>
      </c>
      <c r="AM634" t="s">
        <v>470</v>
      </c>
      <c r="AN634" t="s">
        <v>5726</v>
      </c>
      <c r="AO634" t="s">
        <v>8552</v>
      </c>
      <c r="AP634">
        <v>0</v>
      </c>
      <c r="AQ634" t="s">
        <v>1140</v>
      </c>
      <c r="AR634" t="s">
        <v>1141</v>
      </c>
      <c r="AS634" t="s">
        <v>1142</v>
      </c>
      <c r="AT634" t="s">
        <v>328</v>
      </c>
      <c r="AU634">
        <v>50</v>
      </c>
      <c r="AV634">
        <v>0</v>
      </c>
      <c r="AW634" t="s">
        <v>8553</v>
      </c>
      <c r="AX634" t="s">
        <v>331</v>
      </c>
      <c r="AY634">
        <v>5</v>
      </c>
      <c r="AZ634">
        <v>0</v>
      </c>
      <c r="BA634" t="s">
        <v>328</v>
      </c>
      <c r="BB634" t="s">
        <v>328</v>
      </c>
      <c r="BC634" t="s">
        <v>328</v>
      </c>
      <c r="BD634">
        <v>10402</v>
      </c>
      <c r="BE634">
        <v>0</v>
      </c>
    </row>
    <row r="635" spans="1:57" x14ac:dyDescent="0.3">
      <c r="A635">
        <v>404</v>
      </c>
      <c r="B635" t="s">
        <v>8554</v>
      </c>
      <c r="C635" s="208" t="s">
        <v>8555</v>
      </c>
      <c r="D635" t="s">
        <v>8555</v>
      </c>
      <c r="E635" t="s">
        <v>328</v>
      </c>
      <c r="F635" t="s">
        <v>328</v>
      </c>
      <c r="G635" t="s">
        <v>8556</v>
      </c>
      <c r="H635" t="s">
        <v>8557</v>
      </c>
      <c r="I635" t="s">
        <v>8558</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8559</v>
      </c>
      <c r="AK635" t="s">
        <v>8560</v>
      </c>
      <c r="AL635">
        <v>14</v>
      </c>
      <c r="AM635" t="s">
        <v>398</v>
      </c>
      <c r="AN635" t="s">
        <v>8561</v>
      </c>
      <c r="AO635" t="s">
        <v>8562</v>
      </c>
      <c r="AP635">
        <v>0</v>
      </c>
      <c r="AQ635" t="s">
        <v>1130</v>
      </c>
      <c r="AR635" t="s">
        <v>1154</v>
      </c>
      <c r="AS635" t="s">
        <v>1129</v>
      </c>
      <c r="AT635" t="s">
        <v>328</v>
      </c>
      <c r="AU635">
        <v>62</v>
      </c>
      <c r="AV635">
        <v>0</v>
      </c>
      <c r="AW635" t="s">
        <v>8553</v>
      </c>
      <c r="AX635" t="s">
        <v>331</v>
      </c>
      <c r="AY635">
        <v>5</v>
      </c>
      <c r="AZ635">
        <v>0</v>
      </c>
      <c r="BA635" t="s">
        <v>328</v>
      </c>
      <c r="BB635" t="s">
        <v>328</v>
      </c>
      <c r="BC635" t="s">
        <v>4720</v>
      </c>
      <c r="BD635">
        <v>10202</v>
      </c>
      <c r="BE635">
        <v>0</v>
      </c>
    </row>
    <row r="636" spans="1:57" x14ac:dyDescent="0.3">
      <c r="A636">
        <v>405</v>
      </c>
      <c r="B636" t="s">
        <v>8563</v>
      </c>
      <c r="C636" s="208" t="s">
        <v>8564</v>
      </c>
      <c r="D636" t="s">
        <v>8565</v>
      </c>
      <c r="E636" t="s">
        <v>328</v>
      </c>
      <c r="F636" t="s">
        <v>328</v>
      </c>
      <c r="G636" t="s">
        <v>8566</v>
      </c>
      <c r="H636" t="s">
        <v>8567</v>
      </c>
      <c r="I636" t="s">
        <v>8568</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8569</v>
      </c>
      <c r="AK636" t="s">
        <v>328</v>
      </c>
      <c r="AL636">
        <v>19</v>
      </c>
      <c r="AM636" t="s">
        <v>1806</v>
      </c>
      <c r="AN636" t="s">
        <v>8570</v>
      </c>
      <c r="AO636" t="s">
        <v>8571</v>
      </c>
      <c r="AP636">
        <v>0</v>
      </c>
      <c r="AQ636" t="s">
        <v>1130</v>
      </c>
      <c r="AR636" t="s">
        <v>1154</v>
      </c>
      <c r="AS636" t="s">
        <v>1129</v>
      </c>
      <c r="AT636" t="s">
        <v>328</v>
      </c>
      <c r="AU636">
        <v>64</v>
      </c>
      <c r="AV636">
        <v>0</v>
      </c>
      <c r="AW636" t="s">
        <v>8553</v>
      </c>
      <c r="AX636" t="s">
        <v>331</v>
      </c>
      <c r="AY636">
        <v>4</v>
      </c>
      <c r="AZ636">
        <v>0</v>
      </c>
      <c r="BA636" t="s">
        <v>328</v>
      </c>
      <c r="BB636" t="s">
        <v>328</v>
      </c>
      <c r="BC636" t="s">
        <v>328</v>
      </c>
      <c r="BD636">
        <v>10402</v>
      </c>
      <c r="BE636">
        <v>0</v>
      </c>
    </row>
    <row r="637" spans="1:57" x14ac:dyDescent="0.3">
      <c r="A637">
        <v>406</v>
      </c>
      <c r="B637" t="s">
        <v>8572</v>
      </c>
      <c r="C637" s="208" t="s">
        <v>8573</v>
      </c>
      <c r="D637" t="s">
        <v>8573</v>
      </c>
      <c r="E637" t="s">
        <v>328</v>
      </c>
      <c r="F637" t="s">
        <v>328</v>
      </c>
      <c r="G637" t="s">
        <v>8574</v>
      </c>
      <c r="H637" t="s">
        <v>8575</v>
      </c>
      <c r="I637" t="s">
        <v>8576</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8577</v>
      </c>
      <c r="AK637" t="s">
        <v>8578</v>
      </c>
      <c r="AL637">
        <v>19</v>
      </c>
      <c r="AM637" t="s">
        <v>4858</v>
      </c>
      <c r="AN637" t="s">
        <v>8579</v>
      </c>
      <c r="AO637" t="s">
        <v>5155</v>
      </c>
      <c r="AP637">
        <v>0</v>
      </c>
      <c r="AQ637" t="s">
        <v>1167</v>
      </c>
      <c r="AR637" t="s">
        <v>1168</v>
      </c>
      <c r="AS637" t="s">
        <v>6967</v>
      </c>
      <c r="AT637" t="s">
        <v>328</v>
      </c>
      <c r="AU637">
        <v>109</v>
      </c>
      <c r="AV637">
        <v>0</v>
      </c>
      <c r="AW637" t="s">
        <v>8553</v>
      </c>
      <c r="AX637" t="s">
        <v>331</v>
      </c>
      <c r="AY637">
        <v>5</v>
      </c>
      <c r="AZ637">
        <v>0</v>
      </c>
      <c r="BA637" t="s">
        <v>328</v>
      </c>
      <c r="BB637" t="s">
        <v>328</v>
      </c>
      <c r="BC637" t="s">
        <v>4720</v>
      </c>
      <c r="BD637">
        <v>10202</v>
      </c>
      <c r="BE637">
        <v>0</v>
      </c>
    </row>
    <row r="638" spans="1:57" x14ac:dyDescent="0.3">
      <c r="A638">
        <v>20196</v>
      </c>
      <c r="B638" t="s">
        <v>8586</v>
      </c>
      <c r="C638" s="208" t="s">
        <v>8621</v>
      </c>
      <c r="D638" t="s">
        <v>8587</v>
      </c>
      <c r="E638" t="s">
        <v>8584</v>
      </c>
      <c r="F638" t="s">
        <v>8585</v>
      </c>
      <c r="G638" t="s">
        <v>8588</v>
      </c>
      <c r="H638" t="s">
        <v>8589</v>
      </c>
      <c r="I638" t="s">
        <v>8590</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8591</v>
      </c>
      <c r="AK638" t="s">
        <v>1221</v>
      </c>
      <c r="AL638">
        <v>13</v>
      </c>
      <c r="AM638" t="s">
        <v>4719</v>
      </c>
      <c r="AN638" t="s">
        <v>8592</v>
      </c>
      <c r="AO638" t="s">
        <v>8593</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8628</v>
      </c>
      <c r="C639" s="208" t="s">
        <v>8629</v>
      </c>
      <c r="D639" t="s">
        <v>8629</v>
      </c>
      <c r="E639" t="s">
        <v>328</v>
      </c>
      <c r="F639" t="s">
        <v>328</v>
      </c>
      <c r="G639" t="s">
        <v>8630</v>
      </c>
      <c r="H639" t="s">
        <v>8631</v>
      </c>
      <c r="I639" t="s">
        <v>8632</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8633</v>
      </c>
      <c r="AK639" t="s">
        <v>8634</v>
      </c>
      <c r="AL639">
        <v>13</v>
      </c>
      <c r="AM639" t="s">
        <v>1806</v>
      </c>
      <c r="AN639" t="s">
        <v>8635</v>
      </c>
      <c r="AO639" t="s">
        <v>4817</v>
      </c>
      <c r="AP639">
        <v>0</v>
      </c>
      <c r="AQ639" t="s">
        <v>1118</v>
      </c>
      <c r="AR639" t="s">
        <v>1119</v>
      </c>
      <c r="AS639" t="s">
        <v>4761</v>
      </c>
      <c r="AT639" t="s">
        <v>328</v>
      </c>
      <c r="AU639">
        <v>1006</v>
      </c>
      <c r="AV639">
        <v>1</v>
      </c>
      <c r="AW639" t="s">
        <v>8636</v>
      </c>
      <c r="AX639" t="s">
        <v>8637</v>
      </c>
      <c r="AY639">
        <v>7</v>
      </c>
      <c r="AZ639">
        <v>0</v>
      </c>
      <c r="BA639" t="s">
        <v>328</v>
      </c>
      <c r="BB639" t="s">
        <v>328</v>
      </c>
      <c r="BC639" t="s">
        <v>5386</v>
      </c>
      <c r="BD639">
        <v>0</v>
      </c>
      <c r="BE639">
        <v>0</v>
      </c>
    </row>
    <row r="640" spans="1:57" x14ac:dyDescent="0.3">
      <c r="A640">
        <v>1046</v>
      </c>
      <c r="B640" t="s">
        <v>8638</v>
      </c>
      <c r="C640" s="208" t="s">
        <v>8639</v>
      </c>
      <c r="D640" t="s">
        <v>8639</v>
      </c>
      <c r="E640" t="s">
        <v>328</v>
      </c>
      <c r="F640" t="s">
        <v>328</v>
      </c>
      <c r="G640" t="s">
        <v>8640</v>
      </c>
      <c r="H640" t="s">
        <v>8641</v>
      </c>
      <c r="I640" t="s">
        <v>8642</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8643</v>
      </c>
      <c r="AK640" t="s">
        <v>328</v>
      </c>
      <c r="AL640">
        <v>13</v>
      </c>
      <c r="AM640" t="s">
        <v>398</v>
      </c>
      <c r="AN640" t="s">
        <v>4795</v>
      </c>
      <c r="AO640" t="s">
        <v>5742</v>
      </c>
      <c r="AP640">
        <v>0</v>
      </c>
      <c r="AQ640" t="s">
        <v>1744</v>
      </c>
      <c r="AR640" t="s">
        <v>1743</v>
      </c>
      <c r="AS640" t="s">
        <v>1745</v>
      </c>
      <c r="AT640" t="s">
        <v>328</v>
      </c>
      <c r="AU640">
        <v>1028</v>
      </c>
      <c r="AV640">
        <v>1</v>
      </c>
      <c r="AW640" t="s">
        <v>8636</v>
      </c>
      <c r="AX640" t="s">
        <v>8644</v>
      </c>
      <c r="AY640">
        <v>7</v>
      </c>
      <c r="AZ640">
        <v>0</v>
      </c>
      <c r="BA640" t="s">
        <v>328</v>
      </c>
      <c r="BB640" t="s">
        <v>328</v>
      </c>
      <c r="BC640" t="s">
        <v>5386</v>
      </c>
      <c r="BD640">
        <v>0</v>
      </c>
      <c r="BE640">
        <v>0</v>
      </c>
    </row>
    <row r="641" spans="1:57" x14ac:dyDescent="0.3">
      <c r="A641">
        <v>20288</v>
      </c>
      <c r="B641" t="s">
        <v>8645</v>
      </c>
      <c r="C641" s="208" t="s">
        <v>8646</v>
      </c>
      <c r="D641" t="s">
        <v>8646</v>
      </c>
      <c r="E641" t="s">
        <v>328</v>
      </c>
      <c r="F641" t="s">
        <v>328</v>
      </c>
      <c r="G641" t="s">
        <v>8647</v>
      </c>
      <c r="H641" t="s">
        <v>8648</v>
      </c>
      <c r="I641" t="s">
        <v>8649</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8627</v>
      </c>
      <c r="AK641" t="s">
        <v>8650</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row r="642" spans="1:57" x14ac:dyDescent="0.3">
      <c r="A642">
        <v>20267</v>
      </c>
      <c r="B642" t="s">
        <v>8697</v>
      </c>
      <c r="C642" s="208" t="s">
        <v>8698</v>
      </c>
      <c r="D642" t="s">
        <v>8698</v>
      </c>
      <c r="E642" t="s">
        <v>328</v>
      </c>
      <c r="F642" t="s">
        <v>328</v>
      </c>
      <c r="G642" t="s">
        <v>8699</v>
      </c>
      <c r="H642" t="s">
        <v>8700</v>
      </c>
      <c r="I642" t="s">
        <v>8701</v>
      </c>
      <c r="J642">
        <v>2</v>
      </c>
      <c r="K642">
        <v>4</v>
      </c>
      <c r="L642">
        <v>7500</v>
      </c>
      <c r="M642">
        <v>25</v>
      </c>
      <c r="N642">
        <v>20</v>
      </c>
      <c r="O642">
        <v>15</v>
      </c>
      <c r="P642">
        <v>10</v>
      </c>
      <c r="Q642">
        <v>5</v>
      </c>
      <c r="R642">
        <v>5</v>
      </c>
      <c r="S642">
        <v>2</v>
      </c>
      <c r="T642">
        <v>0</v>
      </c>
      <c r="U642">
        <v>110</v>
      </c>
      <c r="V642">
        <v>118</v>
      </c>
      <c r="W642">
        <v>110</v>
      </c>
      <c r="X642">
        <v>100</v>
      </c>
      <c r="Y642">
        <v>100</v>
      </c>
      <c r="Z642">
        <v>110</v>
      </c>
      <c r="AA642">
        <v>0</v>
      </c>
      <c r="AB642">
        <v>15</v>
      </c>
      <c r="AC642">
        <v>5</v>
      </c>
      <c r="AD642">
        <v>0</v>
      </c>
      <c r="AE642">
        <v>120</v>
      </c>
      <c r="AF642">
        <v>100</v>
      </c>
      <c r="AG642">
        <v>992529</v>
      </c>
      <c r="AH642">
        <v>992530</v>
      </c>
      <c r="AI642">
        <v>300102</v>
      </c>
      <c r="AJ642" t="s">
        <v>8702</v>
      </c>
      <c r="AK642" t="s">
        <v>328</v>
      </c>
      <c r="AL642">
        <v>13</v>
      </c>
      <c r="AM642" t="s">
        <v>4790</v>
      </c>
      <c r="AN642" t="s">
        <v>4795</v>
      </c>
      <c r="AO642" t="s">
        <v>8703</v>
      </c>
      <c r="AP642">
        <v>0</v>
      </c>
      <c r="AQ642" t="s">
        <v>1744</v>
      </c>
      <c r="AR642" t="s">
        <v>1119</v>
      </c>
      <c r="AS642" t="s">
        <v>1130</v>
      </c>
      <c r="AT642" t="s">
        <v>328</v>
      </c>
      <c r="AU642">
        <v>116</v>
      </c>
      <c r="AV642">
        <v>0</v>
      </c>
      <c r="AW642" t="s">
        <v>5240</v>
      </c>
      <c r="AX642" t="s">
        <v>5416</v>
      </c>
      <c r="AY642">
        <v>4</v>
      </c>
      <c r="AZ642">
        <v>3267</v>
      </c>
      <c r="BA642" t="s">
        <v>328</v>
      </c>
      <c r="BB642" t="s">
        <v>328</v>
      </c>
      <c r="BC642" t="s">
        <v>4769</v>
      </c>
      <c r="BD642">
        <v>0</v>
      </c>
      <c r="BE642">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7"/>
  <sheetViews>
    <sheetView topLeftCell="S1" workbookViewId="0">
      <pane ySplit="1" topLeftCell="A44" activePane="bottomLeft" state="frozen"/>
      <selection pane="bottomLeft"/>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8680</v>
      </c>
      <c r="C6" t="s">
        <v>8681</v>
      </c>
      <c r="D6" t="s">
        <v>8682</v>
      </c>
      <c r="E6" t="s">
        <v>8683</v>
      </c>
      <c r="F6" t="s">
        <v>6780</v>
      </c>
      <c r="G6" t="s">
        <v>4485</v>
      </c>
      <c r="H6" t="s">
        <v>8684</v>
      </c>
      <c r="I6">
        <v>1</v>
      </c>
      <c r="J6">
        <v>1</v>
      </c>
      <c r="K6" t="s">
        <v>972</v>
      </c>
      <c r="L6">
        <v>1</v>
      </c>
      <c r="M6">
        <v>129</v>
      </c>
      <c r="N6" t="s">
        <v>973</v>
      </c>
      <c r="O6">
        <v>10</v>
      </c>
      <c r="P6">
        <v>0</v>
      </c>
      <c r="Q6">
        <v>5</v>
      </c>
      <c r="R6">
        <v>760010</v>
      </c>
      <c r="S6">
        <v>2</v>
      </c>
      <c r="T6">
        <v>30015</v>
      </c>
      <c r="U6">
        <v>760013</v>
      </c>
      <c r="V6">
        <v>760014</v>
      </c>
      <c r="W6" t="s">
        <v>8685</v>
      </c>
      <c r="X6" t="s">
        <v>8686</v>
      </c>
      <c r="Y6" t="s">
        <v>8687</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8688</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6449</v>
      </c>
      <c r="C7" t="s">
        <v>6450</v>
      </c>
      <c r="D7" t="s">
        <v>6451</v>
      </c>
      <c r="E7" t="s">
        <v>6452</v>
      </c>
      <c r="G7" t="s">
        <v>4485</v>
      </c>
      <c r="H7" t="s">
        <v>6453</v>
      </c>
      <c r="I7">
        <v>1</v>
      </c>
      <c r="J7">
        <v>1</v>
      </c>
      <c r="K7" t="s">
        <v>993</v>
      </c>
      <c r="L7">
        <v>1</v>
      </c>
      <c r="M7">
        <v>119</v>
      </c>
      <c r="N7" t="s">
        <v>973</v>
      </c>
      <c r="O7">
        <v>10</v>
      </c>
      <c r="P7">
        <v>0</v>
      </c>
      <c r="Q7">
        <v>5</v>
      </c>
      <c r="R7">
        <v>750397</v>
      </c>
      <c r="S7">
        <v>1</v>
      </c>
      <c r="T7">
        <v>750399</v>
      </c>
      <c r="U7">
        <v>750400</v>
      </c>
      <c r="V7">
        <v>750401</v>
      </c>
      <c r="W7" t="s">
        <v>6454</v>
      </c>
      <c r="X7" t="s">
        <v>6455</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6456</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5651</v>
      </c>
      <c r="C9" t="s">
        <v>5652</v>
      </c>
      <c r="D9" t="s">
        <v>5652</v>
      </c>
      <c r="E9" t="s">
        <v>5653</v>
      </c>
      <c r="G9" t="s">
        <v>4485</v>
      </c>
      <c r="H9" t="s">
        <v>5654</v>
      </c>
      <c r="I9">
        <v>1</v>
      </c>
      <c r="J9">
        <v>1</v>
      </c>
      <c r="K9" t="s">
        <v>972</v>
      </c>
      <c r="L9">
        <v>1</v>
      </c>
      <c r="M9">
        <v>117</v>
      </c>
      <c r="N9" t="s">
        <v>973</v>
      </c>
      <c r="O9">
        <v>10</v>
      </c>
      <c r="P9">
        <v>0</v>
      </c>
      <c r="Q9">
        <v>5</v>
      </c>
      <c r="R9">
        <v>750276</v>
      </c>
      <c r="S9">
        <v>1</v>
      </c>
      <c r="T9">
        <v>750278</v>
      </c>
      <c r="U9">
        <v>750279</v>
      </c>
      <c r="V9">
        <v>750280</v>
      </c>
      <c r="W9" t="s">
        <v>5655</v>
      </c>
      <c r="X9" t="s">
        <v>5656</v>
      </c>
      <c r="Y9" t="s">
        <v>5657</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5658</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7799</v>
      </c>
      <c r="C11" t="s">
        <v>7800</v>
      </c>
      <c r="D11" t="s">
        <v>7800</v>
      </c>
      <c r="E11" t="s">
        <v>7801</v>
      </c>
      <c r="F11" t="s">
        <v>6780</v>
      </c>
      <c r="G11" t="s">
        <v>4485</v>
      </c>
      <c r="H11" t="s">
        <v>7802</v>
      </c>
      <c r="I11">
        <v>1</v>
      </c>
      <c r="J11">
        <v>1</v>
      </c>
      <c r="K11" t="s">
        <v>972</v>
      </c>
      <c r="L11">
        <v>1</v>
      </c>
      <c r="M11">
        <v>126</v>
      </c>
      <c r="N11" t="s">
        <v>973</v>
      </c>
      <c r="O11">
        <v>10</v>
      </c>
      <c r="P11">
        <v>0</v>
      </c>
      <c r="Q11">
        <v>5</v>
      </c>
      <c r="R11">
        <v>750885</v>
      </c>
      <c r="S11">
        <v>1</v>
      </c>
      <c r="T11">
        <v>750887</v>
      </c>
      <c r="U11">
        <v>750888</v>
      </c>
      <c r="V11">
        <v>750889</v>
      </c>
      <c r="W11" t="s">
        <v>7803</v>
      </c>
      <c r="X11" t="s">
        <v>7804</v>
      </c>
      <c r="Y11" t="s">
        <v>7805</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7806</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6781</v>
      </c>
      <c r="C13" t="s">
        <v>6782</v>
      </c>
      <c r="D13" t="s">
        <v>6782</v>
      </c>
      <c r="E13" t="s">
        <v>6783</v>
      </c>
      <c r="F13" t="s">
        <v>6780</v>
      </c>
      <c r="G13" t="s">
        <v>4485</v>
      </c>
      <c r="H13" t="s">
        <v>6784</v>
      </c>
      <c r="I13">
        <v>1</v>
      </c>
      <c r="J13">
        <v>1</v>
      </c>
      <c r="K13" t="s">
        <v>975</v>
      </c>
      <c r="L13">
        <v>1</v>
      </c>
      <c r="M13">
        <v>121</v>
      </c>
      <c r="N13" t="s">
        <v>973</v>
      </c>
      <c r="O13">
        <v>10</v>
      </c>
      <c r="P13">
        <v>0</v>
      </c>
      <c r="Q13">
        <v>5</v>
      </c>
      <c r="R13">
        <v>750579</v>
      </c>
      <c r="S13">
        <v>1</v>
      </c>
      <c r="T13">
        <v>750581</v>
      </c>
      <c r="U13">
        <v>750582</v>
      </c>
      <c r="V13">
        <v>750583</v>
      </c>
      <c r="W13" t="s">
        <v>6785</v>
      </c>
      <c r="X13" t="s">
        <v>6786</v>
      </c>
      <c r="Y13" t="s">
        <v>6787</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6788</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8505</v>
      </c>
      <c r="C15" t="s">
        <v>8506</v>
      </c>
      <c r="D15" t="s">
        <v>8506</v>
      </c>
      <c r="E15" t="s">
        <v>8507</v>
      </c>
      <c r="F15" t="s">
        <v>6780</v>
      </c>
      <c r="G15" t="s">
        <v>4485</v>
      </c>
      <c r="H15" t="s">
        <v>8508</v>
      </c>
      <c r="I15">
        <v>1</v>
      </c>
      <c r="J15">
        <v>1</v>
      </c>
      <c r="K15" t="s">
        <v>972</v>
      </c>
      <c r="L15">
        <v>1</v>
      </c>
      <c r="M15">
        <v>128</v>
      </c>
      <c r="N15" t="s">
        <v>973</v>
      </c>
      <c r="O15">
        <v>10</v>
      </c>
      <c r="P15">
        <v>0</v>
      </c>
      <c r="Q15">
        <v>5</v>
      </c>
      <c r="R15">
        <v>760002</v>
      </c>
      <c r="S15">
        <v>1</v>
      </c>
      <c r="T15">
        <v>760004</v>
      </c>
      <c r="U15">
        <v>760005</v>
      </c>
      <c r="V15">
        <v>760007</v>
      </c>
      <c r="W15" t="s">
        <v>8509</v>
      </c>
      <c r="X15" t="s">
        <v>8510</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8511</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6346</v>
      </c>
      <c r="C17" t="s">
        <v>6347</v>
      </c>
      <c r="D17" t="s">
        <v>6347</v>
      </c>
      <c r="E17" t="s">
        <v>6348</v>
      </c>
      <c r="G17" t="s">
        <v>4485</v>
      </c>
      <c r="H17" t="s">
        <v>6349</v>
      </c>
      <c r="I17">
        <v>1</v>
      </c>
      <c r="J17">
        <v>1</v>
      </c>
      <c r="K17" t="s">
        <v>972</v>
      </c>
      <c r="L17">
        <v>1</v>
      </c>
      <c r="M17">
        <v>118</v>
      </c>
      <c r="N17" t="s">
        <v>973</v>
      </c>
      <c r="O17">
        <v>10</v>
      </c>
      <c r="P17">
        <v>0</v>
      </c>
      <c r="Q17">
        <v>5</v>
      </c>
      <c r="R17">
        <v>750363</v>
      </c>
      <c r="S17">
        <v>1</v>
      </c>
      <c r="T17">
        <v>750365</v>
      </c>
      <c r="U17">
        <v>750366</v>
      </c>
      <c r="V17">
        <v>750367</v>
      </c>
      <c r="W17" t="s">
        <v>6350</v>
      </c>
      <c r="X17" t="s">
        <v>6351</v>
      </c>
      <c r="Y17" t="s">
        <v>6352</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6353</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8614</v>
      </c>
      <c r="C21" t="s">
        <v>8615</v>
      </c>
      <c r="D21" t="s">
        <v>8615</v>
      </c>
      <c r="E21" t="s">
        <v>8616</v>
      </c>
      <c r="F21" t="s">
        <v>6780</v>
      </c>
      <c r="G21" t="s">
        <v>4485</v>
      </c>
      <c r="H21" t="s">
        <v>8617</v>
      </c>
      <c r="I21">
        <v>3</v>
      </c>
      <c r="J21">
        <v>1</v>
      </c>
      <c r="K21" t="s">
        <v>972</v>
      </c>
      <c r="L21">
        <v>1</v>
      </c>
      <c r="M21">
        <v>127</v>
      </c>
      <c r="N21" t="s">
        <v>973</v>
      </c>
      <c r="O21">
        <v>10</v>
      </c>
      <c r="P21">
        <v>0</v>
      </c>
      <c r="Q21">
        <v>5</v>
      </c>
      <c r="R21">
        <v>750960</v>
      </c>
      <c r="S21">
        <v>2</v>
      </c>
      <c r="T21">
        <v>30012</v>
      </c>
      <c r="U21">
        <v>750963</v>
      </c>
      <c r="V21">
        <v>750964</v>
      </c>
      <c r="W21" t="s">
        <v>8618</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8619</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7596</v>
      </c>
      <c r="C22" t="s">
        <v>7597</v>
      </c>
      <c r="D22" t="s">
        <v>7598</v>
      </c>
      <c r="E22" t="s">
        <v>7599</v>
      </c>
      <c r="F22" t="s">
        <v>6780</v>
      </c>
      <c r="G22" t="s">
        <v>4485</v>
      </c>
      <c r="H22" t="s">
        <v>7600</v>
      </c>
      <c r="I22">
        <v>3</v>
      </c>
      <c r="J22">
        <v>1</v>
      </c>
      <c r="K22" t="s">
        <v>972</v>
      </c>
      <c r="L22">
        <v>1</v>
      </c>
      <c r="M22">
        <v>125</v>
      </c>
      <c r="N22" t="s">
        <v>973</v>
      </c>
      <c r="O22">
        <v>10</v>
      </c>
      <c r="P22">
        <v>0</v>
      </c>
      <c r="Q22">
        <v>5</v>
      </c>
      <c r="R22">
        <v>750870</v>
      </c>
      <c r="S22">
        <v>1</v>
      </c>
      <c r="T22">
        <v>750872</v>
      </c>
      <c r="U22">
        <v>750873</v>
      </c>
      <c r="V22">
        <v>750874</v>
      </c>
      <c r="W22" t="s">
        <v>7601</v>
      </c>
      <c r="X22" t="s">
        <v>7602</v>
      </c>
      <c r="Y22" t="s">
        <v>7603</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7604</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6917</v>
      </c>
      <c r="C24" t="s">
        <v>6918</v>
      </c>
      <c r="D24" t="s">
        <v>6918</v>
      </c>
      <c r="E24" t="s">
        <v>6919</v>
      </c>
      <c r="F24" t="s">
        <v>6780</v>
      </c>
      <c r="G24" t="s">
        <v>4485</v>
      </c>
      <c r="H24" t="s">
        <v>6920</v>
      </c>
      <c r="I24">
        <v>3</v>
      </c>
      <c r="J24">
        <v>1</v>
      </c>
      <c r="K24" t="s">
        <v>984</v>
      </c>
      <c r="L24">
        <v>1</v>
      </c>
      <c r="M24">
        <v>122</v>
      </c>
      <c r="N24" t="s">
        <v>973</v>
      </c>
      <c r="O24">
        <v>10</v>
      </c>
      <c r="P24">
        <v>0</v>
      </c>
      <c r="Q24">
        <v>5</v>
      </c>
      <c r="R24">
        <v>750622</v>
      </c>
      <c r="S24">
        <v>3</v>
      </c>
      <c r="T24">
        <v>1018</v>
      </c>
      <c r="U24">
        <v>750625</v>
      </c>
      <c r="V24">
        <v>750626</v>
      </c>
      <c r="W24" t="s">
        <v>6921</v>
      </c>
      <c r="X24" t="s">
        <v>6922</v>
      </c>
      <c r="Y24" t="s">
        <v>6923</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6924</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6521</v>
      </c>
      <c r="C26" t="s">
        <v>6522</v>
      </c>
      <c r="D26" t="s">
        <v>6522</v>
      </c>
      <c r="E26" t="s">
        <v>6523</v>
      </c>
      <c r="G26" t="s">
        <v>4485</v>
      </c>
      <c r="H26" t="s">
        <v>6524</v>
      </c>
      <c r="I26">
        <v>3</v>
      </c>
      <c r="J26">
        <v>1</v>
      </c>
      <c r="K26" t="s">
        <v>975</v>
      </c>
      <c r="L26">
        <v>1</v>
      </c>
      <c r="M26">
        <v>120</v>
      </c>
      <c r="N26" t="s">
        <v>973</v>
      </c>
      <c r="O26">
        <v>8</v>
      </c>
      <c r="P26">
        <v>0</v>
      </c>
      <c r="Q26">
        <v>5</v>
      </c>
      <c r="R26">
        <v>750409</v>
      </c>
      <c r="S26">
        <v>1</v>
      </c>
      <c r="T26">
        <v>750411</v>
      </c>
      <c r="U26">
        <v>750412</v>
      </c>
      <c r="V26">
        <v>750413</v>
      </c>
      <c r="W26" t="s">
        <v>6525</v>
      </c>
      <c r="X26" t="s">
        <v>6526</v>
      </c>
      <c r="Y26" t="s">
        <v>6527</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6528</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7458</v>
      </c>
      <c r="C27" t="s">
        <v>7459</v>
      </c>
      <c r="D27" t="s">
        <v>7460</v>
      </c>
      <c r="E27" t="s">
        <v>7461</v>
      </c>
      <c r="F27" t="s">
        <v>6780</v>
      </c>
      <c r="G27" t="s">
        <v>4485</v>
      </c>
      <c r="H27" t="s">
        <v>7462</v>
      </c>
      <c r="I27">
        <v>3</v>
      </c>
      <c r="J27">
        <v>1</v>
      </c>
      <c r="K27" t="s">
        <v>984</v>
      </c>
      <c r="L27">
        <v>1</v>
      </c>
      <c r="M27">
        <v>124</v>
      </c>
      <c r="N27" t="s">
        <v>973</v>
      </c>
      <c r="O27">
        <v>10</v>
      </c>
      <c r="P27">
        <v>0</v>
      </c>
      <c r="Q27">
        <v>5</v>
      </c>
      <c r="R27">
        <v>750783</v>
      </c>
      <c r="S27">
        <v>1</v>
      </c>
      <c r="T27">
        <v>750785</v>
      </c>
      <c r="U27">
        <v>750786</v>
      </c>
      <c r="V27">
        <v>750787</v>
      </c>
      <c r="W27" t="s">
        <v>7463</v>
      </c>
      <c r="X27" t="s">
        <v>7464</v>
      </c>
      <c r="Y27" t="s">
        <v>7465</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7466</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6958</v>
      </c>
      <c r="C29" t="s">
        <v>6959</v>
      </c>
      <c r="D29" t="s">
        <v>6959</v>
      </c>
      <c r="E29" t="s">
        <v>6960</v>
      </c>
      <c r="F29" t="s">
        <v>6780</v>
      </c>
      <c r="G29" t="s">
        <v>4485</v>
      </c>
      <c r="H29" t="s">
        <v>6961</v>
      </c>
      <c r="I29">
        <v>1</v>
      </c>
      <c r="J29">
        <v>1</v>
      </c>
      <c r="K29" t="s">
        <v>972</v>
      </c>
      <c r="L29">
        <v>1</v>
      </c>
      <c r="M29">
        <v>123</v>
      </c>
      <c r="N29" t="s">
        <v>973</v>
      </c>
      <c r="O29">
        <v>10</v>
      </c>
      <c r="P29">
        <v>0</v>
      </c>
      <c r="Q29">
        <v>5</v>
      </c>
      <c r="R29">
        <v>750700</v>
      </c>
      <c r="S29">
        <v>1</v>
      </c>
      <c r="T29">
        <v>750702</v>
      </c>
      <c r="U29">
        <v>750703</v>
      </c>
      <c r="V29">
        <v>750704</v>
      </c>
      <c r="W29" t="s">
        <v>6962</v>
      </c>
      <c r="X29" t="s">
        <v>6963</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6964</v>
      </c>
      <c r="AV29" t="s">
        <v>4491</v>
      </c>
      <c r="AW29" t="s">
        <v>4491</v>
      </c>
      <c r="AX29" t="s">
        <v>4491</v>
      </c>
      <c r="AY29">
        <v>181</v>
      </c>
      <c r="AZ29">
        <v>11002</v>
      </c>
      <c r="BA29">
        <v>1</v>
      </c>
      <c r="BB29" t="s">
        <v>6965</v>
      </c>
      <c r="BC29" t="s">
        <v>1806</v>
      </c>
      <c r="BD29">
        <v>930024</v>
      </c>
      <c r="BE29" t="s">
        <v>4493</v>
      </c>
      <c r="BF29" t="s">
        <v>4494</v>
      </c>
      <c r="BG29">
        <v>100</v>
      </c>
      <c r="BH29">
        <v>10604</v>
      </c>
      <c r="BI29">
        <v>0</v>
      </c>
    </row>
    <row r="30" spans="1:61" x14ac:dyDescent="0.3">
      <c r="A30">
        <v>1007</v>
      </c>
      <c r="B30" t="s">
        <v>4593</v>
      </c>
      <c r="C30" t="s">
        <v>979</v>
      </c>
      <c r="D30" t="s">
        <v>979</v>
      </c>
      <c r="E30" t="s">
        <v>4594</v>
      </c>
      <c r="G30" t="s">
        <v>4485</v>
      </c>
      <c r="H30" t="s">
        <v>4595</v>
      </c>
      <c r="I30">
        <v>1</v>
      </c>
      <c r="J30">
        <v>1</v>
      </c>
      <c r="K30" t="s">
        <v>972</v>
      </c>
      <c r="L30">
        <v>1</v>
      </c>
      <c r="M30">
        <v>107</v>
      </c>
      <c r="N30" t="s">
        <v>973</v>
      </c>
      <c r="O30">
        <v>10</v>
      </c>
      <c r="P30">
        <v>0</v>
      </c>
      <c r="Q30">
        <v>5</v>
      </c>
      <c r="R30">
        <v>900833</v>
      </c>
      <c r="S30">
        <v>2</v>
      </c>
      <c r="T30">
        <v>30008</v>
      </c>
      <c r="U30">
        <v>900831</v>
      </c>
      <c r="V30">
        <v>900832</v>
      </c>
      <c r="W30" t="s">
        <v>4596</v>
      </c>
      <c r="X30" t="s">
        <v>328</v>
      </c>
      <c r="Y30" t="s">
        <v>4597</v>
      </c>
      <c r="Z30">
        <v>900830</v>
      </c>
      <c r="AA30">
        <v>10</v>
      </c>
      <c r="AB30">
        <v>10</v>
      </c>
      <c r="AC30">
        <v>5</v>
      </c>
      <c r="AD30">
        <v>5</v>
      </c>
      <c r="AE30">
        <v>105</v>
      </c>
      <c r="AF30">
        <v>105</v>
      </c>
      <c r="AG30">
        <v>105</v>
      </c>
      <c r="AH30">
        <v>105</v>
      </c>
      <c r="AI30">
        <v>105</v>
      </c>
      <c r="AJ30">
        <v>0</v>
      </c>
      <c r="AK30">
        <v>15</v>
      </c>
      <c r="AL30">
        <v>40</v>
      </c>
      <c r="AM30">
        <v>150</v>
      </c>
      <c r="AN30">
        <v>100</v>
      </c>
      <c r="AO30">
        <v>15</v>
      </c>
      <c r="AP30">
        <v>0</v>
      </c>
      <c r="AQ30">
        <v>2</v>
      </c>
      <c r="AR30">
        <v>15</v>
      </c>
      <c r="AS30">
        <v>500</v>
      </c>
      <c r="AT30">
        <v>7</v>
      </c>
      <c r="AU30" t="s">
        <v>4598</v>
      </c>
      <c r="AV30" t="s">
        <v>4491</v>
      </c>
      <c r="AW30" t="s">
        <v>4491</v>
      </c>
      <c r="AX30" t="s">
        <v>4491</v>
      </c>
      <c r="AY30">
        <v>21</v>
      </c>
      <c r="AZ30">
        <v>11002</v>
      </c>
      <c r="BA30">
        <v>1</v>
      </c>
      <c r="BB30" t="s">
        <v>4492</v>
      </c>
      <c r="BC30" t="s">
        <v>1806</v>
      </c>
      <c r="BD30">
        <v>930007</v>
      </c>
      <c r="BE30" t="s">
        <v>4493</v>
      </c>
      <c r="BF30" t="s">
        <v>4494</v>
      </c>
      <c r="BG30">
        <v>88</v>
      </c>
      <c r="BH30">
        <v>10603</v>
      </c>
    </row>
    <row r="31" spans="1:61" x14ac:dyDescent="0.3">
      <c r="A31">
        <v>2003</v>
      </c>
      <c r="B31" t="s">
        <v>4599</v>
      </c>
      <c r="C31" t="s">
        <v>990</v>
      </c>
      <c r="D31" t="s">
        <v>990</v>
      </c>
      <c r="E31" t="s">
        <v>4600</v>
      </c>
      <c r="G31" t="s">
        <v>4485</v>
      </c>
      <c r="H31" t="s">
        <v>4601</v>
      </c>
      <c r="I31">
        <v>1</v>
      </c>
      <c r="J31">
        <v>2</v>
      </c>
      <c r="K31" t="s">
        <v>991</v>
      </c>
      <c r="L31">
        <v>5</v>
      </c>
      <c r="M31">
        <v>203</v>
      </c>
      <c r="N31" t="s">
        <v>973</v>
      </c>
      <c r="O31">
        <v>6</v>
      </c>
      <c r="P31">
        <v>0</v>
      </c>
      <c r="Q31">
        <v>4</v>
      </c>
      <c r="R31">
        <v>0</v>
      </c>
      <c r="S31">
        <v>1</v>
      </c>
      <c r="T31">
        <v>0</v>
      </c>
      <c r="U31">
        <v>600701</v>
      </c>
      <c r="V31">
        <v>600703</v>
      </c>
      <c r="W31" t="s">
        <v>1806</v>
      </c>
      <c r="X31" t="s">
        <v>4499</v>
      </c>
      <c r="Y31" t="s">
        <v>4602</v>
      </c>
      <c r="Z31">
        <v>600704</v>
      </c>
      <c r="AA31">
        <v>10</v>
      </c>
      <c r="AB31">
        <v>10</v>
      </c>
      <c r="AC31">
        <v>5</v>
      </c>
      <c r="AD31">
        <v>5</v>
      </c>
      <c r="AE31">
        <v>140</v>
      </c>
      <c r="AF31">
        <v>90</v>
      </c>
      <c r="AG31">
        <v>75</v>
      </c>
      <c r="AH31">
        <v>110</v>
      </c>
      <c r="AI31">
        <v>40</v>
      </c>
      <c r="AJ31">
        <v>100</v>
      </c>
      <c r="AK31">
        <v>15</v>
      </c>
      <c r="AL31">
        <v>20</v>
      </c>
      <c r="AM31">
        <v>150</v>
      </c>
      <c r="AN31">
        <v>95</v>
      </c>
      <c r="AO31">
        <v>8</v>
      </c>
      <c r="AP31">
        <v>0</v>
      </c>
      <c r="AQ31">
        <v>1</v>
      </c>
      <c r="AR31">
        <v>15</v>
      </c>
      <c r="AS31">
        <v>500</v>
      </c>
      <c r="AT31">
        <v>3</v>
      </c>
      <c r="AU31" t="s">
        <v>328</v>
      </c>
      <c r="AV31" t="s">
        <v>328</v>
      </c>
      <c r="AW31" t="s">
        <v>328</v>
      </c>
      <c r="AX31" t="s">
        <v>328</v>
      </c>
      <c r="AY31">
        <v>15</v>
      </c>
      <c r="AZ31">
        <v>3045</v>
      </c>
      <c r="BA31">
        <v>9</v>
      </c>
      <c r="BB31" t="s">
        <v>4492</v>
      </c>
      <c r="BC31" t="s">
        <v>1806</v>
      </c>
      <c r="BD31">
        <v>910015</v>
      </c>
      <c r="BE31" t="s">
        <v>4493</v>
      </c>
      <c r="BF31" t="s">
        <v>4494</v>
      </c>
      <c r="BG31">
        <v>100</v>
      </c>
      <c r="BH31">
        <v>0</v>
      </c>
    </row>
    <row r="32" spans="1:61" x14ac:dyDescent="0.3">
      <c r="A32">
        <v>2014</v>
      </c>
      <c r="B32" t="s">
        <v>4603</v>
      </c>
      <c r="C32" t="s">
        <v>1004</v>
      </c>
      <c r="D32" t="s">
        <v>1004</v>
      </c>
      <c r="E32" t="s">
        <v>4604</v>
      </c>
      <c r="G32" t="s">
        <v>4485</v>
      </c>
      <c r="H32" t="s">
        <v>4605</v>
      </c>
      <c r="I32">
        <v>1</v>
      </c>
      <c r="J32">
        <v>2</v>
      </c>
      <c r="K32" t="s">
        <v>991</v>
      </c>
      <c r="L32">
        <v>5</v>
      </c>
      <c r="M32">
        <v>214</v>
      </c>
      <c r="N32" t="s">
        <v>973</v>
      </c>
      <c r="O32">
        <v>6</v>
      </c>
      <c r="P32">
        <v>0</v>
      </c>
      <c r="Q32">
        <v>4</v>
      </c>
      <c r="R32">
        <v>0</v>
      </c>
      <c r="S32">
        <v>1</v>
      </c>
      <c r="T32">
        <v>0</v>
      </c>
      <c r="U32">
        <v>902200</v>
      </c>
      <c r="V32">
        <v>902201</v>
      </c>
      <c r="W32" t="s">
        <v>1806</v>
      </c>
      <c r="X32" t="s">
        <v>4499</v>
      </c>
      <c r="Y32" t="s">
        <v>328</v>
      </c>
      <c r="Z32">
        <v>600704</v>
      </c>
      <c r="AA32">
        <v>10</v>
      </c>
      <c r="AB32">
        <v>10</v>
      </c>
      <c r="AC32">
        <v>5</v>
      </c>
      <c r="AD32">
        <v>5</v>
      </c>
      <c r="AE32">
        <v>180</v>
      </c>
      <c r="AF32">
        <v>75</v>
      </c>
      <c r="AG32">
        <v>50</v>
      </c>
      <c r="AH32">
        <v>110</v>
      </c>
      <c r="AI32">
        <v>50</v>
      </c>
      <c r="AJ32">
        <v>105</v>
      </c>
      <c r="AK32">
        <v>15</v>
      </c>
      <c r="AL32">
        <v>20</v>
      </c>
      <c r="AM32">
        <v>150</v>
      </c>
      <c r="AN32">
        <v>95</v>
      </c>
      <c r="AO32">
        <v>8</v>
      </c>
      <c r="AP32">
        <v>0</v>
      </c>
      <c r="AQ32">
        <v>1</v>
      </c>
      <c r="AR32">
        <v>15</v>
      </c>
      <c r="AS32">
        <v>500</v>
      </c>
      <c r="AT32">
        <v>3</v>
      </c>
      <c r="AU32" t="s">
        <v>328</v>
      </c>
      <c r="AV32" t="s">
        <v>328</v>
      </c>
      <c r="AW32" t="s">
        <v>328</v>
      </c>
      <c r="AX32" t="s">
        <v>328</v>
      </c>
      <c r="AY32">
        <v>60</v>
      </c>
      <c r="AZ32">
        <v>3045</v>
      </c>
      <c r="BA32">
        <v>9</v>
      </c>
      <c r="BB32" t="s">
        <v>4492</v>
      </c>
      <c r="BC32" t="s">
        <v>1806</v>
      </c>
      <c r="BD32">
        <v>911011</v>
      </c>
      <c r="BE32" t="s">
        <v>4493</v>
      </c>
      <c r="BF32" t="s">
        <v>4494</v>
      </c>
      <c r="BG32">
        <v>95</v>
      </c>
      <c r="BH32">
        <v>0</v>
      </c>
    </row>
    <row r="33" spans="1:61" x14ac:dyDescent="0.3">
      <c r="A33">
        <v>2001</v>
      </c>
      <c r="B33" t="s">
        <v>4606</v>
      </c>
      <c r="C33" t="s">
        <v>988</v>
      </c>
      <c r="D33" t="s">
        <v>988</v>
      </c>
      <c r="E33" t="s">
        <v>4607</v>
      </c>
      <c r="G33" t="s">
        <v>4485</v>
      </c>
      <c r="H33" t="s">
        <v>4608</v>
      </c>
      <c r="I33">
        <v>1</v>
      </c>
      <c r="J33">
        <v>2</v>
      </c>
      <c r="K33" t="s">
        <v>975</v>
      </c>
      <c r="L33">
        <v>5</v>
      </c>
      <c r="M33">
        <v>201</v>
      </c>
      <c r="N33" t="s">
        <v>973</v>
      </c>
      <c r="O33">
        <v>4</v>
      </c>
      <c r="P33">
        <v>0</v>
      </c>
      <c r="Q33">
        <v>4</v>
      </c>
      <c r="R33">
        <v>0</v>
      </c>
      <c r="S33">
        <v>1</v>
      </c>
      <c r="T33">
        <v>0</v>
      </c>
      <c r="U33">
        <v>900578</v>
      </c>
      <c r="V33">
        <v>900579</v>
      </c>
      <c r="W33" t="s">
        <v>1806</v>
      </c>
      <c r="X33" t="s">
        <v>4499</v>
      </c>
      <c r="Y33" t="s">
        <v>4609</v>
      </c>
      <c r="Z33">
        <v>900577</v>
      </c>
      <c r="AA33">
        <v>10</v>
      </c>
      <c r="AB33">
        <v>10</v>
      </c>
      <c r="AC33">
        <v>5</v>
      </c>
      <c r="AD33">
        <v>5</v>
      </c>
      <c r="AE33">
        <v>75</v>
      </c>
      <c r="AF33">
        <v>62</v>
      </c>
      <c r="AG33">
        <v>80</v>
      </c>
      <c r="AH33">
        <v>100</v>
      </c>
      <c r="AI33">
        <v>90</v>
      </c>
      <c r="AJ33">
        <v>0</v>
      </c>
      <c r="AK33">
        <v>180</v>
      </c>
      <c r="AL33">
        <v>10</v>
      </c>
      <c r="AM33">
        <v>150</v>
      </c>
      <c r="AN33">
        <v>95</v>
      </c>
      <c r="AO33">
        <v>20</v>
      </c>
      <c r="AP33">
        <v>0</v>
      </c>
      <c r="AQ33">
        <v>1</v>
      </c>
      <c r="AR33">
        <v>15</v>
      </c>
      <c r="AS33">
        <v>500</v>
      </c>
      <c r="AT33">
        <v>3</v>
      </c>
      <c r="AU33" t="s">
        <v>328</v>
      </c>
      <c r="AV33" t="s">
        <v>328</v>
      </c>
      <c r="AW33" t="s">
        <v>328</v>
      </c>
      <c r="AX33" t="s">
        <v>328</v>
      </c>
      <c r="AY33">
        <v>28</v>
      </c>
      <c r="AZ33">
        <v>3045</v>
      </c>
      <c r="BA33">
        <v>7</v>
      </c>
      <c r="BB33" t="s">
        <v>4492</v>
      </c>
      <c r="BC33" t="s">
        <v>1806</v>
      </c>
      <c r="BD33">
        <v>910017</v>
      </c>
      <c r="BE33" t="s">
        <v>4493</v>
      </c>
      <c r="BF33" t="s">
        <v>4494</v>
      </c>
      <c r="BG33">
        <v>75</v>
      </c>
      <c r="BH33">
        <v>0</v>
      </c>
    </row>
    <row r="34" spans="1:61" x14ac:dyDescent="0.3">
      <c r="A34">
        <v>2002</v>
      </c>
      <c r="B34" t="s">
        <v>4610</v>
      </c>
      <c r="C34" t="s">
        <v>989</v>
      </c>
      <c r="D34" t="s">
        <v>989</v>
      </c>
      <c r="E34" t="s">
        <v>4611</v>
      </c>
      <c r="G34" t="s">
        <v>4485</v>
      </c>
      <c r="H34" t="s">
        <v>4612</v>
      </c>
      <c r="I34">
        <v>1</v>
      </c>
      <c r="J34">
        <v>2</v>
      </c>
      <c r="K34" t="s">
        <v>975</v>
      </c>
      <c r="L34">
        <v>5</v>
      </c>
      <c r="M34">
        <v>202</v>
      </c>
      <c r="N34" t="s">
        <v>973</v>
      </c>
      <c r="O34">
        <v>6</v>
      </c>
      <c r="P34">
        <v>0</v>
      </c>
      <c r="Q34">
        <v>4</v>
      </c>
      <c r="R34">
        <v>0</v>
      </c>
      <c r="S34">
        <v>1</v>
      </c>
      <c r="T34">
        <v>0</v>
      </c>
      <c r="U34">
        <v>900520</v>
      </c>
      <c r="V34">
        <v>900527</v>
      </c>
      <c r="W34" t="s">
        <v>1806</v>
      </c>
      <c r="X34" t="s">
        <v>4613</v>
      </c>
      <c r="Y34" t="s">
        <v>328</v>
      </c>
      <c r="Z34">
        <v>900519</v>
      </c>
      <c r="AA34">
        <v>10</v>
      </c>
      <c r="AB34">
        <v>10</v>
      </c>
      <c r="AC34">
        <v>5</v>
      </c>
      <c r="AD34">
        <v>5</v>
      </c>
      <c r="AE34">
        <v>132</v>
      </c>
      <c r="AF34">
        <v>105</v>
      </c>
      <c r="AG34">
        <v>65</v>
      </c>
      <c r="AH34">
        <v>105</v>
      </c>
      <c r="AI34">
        <v>75</v>
      </c>
      <c r="AJ34">
        <v>0</v>
      </c>
      <c r="AK34">
        <v>50</v>
      </c>
      <c r="AL34">
        <v>20</v>
      </c>
      <c r="AM34">
        <v>150</v>
      </c>
      <c r="AN34">
        <v>95</v>
      </c>
      <c r="AO34">
        <v>16</v>
      </c>
      <c r="AP34">
        <v>0</v>
      </c>
      <c r="AQ34">
        <v>1</v>
      </c>
      <c r="AR34">
        <v>15</v>
      </c>
      <c r="AS34">
        <v>500</v>
      </c>
      <c r="AT34">
        <v>4</v>
      </c>
      <c r="AU34" t="s">
        <v>328</v>
      </c>
      <c r="AV34" t="s">
        <v>328</v>
      </c>
      <c r="AW34" t="s">
        <v>328</v>
      </c>
      <c r="AX34" t="s">
        <v>328</v>
      </c>
      <c r="AY34">
        <v>12</v>
      </c>
      <c r="AZ34">
        <v>3045</v>
      </c>
      <c r="BA34">
        <v>8</v>
      </c>
      <c r="BB34" t="s">
        <v>4492</v>
      </c>
      <c r="BC34" t="s">
        <v>1806</v>
      </c>
      <c r="BD34">
        <v>910008</v>
      </c>
      <c r="BE34" t="s">
        <v>4493</v>
      </c>
      <c r="BF34" t="s">
        <v>4494</v>
      </c>
      <c r="BG34">
        <v>90</v>
      </c>
      <c r="BH34">
        <v>0</v>
      </c>
    </row>
    <row r="35" spans="1:61" x14ac:dyDescent="0.3">
      <c r="A35">
        <v>2012</v>
      </c>
      <c r="B35" t="s">
        <v>4614</v>
      </c>
      <c r="C35" t="s">
        <v>1002</v>
      </c>
      <c r="D35" t="s">
        <v>1002</v>
      </c>
      <c r="E35" t="s">
        <v>4615</v>
      </c>
      <c r="G35" t="s">
        <v>4485</v>
      </c>
      <c r="H35" t="s">
        <v>4616</v>
      </c>
      <c r="I35">
        <v>1</v>
      </c>
      <c r="J35">
        <v>2</v>
      </c>
      <c r="K35" t="s">
        <v>975</v>
      </c>
      <c r="L35">
        <v>5</v>
      </c>
      <c r="M35">
        <v>212</v>
      </c>
      <c r="N35" t="s">
        <v>973</v>
      </c>
      <c r="O35">
        <v>6</v>
      </c>
      <c r="P35">
        <v>0</v>
      </c>
      <c r="Q35">
        <v>4</v>
      </c>
      <c r="R35">
        <v>0</v>
      </c>
      <c r="S35">
        <v>1</v>
      </c>
      <c r="T35">
        <v>0</v>
      </c>
      <c r="U35">
        <v>900982</v>
      </c>
      <c r="V35">
        <v>900981</v>
      </c>
      <c r="W35" t="s">
        <v>1806</v>
      </c>
      <c r="X35" t="s">
        <v>4499</v>
      </c>
      <c r="Y35" t="s">
        <v>4617</v>
      </c>
      <c r="Z35">
        <v>900980</v>
      </c>
      <c r="AA35">
        <v>10</v>
      </c>
      <c r="AB35">
        <v>10</v>
      </c>
      <c r="AC35">
        <v>5</v>
      </c>
      <c r="AD35">
        <v>5</v>
      </c>
      <c r="AE35">
        <v>135</v>
      </c>
      <c r="AF35">
        <v>122</v>
      </c>
      <c r="AG35">
        <v>65</v>
      </c>
      <c r="AH35">
        <v>115</v>
      </c>
      <c r="AI35">
        <v>80</v>
      </c>
      <c r="AJ35">
        <v>0</v>
      </c>
      <c r="AK35">
        <v>50</v>
      </c>
      <c r="AL35">
        <v>20</v>
      </c>
      <c r="AM35">
        <v>150</v>
      </c>
      <c r="AN35">
        <v>95</v>
      </c>
      <c r="AO35">
        <v>16</v>
      </c>
      <c r="AP35">
        <v>0</v>
      </c>
      <c r="AQ35">
        <v>1</v>
      </c>
      <c r="AR35">
        <v>15</v>
      </c>
      <c r="AS35">
        <v>500</v>
      </c>
      <c r="AT35">
        <v>4</v>
      </c>
      <c r="AU35" t="s">
        <v>328</v>
      </c>
      <c r="AV35" t="s">
        <v>328</v>
      </c>
      <c r="AW35" t="s">
        <v>328</v>
      </c>
      <c r="AX35" t="s">
        <v>328</v>
      </c>
      <c r="AY35">
        <v>58</v>
      </c>
      <c r="AZ35">
        <v>3045</v>
      </c>
      <c r="BA35">
        <v>8</v>
      </c>
      <c r="BB35" t="s">
        <v>4492</v>
      </c>
      <c r="BC35" t="s">
        <v>1806</v>
      </c>
      <c r="BD35">
        <v>911008</v>
      </c>
      <c r="BE35" t="s">
        <v>4493</v>
      </c>
      <c r="BF35" t="s">
        <v>4494</v>
      </c>
      <c r="BG35">
        <v>90</v>
      </c>
      <c r="BH35">
        <v>0</v>
      </c>
    </row>
    <row r="36" spans="1:61" x14ac:dyDescent="0.3">
      <c r="A36">
        <v>2016</v>
      </c>
      <c r="B36" t="s">
        <v>5659</v>
      </c>
      <c r="C36" t="s">
        <v>5663</v>
      </c>
      <c r="D36" t="s">
        <v>5660</v>
      </c>
      <c r="E36" t="s">
        <v>5661</v>
      </c>
      <c r="G36" t="s">
        <v>4485</v>
      </c>
      <c r="H36" t="s">
        <v>5662</v>
      </c>
      <c r="I36">
        <v>1</v>
      </c>
      <c r="J36">
        <v>2</v>
      </c>
      <c r="K36" t="s">
        <v>975</v>
      </c>
      <c r="L36">
        <v>5</v>
      </c>
      <c r="M36">
        <v>216</v>
      </c>
      <c r="N36" t="s">
        <v>973</v>
      </c>
      <c r="O36">
        <v>6</v>
      </c>
      <c r="P36">
        <v>0</v>
      </c>
      <c r="Q36">
        <v>4</v>
      </c>
      <c r="R36">
        <v>0</v>
      </c>
      <c r="S36">
        <v>1</v>
      </c>
      <c r="T36">
        <v>0</v>
      </c>
      <c r="U36">
        <v>900746</v>
      </c>
      <c r="V36">
        <v>750298</v>
      </c>
      <c r="W36" t="s">
        <v>1806</v>
      </c>
      <c r="X36" t="s">
        <v>4499</v>
      </c>
      <c r="Y36" t="s">
        <v>4621</v>
      </c>
      <c r="Z36">
        <v>900745</v>
      </c>
      <c r="AA36">
        <v>10</v>
      </c>
      <c r="AB36">
        <v>10</v>
      </c>
      <c r="AC36">
        <v>5</v>
      </c>
      <c r="AD36">
        <v>5</v>
      </c>
      <c r="AE36">
        <v>200</v>
      </c>
      <c r="AF36">
        <v>115</v>
      </c>
      <c r="AG36">
        <v>75</v>
      </c>
      <c r="AH36">
        <v>165</v>
      </c>
      <c r="AI36">
        <v>40</v>
      </c>
      <c r="AJ36">
        <v>0</v>
      </c>
      <c r="AK36">
        <v>15</v>
      </c>
      <c r="AL36">
        <v>20</v>
      </c>
      <c r="AM36">
        <v>150</v>
      </c>
      <c r="AN36">
        <v>95</v>
      </c>
      <c r="AO36">
        <v>16</v>
      </c>
      <c r="AP36">
        <v>0</v>
      </c>
      <c r="AQ36">
        <v>1</v>
      </c>
      <c r="AR36">
        <v>15</v>
      </c>
      <c r="AS36">
        <v>500</v>
      </c>
      <c r="AT36">
        <v>3</v>
      </c>
      <c r="AU36" t="s">
        <v>328</v>
      </c>
      <c r="AV36" t="s">
        <v>328</v>
      </c>
      <c r="AW36" t="s">
        <v>328</v>
      </c>
      <c r="AX36" t="s">
        <v>328</v>
      </c>
      <c r="AY36">
        <v>108</v>
      </c>
      <c r="AZ36">
        <v>3045</v>
      </c>
      <c r="BA36">
        <v>8</v>
      </c>
      <c r="BB36" t="s">
        <v>4492</v>
      </c>
      <c r="BC36" t="s">
        <v>1806</v>
      </c>
      <c r="BD36">
        <v>913124</v>
      </c>
      <c r="BE36" t="s">
        <v>4493</v>
      </c>
      <c r="BF36" t="s">
        <v>4494</v>
      </c>
      <c r="BG36">
        <v>95</v>
      </c>
      <c r="BH36">
        <v>0</v>
      </c>
    </row>
    <row r="37" spans="1:61" x14ac:dyDescent="0.3">
      <c r="A37">
        <v>2008</v>
      </c>
      <c r="B37" t="s">
        <v>4618</v>
      </c>
      <c r="C37" t="s">
        <v>997</v>
      </c>
      <c r="D37" t="s">
        <v>997</v>
      </c>
      <c r="E37" t="s">
        <v>4619</v>
      </c>
      <c r="G37" t="s">
        <v>4485</v>
      </c>
      <c r="H37" t="s">
        <v>4620</v>
      </c>
      <c r="I37">
        <v>1</v>
      </c>
      <c r="J37">
        <v>2</v>
      </c>
      <c r="K37" t="s">
        <v>975</v>
      </c>
      <c r="L37">
        <v>5</v>
      </c>
      <c r="M37">
        <v>208</v>
      </c>
      <c r="N37" t="s">
        <v>973</v>
      </c>
      <c r="O37">
        <v>6</v>
      </c>
      <c r="P37">
        <v>0</v>
      </c>
      <c r="Q37">
        <v>4</v>
      </c>
      <c r="R37">
        <v>0</v>
      </c>
      <c r="S37">
        <v>1</v>
      </c>
      <c r="T37">
        <v>0</v>
      </c>
      <c r="U37">
        <v>900746</v>
      </c>
      <c r="V37">
        <v>900744</v>
      </c>
      <c r="W37" t="s">
        <v>1806</v>
      </c>
      <c r="X37" t="s">
        <v>4499</v>
      </c>
      <c r="Y37" t="s">
        <v>4621</v>
      </c>
      <c r="Z37">
        <v>900745</v>
      </c>
      <c r="AA37">
        <v>10</v>
      </c>
      <c r="AB37">
        <v>10</v>
      </c>
      <c r="AC37">
        <v>5</v>
      </c>
      <c r="AD37">
        <v>5</v>
      </c>
      <c r="AE37">
        <v>140</v>
      </c>
      <c r="AF37">
        <v>100</v>
      </c>
      <c r="AG37">
        <v>75</v>
      </c>
      <c r="AH37">
        <v>130</v>
      </c>
      <c r="AI37">
        <v>80</v>
      </c>
      <c r="AJ37">
        <v>0</v>
      </c>
      <c r="AK37">
        <v>50</v>
      </c>
      <c r="AL37">
        <v>20</v>
      </c>
      <c r="AM37">
        <v>150</v>
      </c>
      <c r="AN37">
        <v>95</v>
      </c>
      <c r="AO37">
        <v>16</v>
      </c>
      <c r="AP37">
        <v>0</v>
      </c>
      <c r="AQ37">
        <v>1</v>
      </c>
      <c r="AR37">
        <v>15</v>
      </c>
      <c r="AS37">
        <v>500</v>
      </c>
      <c r="AT37">
        <v>3</v>
      </c>
      <c r="AU37" t="s">
        <v>328</v>
      </c>
      <c r="AV37" t="s">
        <v>328</v>
      </c>
      <c r="AW37" t="s">
        <v>328</v>
      </c>
      <c r="AX37" t="s">
        <v>328</v>
      </c>
      <c r="AY37">
        <v>57</v>
      </c>
      <c r="AZ37">
        <v>3045</v>
      </c>
      <c r="BA37">
        <v>8</v>
      </c>
      <c r="BB37" t="s">
        <v>4492</v>
      </c>
      <c r="BC37" t="s">
        <v>1806</v>
      </c>
      <c r="BD37">
        <v>911007</v>
      </c>
      <c r="BE37" t="s">
        <v>4493</v>
      </c>
      <c r="BF37" t="s">
        <v>4494</v>
      </c>
      <c r="BG37">
        <v>90</v>
      </c>
      <c r="BH37">
        <v>0</v>
      </c>
    </row>
    <row r="38" spans="1:61" x14ac:dyDescent="0.3">
      <c r="A38">
        <v>2015</v>
      </c>
      <c r="B38" t="s">
        <v>4495</v>
      </c>
      <c r="C38" t="s">
        <v>4496</v>
      </c>
      <c r="D38" t="s">
        <v>4496</v>
      </c>
      <c r="E38" t="s">
        <v>4497</v>
      </c>
      <c r="G38" t="s">
        <v>4485</v>
      </c>
      <c r="H38" t="s">
        <v>4498</v>
      </c>
      <c r="I38">
        <v>1</v>
      </c>
      <c r="J38">
        <v>2</v>
      </c>
      <c r="K38" t="s">
        <v>972</v>
      </c>
      <c r="L38">
        <v>5</v>
      </c>
      <c r="M38">
        <v>215</v>
      </c>
      <c r="N38" t="s">
        <v>973</v>
      </c>
      <c r="O38">
        <v>6</v>
      </c>
      <c r="P38">
        <v>0</v>
      </c>
      <c r="Q38">
        <v>4</v>
      </c>
      <c r="R38">
        <v>0</v>
      </c>
      <c r="S38">
        <v>1</v>
      </c>
      <c r="T38">
        <v>0</v>
      </c>
      <c r="U38">
        <v>750056</v>
      </c>
      <c r="V38">
        <v>750058</v>
      </c>
      <c r="W38" t="s">
        <v>1806</v>
      </c>
      <c r="X38" t="s">
        <v>4499</v>
      </c>
      <c r="Y38" t="s">
        <v>328</v>
      </c>
      <c r="Z38">
        <v>750057</v>
      </c>
      <c r="AA38">
        <v>10</v>
      </c>
      <c r="AB38">
        <v>10</v>
      </c>
      <c r="AC38">
        <v>5</v>
      </c>
      <c r="AD38">
        <v>5</v>
      </c>
      <c r="AE38">
        <v>80</v>
      </c>
      <c r="AF38">
        <v>140</v>
      </c>
      <c r="AG38">
        <v>70</v>
      </c>
      <c r="AH38">
        <v>130</v>
      </c>
      <c r="AI38">
        <v>55</v>
      </c>
      <c r="AJ38">
        <v>0</v>
      </c>
      <c r="AK38">
        <v>180</v>
      </c>
      <c r="AL38">
        <v>50</v>
      </c>
      <c r="AM38">
        <v>200</v>
      </c>
      <c r="AN38">
        <v>95</v>
      </c>
      <c r="AO38">
        <v>6</v>
      </c>
      <c r="AP38">
        <v>0</v>
      </c>
      <c r="AQ38">
        <v>2</v>
      </c>
      <c r="AR38">
        <v>15</v>
      </c>
      <c r="AS38">
        <v>500</v>
      </c>
      <c r="AT38">
        <v>9</v>
      </c>
      <c r="AU38" t="s">
        <v>328</v>
      </c>
      <c r="AV38" t="s">
        <v>328</v>
      </c>
      <c r="AW38" t="s">
        <v>328</v>
      </c>
      <c r="AX38" t="s">
        <v>328</v>
      </c>
      <c r="AY38">
        <v>56</v>
      </c>
      <c r="AZ38">
        <v>3045</v>
      </c>
      <c r="BA38">
        <v>17</v>
      </c>
      <c r="BB38" t="s">
        <v>4492</v>
      </c>
      <c r="BC38" t="s">
        <v>1806</v>
      </c>
      <c r="BD38">
        <v>911006</v>
      </c>
      <c r="BE38" t="s">
        <v>4493</v>
      </c>
      <c r="BF38" t="s">
        <v>4494</v>
      </c>
      <c r="BG38">
        <v>95</v>
      </c>
      <c r="BH38">
        <v>0</v>
      </c>
    </row>
    <row r="39" spans="1:61" x14ac:dyDescent="0.3">
      <c r="A39">
        <v>2006</v>
      </c>
      <c r="B39" t="s">
        <v>4622</v>
      </c>
      <c r="C39" t="s">
        <v>996</v>
      </c>
      <c r="D39" t="s">
        <v>996</v>
      </c>
      <c r="E39" t="s">
        <v>4623</v>
      </c>
      <c r="G39" t="s">
        <v>4485</v>
      </c>
      <c r="H39" t="s">
        <v>4624</v>
      </c>
      <c r="I39">
        <v>1</v>
      </c>
      <c r="J39">
        <v>2</v>
      </c>
      <c r="K39" t="s">
        <v>993</v>
      </c>
      <c r="L39">
        <v>1</v>
      </c>
      <c r="M39">
        <v>206</v>
      </c>
      <c r="N39" t="s">
        <v>973</v>
      </c>
      <c r="O39">
        <v>10</v>
      </c>
      <c r="P39">
        <v>0</v>
      </c>
      <c r="Q39">
        <v>4</v>
      </c>
      <c r="R39">
        <v>0</v>
      </c>
      <c r="S39">
        <v>1</v>
      </c>
      <c r="T39">
        <v>0</v>
      </c>
      <c r="U39">
        <v>900617</v>
      </c>
      <c r="V39">
        <v>900618</v>
      </c>
      <c r="W39" t="s">
        <v>1806</v>
      </c>
      <c r="X39" t="s">
        <v>4625</v>
      </c>
      <c r="Y39" t="s">
        <v>4626</v>
      </c>
      <c r="Z39">
        <v>900615</v>
      </c>
      <c r="AA39">
        <v>10</v>
      </c>
      <c r="AB39">
        <v>10</v>
      </c>
      <c r="AC39">
        <v>5</v>
      </c>
      <c r="AD39">
        <v>5</v>
      </c>
      <c r="AE39">
        <v>165</v>
      </c>
      <c r="AF39">
        <v>130</v>
      </c>
      <c r="AG39">
        <v>85</v>
      </c>
      <c r="AH39">
        <v>110</v>
      </c>
      <c r="AI39">
        <v>50</v>
      </c>
      <c r="AJ39">
        <v>120</v>
      </c>
      <c r="AK39">
        <v>180</v>
      </c>
      <c r="AL39">
        <v>20</v>
      </c>
      <c r="AM39">
        <v>150</v>
      </c>
      <c r="AN39">
        <v>75</v>
      </c>
      <c r="AO39">
        <v>8</v>
      </c>
      <c r="AP39">
        <v>0</v>
      </c>
      <c r="AQ39">
        <v>2</v>
      </c>
      <c r="AR39">
        <v>15</v>
      </c>
      <c r="AS39">
        <v>500</v>
      </c>
      <c r="AT39">
        <v>5</v>
      </c>
      <c r="AU39" t="s">
        <v>328</v>
      </c>
      <c r="AV39" t="s">
        <v>328</v>
      </c>
      <c r="AW39" t="s">
        <v>328</v>
      </c>
      <c r="AX39" t="s">
        <v>328</v>
      </c>
      <c r="AY39">
        <v>16</v>
      </c>
      <c r="AZ39">
        <v>3045</v>
      </c>
      <c r="BA39">
        <v>9</v>
      </c>
      <c r="BB39" t="s">
        <v>4492</v>
      </c>
      <c r="BC39" t="s">
        <v>1806</v>
      </c>
      <c r="BD39">
        <v>910010</v>
      </c>
      <c r="BE39" t="s">
        <v>4493</v>
      </c>
      <c r="BF39" t="s">
        <v>4494</v>
      </c>
      <c r="BG39">
        <v>100</v>
      </c>
      <c r="BH39">
        <v>0</v>
      </c>
    </row>
    <row r="40" spans="1:61" x14ac:dyDescent="0.3">
      <c r="A40">
        <v>2004</v>
      </c>
      <c r="B40" t="s">
        <v>4627</v>
      </c>
      <c r="C40" t="s">
        <v>992</v>
      </c>
      <c r="D40" t="s">
        <v>992</v>
      </c>
      <c r="E40" t="s">
        <v>4628</v>
      </c>
      <c r="G40" t="s">
        <v>4485</v>
      </c>
      <c r="H40" t="s">
        <v>4629</v>
      </c>
      <c r="I40">
        <v>1</v>
      </c>
      <c r="J40">
        <v>2</v>
      </c>
      <c r="K40" t="s">
        <v>993</v>
      </c>
      <c r="L40">
        <v>5</v>
      </c>
      <c r="M40">
        <v>204</v>
      </c>
      <c r="N40" t="s">
        <v>973</v>
      </c>
      <c r="O40">
        <v>6</v>
      </c>
      <c r="P40">
        <v>0</v>
      </c>
      <c r="Q40">
        <v>4</v>
      </c>
      <c r="R40">
        <v>0</v>
      </c>
      <c r="S40">
        <v>1</v>
      </c>
      <c r="T40">
        <v>0</v>
      </c>
      <c r="U40">
        <v>900612</v>
      </c>
      <c r="V40">
        <v>900613</v>
      </c>
      <c r="W40" t="s">
        <v>1806</v>
      </c>
      <c r="X40" t="s">
        <v>4499</v>
      </c>
      <c r="Y40" t="s">
        <v>328</v>
      </c>
      <c r="Z40">
        <v>900611</v>
      </c>
      <c r="AA40">
        <v>10</v>
      </c>
      <c r="AB40">
        <v>10</v>
      </c>
      <c r="AC40">
        <v>5</v>
      </c>
      <c r="AD40">
        <v>5</v>
      </c>
      <c r="AE40">
        <v>98</v>
      </c>
      <c r="AF40">
        <v>165</v>
      </c>
      <c r="AG40">
        <v>60</v>
      </c>
      <c r="AH40">
        <v>110</v>
      </c>
      <c r="AI40">
        <v>30</v>
      </c>
      <c r="AJ40">
        <v>50</v>
      </c>
      <c r="AK40">
        <v>100</v>
      </c>
      <c r="AL40">
        <v>20</v>
      </c>
      <c r="AM40">
        <v>150</v>
      </c>
      <c r="AN40">
        <v>95</v>
      </c>
      <c r="AO40">
        <v>8</v>
      </c>
      <c r="AP40">
        <v>0</v>
      </c>
      <c r="AQ40">
        <v>2</v>
      </c>
      <c r="AR40">
        <v>15</v>
      </c>
      <c r="AS40">
        <v>500</v>
      </c>
      <c r="AT40">
        <v>3</v>
      </c>
      <c r="AU40" t="s">
        <v>328</v>
      </c>
      <c r="AV40" t="s">
        <v>328</v>
      </c>
      <c r="AW40" t="s">
        <v>328</v>
      </c>
      <c r="AX40" t="s">
        <v>328</v>
      </c>
      <c r="AY40">
        <v>14</v>
      </c>
      <c r="AZ40">
        <v>3045</v>
      </c>
      <c r="BA40">
        <v>9</v>
      </c>
      <c r="BB40" t="s">
        <v>4492</v>
      </c>
      <c r="BC40" t="s">
        <v>1806</v>
      </c>
      <c r="BD40">
        <v>910016</v>
      </c>
      <c r="BE40" t="s">
        <v>4493</v>
      </c>
      <c r="BF40" t="s">
        <v>4494</v>
      </c>
      <c r="BG40">
        <v>100</v>
      </c>
      <c r="BH40">
        <v>0</v>
      </c>
    </row>
    <row r="41" spans="1:61" x14ac:dyDescent="0.3">
      <c r="A41">
        <v>2011</v>
      </c>
      <c r="B41" t="s">
        <v>4630</v>
      </c>
      <c r="C41" t="s">
        <v>1000</v>
      </c>
      <c r="D41" t="s">
        <v>1000</v>
      </c>
      <c r="E41" t="s">
        <v>4631</v>
      </c>
      <c r="G41" t="s">
        <v>4485</v>
      </c>
      <c r="H41" t="s">
        <v>4632</v>
      </c>
      <c r="I41">
        <v>1</v>
      </c>
      <c r="J41">
        <v>2</v>
      </c>
      <c r="K41" t="s">
        <v>1001</v>
      </c>
      <c r="L41">
        <v>5</v>
      </c>
      <c r="M41">
        <v>211</v>
      </c>
      <c r="N41" t="s">
        <v>973</v>
      </c>
      <c r="O41">
        <v>4</v>
      </c>
      <c r="P41">
        <v>0</v>
      </c>
      <c r="Q41">
        <v>4</v>
      </c>
      <c r="R41">
        <v>0</v>
      </c>
      <c r="S41">
        <v>1</v>
      </c>
      <c r="T41">
        <v>0</v>
      </c>
      <c r="U41">
        <v>900934</v>
      </c>
      <c r="V41">
        <v>900937</v>
      </c>
      <c r="W41" t="s">
        <v>1806</v>
      </c>
      <c r="X41" t="s">
        <v>4499</v>
      </c>
      <c r="Y41" t="s">
        <v>4633</v>
      </c>
      <c r="Z41">
        <v>900574</v>
      </c>
      <c r="AA41">
        <v>10</v>
      </c>
      <c r="AB41">
        <v>10</v>
      </c>
      <c r="AC41">
        <v>5</v>
      </c>
      <c r="AD41">
        <v>5</v>
      </c>
      <c r="AE41">
        <v>95</v>
      </c>
      <c r="AF41">
        <v>75</v>
      </c>
      <c r="AG41">
        <v>120</v>
      </c>
      <c r="AH41">
        <v>110</v>
      </c>
      <c r="AI41">
        <v>95</v>
      </c>
      <c r="AJ41">
        <v>0</v>
      </c>
      <c r="AK41">
        <v>15</v>
      </c>
      <c r="AL41">
        <v>20</v>
      </c>
      <c r="AM41">
        <v>150</v>
      </c>
      <c r="AN41">
        <v>95</v>
      </c>
      <c r="AO41">
        <v>12</v>
      </c>
      <c r="AP41">
        <v>0</v>
      </c>
      <c r="AQ41">
        <v>1</v>
      </c>
      <c r="AR41">
        <v>15</v>
      </c>
      <c r="AS41">
        <v>500</v>
      </c>
      <c r="AT41">
        <v>4</v>
      </c>
      <c r="AU41" t="s">
        <v>328</v>
      </c>
      <c r="AV41" t="s">
        <v>328</v>
      </c>
      <c r="AW41" t="s">
        <v>328</v>
      </c>
      <c r="AX41" t="s">
        <v>328</v>
      </c>
      <c r="AY41">
        <v>55</v>
      </c>
      <c r="AZ41">
        <v>3045</v>
      </c>
      <c r="BA41">
        <v>21</v>
      </c>
      <c r="BB41" t="s">
        <v>4492</v>
      </c>
      <c r="BC41" t="s">
        <v>1806</v>
      </c>
      <c r="BD41">
        <v>911001</v>
      </c>
      <c r="BE41" t="s">
        <v>4493</v>
      </c>
      <c r="BF41" t="s">
        <v>4494</v>
      </c>
      <c r="BG41">
        <v>80</v>
      </c>
      <c r="BH41">
        <v>0</v>
      </c>
    </row>
    <row r="42" spans="1:61" x14ac:dyDescent="0.3">
      <c r="A42">
        <v>2018</v>
      </c>
      <c r="B42" t="s">
        <v>6529</v>
      </c>
      <c r="C42" t="s">
        <v>6537</v>
      </c>
      <c r="D42" t="s">
        <v>6530</v>
      </c>
      <c r="E42" t="s">
        <v>6531</v>
      </c>
      <c r="G42" t="s">
        <v>4485</v>
      </c>
      <c r="H42" t="s">
        <v>6532</v>
      </c>
      <c r="I42">
        <v>1</v>
      </c>
      <c r="J42">
        <v>2</v>
      </c>
      <c r="K42" t="s">
        <v>993</v>
      </c>
      <c r="L42">
        <v>1</v>
      </c>
      <c r="M42">
        <v>218</v>
      </c>
      <c r="N42" t="s">
        <v>6533</v>
      </c>
      <c r="O42">
        <v>8</v>
      </c>
      <c r="P42">
        <v>0</v>
      </c>
      <c r="Q42">
        <v>4</v>
      </c>
      <c r="R42">
        <v>0</v>
      </c>
      <c r="S42">
        <v>1</v>
      </c>
      <c r="T42">
        <v>0</v>
      </c>
      <c r="U42">
        <v>750433</v>
      </c>
      <c r="V42">
        <v>750444</v>
      </c>
      <c r="W42" t="s">
        <v>1806</v>
      </c>
      <c r="X42" t="s">
        <v>6534</v>
      </c>
      <c r="Y42" t="s">
        <v>6535</v>
      </c>
      <c r="Z42">
        <v>900107</v>
      </c>
      <c r="AA42">
        <v>10</v>
      </c>
      <c r="AB42">
        <v>10</v>
      </c>
      <c r="AC42">
        <v>5</v>
      </c>
      <c r="AD42">
        <v>5</v>
      </c>
      <c r="AE42">
        <v>100</v>
      </c>
      <c r="AF42">
        <v>330</v>
      </c>
      <c r="AG42">
        <v>95</v>
      </c>
      <c r="AH42">
        <v>300</v>
      </c>
      <c r="AI42">
        <v>0</v>
      </c>
      <c r="AJ42">
        <v>85</v>
      </c>
      <c r="AK42">
        <v>100</v>
      </c>
      <c r="AL42">
        <v>5</v>
      </c>
      <c r="AM42">
        <v>150</v>
      </c>
      <c r="AN42">
        <v>75</v>
      </c>
      <c r="AO42">
        <v>3</v>
      </c>
      <c r="AP42">
        <v>0</v>
      </c>
      <c r="AQ42">
        <v>2</v>
      </c>
      <c r="AR42">
        <v>15</v>
      </c>
      <c r="AS42">
        <v>500</v>
      </c>
      <c r="AT42">
        <v>5</v>
      </c>
      <c r="AU42" t="s">
        <v>328</v>
      </c>
      <c r="AV42" t="s">
        <v>328</v>
      </c>
      <c r="AW42" t="s">
        <v>328</v>
      </c>
      <c r="AX42" t="s">
        <v>328</v>
      </c>
      <c r="AY42">
        <v>123</v>
      </c>
      <c r="AZ42">
        <v>3045</v>
      </c>
      <c r="BA42">
        <v>21</v>
      </c>
      <c r="BB42" t="s">
        <v>4492</v>
      </c>
      <c r="BC42" t="s">
        <v>1806</v>
      </c>
      <c r="BD42">
        <v>913217</v>
      </c>
      <c r="BE42" t="s">
        <v>4493</v>
      </c>
      <c r="BF42" t="s">
        <v>4494</v>
      </c>
      <c r="BG42">
        <v>100</v>
      </c>
      <c r="BH42">
        <v>0</v>
      </c>
      <c r="BI42">
        <v>0</v>
      </c>
    </row>
    <row r="43" spans="1:61" x14ac:dyDescent="0.3">
      <c r="A43">
        <v>2009</v>
      </c>
      <c r="B43" t="s">
        <v>4634</v>
      </c>
      <c r="C43" t="s">
        <v>998</v>
      </c>
      <c r="D43" t="s">
        <v>998</v>
      </c>
      <c r="E43" t="s">
        <v>4635</v>
      </c>
      <c r="G43" t="s">
        <v>4485</v>
      </c>
      <c r="H43" t="s">
        <v>4636</v>
      </c>
      <c r="I43">
        <v>1</v>
      </c>
      <c r="J43">
        <v>2</v>
      </c>
      <c r="K43" t="s">
        <v>972</v>
      </c>
      <c r="L43">
        <v>5</v>
      </c>
      <c r="M43">
        <v>209</v>
      </c>
      <c r="N43" t="s">
        <v>973</v>
      </c>
      <c r="O43">
        <v>6</v>
      </c>
      <c r="P43">
        <v>0</v>
      </c>
      <c r="Q43">
        <v>4</v>
      </c>
      <c r="R43">
        <v>0</v>
      </c>
      <c r="S43">
        <v>1</v>
      </c>
      <c r="T43">
        <v>0</v>
      </c>
      <c r="U43">
        <v>900770</v>
      </c>
      <c r="V43">
        <v>910774</v>
      </c>
      <c r="W43" t="s">
        <v>1806</v>
      </c>
      <c r="X43" t="s">
        <v>4637</v>
      </c>
      <c r="Y43" t="s">
        <v>4638</v>
      </c>
      <c r="Z43">
        <v>900772</v>
      </c>
      <c r="AA43">
        <v>10</v>
      </c>
      <c r="AB43">
        <v>10</v>
      </c>
      <c r="AC43">
        <v>5</v>
      </c>
      <c r="AD43">
        <v>5</v>
      </c>
      <c r="AE43">
        <v>115</v>
      </c>
      <c r="AF43">
        <v>72</v>
      </c>
      <c r="AG43">
        <v>100</v>
      </c>
      <c r="AH43">
        <v>85</v>
      </c>
      <c r="AI43">
        <v>140</v>
      </c>
      <c r="AJ43">
        <v>0</v>
      </c>
      <c r="AK43">
        <v>15</v>
      </c>
      <c r="AL43">
        <v>10</v>
      </c>
      <c r="AM43">
        <v>150</v>
      </c>
      <c r="AN43">
        <v>95</v>
      </c>
      <c r="AO43">
        <v>15</v>
      </c>
      <c r="AP43">
        <v>0</v>
      </c>
      <c r="AQ43">
        <v>2</v>
      </c>
      <c r="AR43">
        <v>15</v>
      </c>
      <c r="AS43">
        <v>500</v>
      </c>
      <c r="AT43">
        <v>7</v>
      </c>
      <c r="AU43" t="s">
        <v>328</v>
      </c>
      <c r="AV43" t="s">
        <v>328</v>
      </c>
      <c r="AW43" t="s">
        <v>328</v>
      </c>
      <c r="AX43" t="s">
        <v>328</v>
      </c>
      <c r="AY43">
        <v>86</v>
      </c>
      <c r="AZ43">
        <v>3045</v>
      </c>
      <c r="BA43">
        <v>8</v>
      </c>
      <c r="BB43" t="s">
        <v>4492</v>
      </c>
      <c r="BC43" t="s">
        <v>1806</v>
      </c>
      <c r="BD43">
        <v>911104</v>
      </c>
      <c r="BE43" t="s">
        <v>4493</v>
      </c>
      <c r="BF43" t="s">
        <v>4494</v>
      </c>
      <c r="BG43">
        <v>90</v>
      </c>
      <c r="BH43">
        <v>0</v>
      </c>
    </row>
    <row r="44" spans="1:61" x14ac:dyDescent="0.3">
      <c r="A44">
        <v>2013</v>
      </c>
      <c r="B44" t="s">
        <v>4639</v>
      </c>
      <c r="C44" t="s">
        <v>1003</v>
      </c>
      <c r="D44" t="s">
        <v>1003</v>
      </c>
      <c r="E44" t="s">
        <v>4640</v>
      </c>
      <c r="G44" t="s">
        <v>4485</v>
      </c>
      <c r="H44" t="s">
        <v>4641</v>
      </c>
      <c r="I44">
        <v>1</v>
      </c>
      <c r="J44">
        <v>2</v>
      </c>
      <c r="K44" t="s">
        <v>972</v>
      </c>
      <c r="L44">
        <v>5</v>
      </c>
      <c r="M44">
        <v>213</v>
      </c>
      <c r="N44" t="s">
        <v>973</v>
      </c>
      <c r="O44">
        <v>6</v>
      </c>
      <c r="P44">
        <v>0</v>
      </c>
      <c r="Q44">
        <v>4</v>
      </c>
      <c r="R44">
        <v>0</v>
      </c>
      <c r="S44">
        <v>1</v>
      </c>
      <c r="T44">
        <v>0</v>
      </c>
      <c r="U44">
        <v>901251</v>
      </c>
      <c r="V44">
        <v>901253</v>
      </c>
      <c r="W44" t="s">
        <v>1806</v>
      </c>
      <c r="X44" t="s">
        <v>4642</v>
      </c>
      <c r="Y44" t="s">
        <v>4643</v>
      </c>
      <c r="Z44">
        <v>901250</v>
      </c>
      <c r="AA44">
        <v>10</v>
      </c>
      <c r="AB44">
        <v>10</v>
      </c>
      <c r="AC44">
        <v>5</v>
      </c>
      <c r="AD44">
        <v>5</v>
      </c>
      <c r="AE44">
        <v>100</v>
      </c>
      <c r="AF44">
        <v>100</v>
      </c>
      <c r="AG44">
        <v>115</v>
      </c>
      <c r="AH44">
        <v>80</v>
      </c>
      <c r="AI44">
        <v>45</v>
      </c>
      <c r="AJ44">
        <v>0</v>
      </c>
      <c r="AK44">
        <v>180</v>
      </c>
      <c r="AL44">
        <v>5</v>
      </c>
      <c r="AM44">
        <v>150</v>
      </c>
      <c r="AN44">
        <v>95</v>
      </c>
      <c r="AO44">
        <v>5</v>
      </c>
      <c r="AP44">
        <v>0</v>
      </c>
      <c r="AQ44">
        <v>2</v>
      </c>
      <c r="AR44">
        <v>15</v>
      </c>
      <c r="AS44">
        <v>500</v>
      </c>
      <c r="AT44">
        <v>9</v>
      </c>
      <c r="AU44" t="s">
        <v>328</v>
      </c>
      <c r="AV44" t="s">
        <v>328</v>
      </c>
      <c r="AW44" t="s">
        <v>328</v>
      </c>
      <c r="AX44" t="s">
        <v>328</v>
      </c>
      <c r="AY44">
        <v>59</v>
      </c>
      <c r="AZ44">
        <v>3045</v>
      </c>
      <c r="BA44">
        <v>18</v>
      </c>
      <c r="BB44" t="s">
        <v>4492</v>
      </c>
      <c r="BC44" t="s">
        <v>1806</v>
      </c>
      <c r="BD44">
        <v>911012</v>
      </c>
      <c r="BE44" t="s">
        <v>4493</v>
      </c>
      <c r="BF44" t="s">
        <v>4494</v>
      </c>
      <c r="BG44">
        <v>95</v>
      </c>
      <c r="BH44">
        <v>0</v>
      </c>
    </row>
    <row r="45" spans="1:61" x14ac:dyDescent="0.3">
      <c r="A45">
        <v>2005</v>
      </c>
      <c r="B45" t="s">
        <v>4644</v>
      </c>
      <c r="C45" t="s">
        <v>994</v>
      </c>
      <c r="D45" t="s">
        <v>994</v>
      </c>
      <c r="E45" t="s">
        <v>4645</v>
      </c>
      <c r="G45" t="s">
        <v>4485</v>
      </c>
      <c r="H45" t="s">
        <v>4646</v>
      </c>
      <c r="I45">
        <v>1</v>
      </c>
      <c r="J45">
        <v>2</v>
      </c>
      <c r="K45" t="s">
        <v>995</v>
      </c>
      <c r="L45">
        <v>5</v>
      </c>
      <c r="M45">
        <v>205</v>
      </c>
      <c r="N45" t="s">
        <v>973</v>
      </c>
      <c r="O45">
        <v>3</v>
      </c>
      <c r="P45">
        <v>0</v>
      </c>
      <c r="Q45">
        <v>4</v>
      </c>
      <c r="R45">
        <v>0</v>
      </c>
      <c r="S45">
        <v>1</v>
      </c>
      <c r="T45">
        <v>0</v>
      </c>
      <c r="U45">
        <v>900653</v>
      </c>
      <c r="V45">
        <v>900661</v>
      </c>
      <c r="W45" t="s">
        <v>1806</v>
      </c>
      <c r="X45" t="s">
        <v>4647</v>
      </c>
      <c r="Y45" t="s">
        <v>4648</v>
      </c>
      <c r="Z45">
        <v>900655</v>
      </c>
      <c r="AA45">
        <v>10</v>
      </c>
      <c r="AB45">
        <v>10</v>
      </c>
      <c r="AC45">
        <v>5</v>
      </c>
      <c r="AD45">
        <v>5</v>
      </c>
      <c r="AE45">
        <v>36</v>
      </c>
      <c r="AF45">
        <v>100</v>
      </c>
      <c r="AG45">
        <v>105</v>
      </c>
      <c r="AH45">
        <v>105</v>
      </c>
      <c r="AI45">
        <v>50</v>
      </c>
      <c r="AJ45">
        <v>60</v>
      </c>
      <c r="AK45">
        <v>15</v>
      </c>
      <c r="AL45">
        <v>20</v>
      </c>
      <c r="AM45">
        <v>150</v>
      </c>
      <c r="AN45">
        <v>95</v>
      </c>
      <c r="AO45">
        <v>10</v>
      </c>
      <c r="AP45">
        <v>0</v>
      </c>
      <c r="AQ45">
        <v>1</v>
      </c>
      <c r="AR45">
        <v>15</v>
      </c>
      <c r="AS45">
        <v>500</v>
      </c>
      <c r="AT45">
        <v>3</v>
      </c>
      <c r="AU45" t="s">
        <v>328</v>
      </c>
      <c r="AV45" t="s">
        <v>328</v>
      </c>
      <c r="AW45" t="s">
        <v>328</v>
      </c>
      <c r="AX45" t="s">
        <v>328</v>
      </c>
      <c r="AY45">
        <v>30</v>
      </c>
      <c r="AZ45">
        <v>3045</v>
      </c>
      <c r="BA45">
        <v>9</v>
      </c>
      <c r="BB45" t="s">
        <v>4492</v>
      </c>
      <c r="BC45" t="s">
        <v>1806</v>
      </c>
      <c r="BD45">
        <v>910018</v>
      </c>
      <c r="BE45" t="s">
        <v>4493</v>
      </c>
      <c r="BF45" t="s">
        <v>4494</v>
      </c>
      <c r="BG45">
        <v>100</v>
      </c>
      <c r="BH45">
        <v>0</v>
      </c>
    </row>
    <row r="46" spans="1:61" x14ac:dyDescent="0.3">
      <c r="A46">
        <v>2017</v>
      </c>
      <c r="B46" t="s">
        <v>6354</v>
      </c>
      <c r="C46" t="s">
        <v>6360</v>
      </c>
      <c r="D46" t="s">
        <v>6355</v>
      </c>
      <c r="E46" t="s">
        <v>6356</v>
      </c>
      <c r="G46" t="s">
        <v>4485</v>
      </c>
      <c r="H46" t="s">
        <v>6357</v>
      </c>
      <c r="I46">
        <v>1</v>
      </c>
      <c r="J46">
        <v>2</v>
      </c>
      <c r="K46" t="s">
        <v>972</v>
      </c>
      <c r="L46">
        <v>5</v>
      </c>
      <c r="M46">
        <v>217</v>
      </c>
      <c r="N46" t="s">
        <v>973</v>
      </c>
      <c r="O46">
        <v>6</v>
      </c>
      <c r="P46">
        <v>0</v>
      </c>
      <c r="Q46">
        <v>4</v>
      </c>
      <c r="R46">
        <v>0</v>
      </c>
      <c r="S46">
        <v>1</v>
      </c>
      <c r="T46">
        <v>0</v>
      </c>
      <c r="U46">
        <v>900841</v>
      </c>
      <c r="V46">
        <v>750377</v>
      </c>
      <c r="W46" t="s">
        <v>1806</v>
      </c>
      <c r="X46" t="s">
        <v>4499</v>
      </c>
      <c r="Y46" t="s">
        <v>328</v>
      </c>
      <c r="Z46">
        <v>750378</v>
      </c>
      <c r="AA46">
        <v>10</v>
      </c>
      <c r="AB46">
        <v>10</v>
      </c>
      <c r="AC46">
        <v>5</v>
      </c>
      <c r="AD46">
        <v>5</v>
      </c>
      <c r="AE46">
        <v>110</v>
      </c>
      <c r="AF46">
        <v>80</v>
      </c>
      <c r="AG46">
        <v>110</v>
      </c>
      <c r="AH46">
        <v>125</v>
      </c>
      <c r="AI46">
        <v>100</v>
      </c>
      <c r="AJ46">
        <v>0</v>
      </c>
      <c r="AK46">
        <v>15</v>
      </c>
      <c r="AL46">
        <v>20</v>
      </c>
      <c r="AM46">
        <v>150</v>
      </c>
      <c r="AN46">
        <v>95</v>
      </c>
      <c r="AO46">
        <v>15</v>
      </c>
      <c r="AP46">
        <v>0</v>
      </c>
      <c r="AQ46">
        <v>2</v>
      </c>
      <c r="AR46">
        <v>15</v>
      </c>
      <c r="AS46">
        <v>500</v>
      </c>
      <c r="AT46">
        <v>7</v>
      </c>
      <c r="AU46" t="s">
        <v>328</v>
      </c>
      <c r="AV46" t="s">
        <v>328</v>
      </c>
      <c r="AW46" t="s">
        <v>328</v>
      </c>
      <c r="AX46" t="s">
        <v>328</v>
      </c>
      <c r="AY46">
        <v>121</v>
      </c>
      <c r="AZ46">
        <v>3045</v>
      </c>
      <c r="BA46">
        <v>8</v>
      </c>
      <c r="BB46" t="s">
        <v>4492</v>
      </c>
      <c r="BC46" t="s">
        <v>1806</v>
      </c>
      <c r="BD46">
        <v>913101</v>
      </c>
      <c r="BE46" t="s">
        <v>4493</v>
      </c>
      <c r="BF46" t="s">
        <v>4494</v>
      </c>
      <c r="BG46">
        <v>90</v>
      </c>
      <c r="BH46">
        <v>0</v>
      </c>
      <c r="BI46">
        <v>0</v>
      </c>
    </row>
    <row r="47" spans="1:61" x14ac:dyDescent="0.3">
      <c r="A47">
        <v>2010</v>
      </c>
      <c r="B47" t="s">
        <v>4649</v>
      </c>
      <c r="C47" t="s">
        <v>999</v>
      </c>
      <c r="D47" t="s">
        <v>999</v>
      </c>
      <c r="E47" t="s">
        <v>4650</v>
      </c>
      <c r="G47" t="s">
        <v>4485</v>
      </c>
      <c r="H47" t="s">
        <v>4651</v>
      </c>
      <c r="I47">
        <v>1</v>
      </c>
      <c r="J47">
        <v>2</v>
      </c>
      <c r="K47" t="s">
        <v>972</v>
      </c>
      <c r="L47">
        <v>5</v>
      </c>
      <c r="M47">
        <v>210</v>
      </c>
      <c r="N47" t="s">
        <v>973</v>
      </c>
      <c r="O47">
        <v>6</v>
      </c>
      <c r="P47">
        <v>0</v>
      </c>
      <c r="Q47">
        <v>4</v>
      </c>
      <c r="R47">
        <v>0</v>
      </c>
      <c r="S47">
        <v>1</v>
      </c>
      <c r="T47">
        <v>0</v>
      </c>
      <c r="U47">
        <v>900841</v>
      </c>
      <c r="V47">
        <v>900842</v>
      </c>
      <c r="W47" t="s">
        <v>1806</v>
      </c>
      <c r="X47" t="s">
        <v>4499</v>
      </c>
      <c r="Y47" t="s">
        <v>4652</v>
      </c>
      <c r="Z47">
        <v>900840</v>
      </c>
      <c r="AA47">
        <v>10</v>
      </c>
      <c r="AB47">
        <v>10</v>
      </c>
      <c r="AC47">
        <v>5</v>
      </c>
      <c r="AD47">
        <v>5</v>
      </c>
      <c r="AE47">
        <v>95</v>
      </c>
      <c r="AF47">
        <v>95</v>
      </c>
      <c r="AG47">
        <v>105</v>
      </c>
      <c r="AH47">
        <v>115</v>
      </c>
      <c r="AI47">
        <v>95</v>
      </c>
      <c r="AJ47">
        <v>0</v>
      </c>
      <c r="AK47">
        <v>15</v>
      </c>
      <c r="AL47">
        <v>20</v>
      </c>
      <c r="AM47">
        <v>150</v>
      </c>
      <c r="AN47">
        <v>95</v>
      </c>
      <c r="AO47">
        <v>15</v>
      </c>
      <c r="AP47">
        <v>0</v>
      </c>
      <c r="AQ47">
        <v>2</v>
      </c>
      <c r="AR47">
        <v>15</v>
      </c>
      <c r="AS47">
        <v>500</v>
      </c>
      <c r="AT47">
        <v>7</v>
      </c>
      <c r="AU47" t="s">
        <v>328</v>
      </c>
      <c r="AV47" t="s">
        <v>328</v>
      </c>
      <c r="AW47" t="s">
        <v>328</v>
      </c>
      <c r="AX47" t="s">
        <v>328</v>
      </c>
      <c r="AY47">
        <v>94</v>
      </c>
      <c r="AZ47">
        <v>3045</v>
      </c>
      <c r="BA47">
        <v>8</v>
      </c>
      <c r="BB47" t="s">
        <v>4492</v>
      </c>
      <c r="BC47" t="s">
        <v>1806</v>
      </c>
      <c r="BD47">
        <v>911105</v>
      </c>
      <c r="BE47" t="s">
        <v>4493</v>
      </c>
      <c r="BF47" t="s">
        <v>4494</v>
      </c>
      <c r="BG47">
        <v>90</v>
      </c>
      <c r="BH47">
        <v>0</v>
      </c>
    </row>
    <row r="48" spans="1:61" x14ac:dyDescent="0.3">
      <c r="A48">
        <v>3006</v>
      </c>
      <c r="B48" t="s">
        <v>4653</v>
      </c>
      <c r="C48" t="s">
        <v>1010</v>
      </c>
      <c r="D48" t="s">
        <v>1010</v>
      </c>
      <c r="E48" t="s">
        <v>4654</v>
      </c>
      <c r="G48" t="s">
        <v>4485</v>
      </c>
      <c r="H48" t="s">
        <v>4655</v>
      </c>
      <c r="I48">
        <v>1</v>
      </c>
      <c r="J48">
        <v>3</v>
      </c>
      <c r="K48" t="s">
        <v>1001</v>
      </c>
      <c r="L48">
        <v>5</v>
      </c>
      <c r="M48">
        <v>306</v>
      </c>
      <c r="N48" t="s">
        <v>973</v>
      </c>
      <c r="O48">
        <v>2</v>
      </c>
      <c r="P48">
        <v>0</v>
      </c>
      <c r="Q48">
        <v>3</v>
      </c>
      <c r="R48">
        <v>0</v>
      </c>
      <c r="S48">
        <v>1</v>
      </c>
      <c r="T48">
        <v>0</v>
      </c>
      <c r="U48">
        <v>0</v>
      </c>
      <c r="V48">
        <v>900676</v>
      </c>
      <c r="W48" t="s">
        <v>1806</v>
      </c>
      <c r="X48" t="s">
        <v>4647</v>
      </c>
      <c r="Y48" t="s">
        <v>4656</v>
      </c>
      <c r="Z48">
        <v>900654</v>
      </c>
      <c r="AA48">
        <v>10</v>
      </c>
      <c r="AB48">
        <v>10</v>
      </c>
      <c r="AC48">
        <v>5</v>
      </c>
      <c r="AD48">
        <v>5</v>
      </c>
      <c r="AE48">
        <v>36</v>
      </c>
      <c r="AF48">
        <v>90</v>
      </c>
      <c r="AG48">
        <v>100</v>
      </c>
      <c r="AH48">
        <v>100</v>
      </c>
      <c r="AI48">
        <v>100</v>
      </c>
      <c r="AJ48">
        <v>0</v>
      </c>
      <c r="AK48">
        <v>15</v>
      </c>
      <c r="AL48">
        <v>20</v>
      </c>
      <c r="AM48">
        <v>150</v>
      </c>
      <c r="AN48">
        <v>95</v>
      </c>
      <c r="AO48">
        <v>15</v>
      </c>
      <c r="AP48">
        <v>0</v>
      </c>
      <c r="AQ48">
        <v>1</v>
      </c>
      <c r="AR48">
        <v>15</v>
      </c>
      <c r="AS48">
        <v>500</v>
      </c>
      <c r="AT48">
        <v>3</v>
      </c>
      <c r="AU48" t="s">
        <v>328</v>
      </c>
      <c r="AV48" t="s">
        <v>328</v>
      </c>
      <c r="AW48" t="s">
        <v>328</v>
      </c>
      <c r="AX48" t="s">
        <v>328</v>
      </c>
      <c r="AY48">
        <v>6</v>
      </c>
      <c r="AZ48">
        <v>3045</v>
      </c>
      <c r="BA48">
        <v>18</v>
      </c>
      <c r="BB48" t="s">
        <v>4492</v>
      </c>
      <c r="BC48" t="s">
        <v>1806</v>
      </c>
      <c r="BD48">
        <v>910003</v>
      </c>
      <c r="BE48" t="s">
        <v>4493</v>
      </c>
      <c r="BF48" t="s">
        <v>4494</v>
      </c>
      <c r="BG48">
        <v>95</v>
      </c>
      <c r="BH48">
        <v>0</v>
      </c>
    </row>
    <row r="49" spans="1:60" x14ac:dyDescent="0.3">
      <c r="A49">
        <v>3010</v>
      </c>
      <c r="B49" t="s">
        <v>4657</v>
      </c>
      <c r="C49" t="s">
        <v>1015</v>
      </c>
      <c r="D49" t="s">
        <v>1015</v>
      </c>
      <c r="E49" t="s">
        <v>4658</v>
      </c>
      <c r="G49" t="s">
        <v>4485</v>
      </c>
      <c r="H49" t="s">
        <v>4659</v>
      </c>
      <c r="I49">
        <v>1</v>
      </c>
      <c r="J49">
        <v>3</v>
      </c>
      <c r="K49" t="s">
        <v>993</v>
      </c>
      <c r="L49">
        <v>1</v>
      </c>
      <c r="M49">
        <v>310</v>
      </c>
      <c r="N49" t="s">
        <v>973</v>
      </c>
      <c r="O49">
        <v>8</v>
      </c>
      <c r="P49">
        <v>0</v>
      </c>
      <c r="Q49">
        <v>3</v>
      </c>
      <c r="R49">
        <v>0</v>
      </c>
      <c r="S49">
        <v>1</v>
      </c>
      <c r="T49">
        <v>0</v>
      </c>
      <c r="U49">
        <v>0</v>
      </c>
      <c r="V49">
        <v>901041</v>
      </c>
      <c r="W49" t="s">
        <v>1806</v>
      </c>
      <c r="X49" t="s">
        <v>4660</v>
      </c>
      <c r="Y49" t="s">
        <v>328</v>
      </c>
      <c r="Z49">
        <v>900107</v>
      </c>
      <c r="AA49">
        <v>10</v>
      </c>
      <c r="AB49">
        <v>10</v>
      </c>
      <c r="AC49">
        <v>5</v>
      </c>
      <c r="AD49">
        <v>5</v>
      </c>
      <c r="AE49">
        <v>160</v>
      </c>
      <c r="AF49">
        <v>320</v>
      </c>
      <c r="AG49">
        <v>90</v>
      </c>
      <c r="AH49">
        <v>350</v>
      </c>
      <c r="AI49">
        <v>0</v>
      </c>
      <c r="AJ49">
        <v>90</v>
      </c>
      <c r="AK49">
        <v>100</v>
      </c>
      <c r="AL49">
        <v>5</v>
      </c>
      <c r="AM49">
        <v>150</v>
      </c>
      <c r="AN49">
        <v>75</v>
      </c>
      <c r="AO49">
        <v>3</v>
      </c>
      <c r="AP49">
        <v>0</v>
      </c>
      <c r="AQ49">
        <v>2</v>
      </c>
      <c r="AR49">
        <v>15</v>
      </c>
      <c r="AS49">
        <v>500</v>
      </c>
      <c r="AT49">
        <v>5</v>
      </c>
      <c r="AU49" t="s">
        <v>328</v>
      </c>
      <c r="AV49" t="s">
        <v>328</v>
      </c>
      <c r="AW49" t="s">
        <v>328</v>
      </c>
      <c r="AX49" t="s">
        <v>328</v>
      </c>
      <c r="AY49">
        <v>99</v>
      </c>
      <c r="AZ49">
        <v>3045</v>
      </c>
      <c r="BA49">
        <v>21</v>
      </c>
      <c r="BB49" t="s">
        <v>4492</v>
      </c>
      <c r="BC49" t="s">
        <v>1806</v>
      </c>
      <c r="BD49">
        <v>910021</v>
      </c>
      <c r="BE49" t="s">
        <v>4493</v>
      </c>
      <c r="BF49" t="s">
        <v>4494</v>
      </c>
      <c r="BG49">
        <v>100</v>
      </c>
      <c r="BH49">
        <v>0</v>
      </c>
    </row>
    <row r="50" spans="1:60" x14ac:dyDescent="0.3">
      <c r="A50">
        <v>3003</v>
      </c>
      <c r="B50" t="s">
        <v>4661</v>
      </c>
      <c r="C50" t="s">
        <v>1007</v>
      </c>
      <c r="D50" t="s">
        <v>1007</v>
      </c>
      <c r="E50" t="s">
        <v>4662</v>
      </c>
      <c r="G50" t="s">
        <v>4485</v>
      </c>
      <c r="H50" t="s">
        <v>4663</v>
      </c>
      <c r="I50">
        <v>1</v>
      </c>
      <c r="J50">
        <v>3</v>
      </c>
      <c r="K50" t="s">
        <v>975</v>
      </c>
      <c r="L50">
        <v>5</v>
      </c>
      <c r="M50">
        <v>303</v>
      </c>
      <c r="N50" t="s">
        <v>973</v>
      </c>
      <c r="O50">
        <v>4</v>
      </c>
      <c r="P50">
        <v>0</v>
      </c>
      <c r="Q50">
        <v>3</v>
      </c>
      <c r="R50">
        <v>0</v>
      </c>
      <c r="S50">
        <v>1</v>
      </c>
      <c r="T50">
        <v>0</v>
      </c>
      <c r="U50">
        <v>0</v>
      </c>
      <c r="V50">
        <v>900525</v>
      </c>
      <c r="W50" t="s">
        <v>1806</v>
      </c>
      <c r="X50" t="s">
        <v>4499</v>
      </c>
      <c r="Y50" t="s">
        <v>4664</v>
      </c>
      <c r="Z50">
        <v>900524</v>
      </c>
      <c r="AA50">
        <v>10</v>
      </c>
      <c r="AB50">
        <v>10</v>
      </c>
      <c r="AC50">
        <v>5</v>
      </c>
      <c r="AD50">
        <v>5</v>
      </c>
      <c r="AE50">
        <v>135</v>
      </c>
      <c r="AF50">
        <v>80</v>
      </c>
      <c r="AG50">
        <v>75</v>
      </c>
      <c r="AH50">
        <v>120</v>
      </c>
      <c r="AI50">
        <v>80</v>
      </c>
      <c r="AJ50">
        <v>0</v>
      </c>
      <c r="AK50">
        <v>15</v>
      </c>
      <c r="AL50">
        <v>20</v>
      </c>
      <c r="AM50">
        <v>150</v>
      </c>
      <c r="AN50">
        <v>95</v>
      </c>
      <c r="AO50">
        <v>12</v>
      </c>
      <c r="AP50">
        <v>0</v>
      </c>
      <c r="AQ50">
        <v>1</v>
      </c>
      <c r="AR50">
        <v>15</v>
      </c>
      <c r="AS50">
        <v>500</v>
      </c>
      <c r="AT50">
        <v>3</v>
      </c>
      <c r="AU50" t="s">
        <v>328</v>
      </c>
      <c r="AV50" t="s">
        <v>328</v>
      </c>
      <c r="AW50" t="s">
        <v>328</v>
      </c>
      <c r="AX50" t="s">
        <v>328</v>
      </c>
      <c r="AY50">
        <v>10</v>
      </c>
      <c r="AZ50">
        <v>3045</v>
      </c>
      <c r="BA50">
        <v>16</v>
      </c>
      <c r="BB50" t="s">
        <v>4492</v>
      </c>
      <c r="BC50" t="s">
        <v>1806</v>
      </c>
      <c r="BD50">
        <v>910007</v>
      </c>
      <c r="BE50" t="s">
        <v>4493</v>
      </c>
      <c r="BF50" t="s">
        <v>4494</v>
      </c>
      <c r="BG50">
        <v>92</v>
      </c>
      <c r="BH50">
        <v>0</v>
      </c>
    </row>
    <row r="51" spans="1:60" x14ac:dyDescent="0.3">
      <c r="A51">
        <v>3004</v>
      </c>
      <c r="B51" t="s">
        <v>4665</v>
      </c>
      <c r="C51" t="s">
        <v>1008</v>
      </c>
      <c r="D51" t="s">
        <v>1008</v>
      </c>
      <c r="E51" t="s">
        <v>4666</v>
      </c>
      <c r="G51" t="s">
        <v>4485</v>
      </c>
      <c r="H51" t="s">
        <v>4667</v>
      </c>
      <c r="I51">
        <v>1</v>
      </c>
      <c r="J51">
        <v>3</v>
      </c>
      <c r="K51" t="s">
        <v>972</v>
      </c>
      <c r="L51">
        <v>5</v>
      </c>
      <c r="M51">
        <v>304</v>
      </c>
      <c r="N51" t="s">
        <v>973</v>
      </c>
      <c r="O51">
        <v>4</v>
      </c>
      <c r="P51">
        <v>0</v>
      </c>
      <c r="Q51">
        <v>3</v>
      </c>
      <c r="R51">
        <v>0</v>
      </c>
      <c r="S51">
        <v>1</v>
      </c>
      <c r="T51">
        <v>0</v>
      </c>
      <c r="U51">
        <v>0</v>
      </c>
      <c r="V51">
        <v>900523</v>
      </c>
      <c r="W51" t="s">
        <v>1806</v>
      </c>
      <c r="X51" t="s">
        <v>4499</v>
      </c>
      <c r="Y51" t="s">
        <v>328</v>
      </c>
      <c r="Z51">
        <v>900522</v>
      </c>
      <c r="AA51">
        <v>10</v>
      </c>
      <c r="AB51">
        <v>10</v>
      </c>
      <c r="AC51">
        <v>5</v>
      </c>
      <c r="AD51">
        <v>5</v>
      </c>
      <c r="AE51">
        <v>65</v>
      </c>
      <c r="AF51">
        <v>105</v>
      </c>
      <c r="AG51">
        <v>65</v>
      </c>
      <c r="AH51">
        <v>125</v>
      </c>
      <c r="AI51">
        <v>55</v>
      </c>
      <c r="AJ51">
        <v>0</v>
      </c>
      <c r="AK51">
        <v>180</v>
      </c>
      <c r="AL51">
        <v>50</v>
      </c>
      <c r="AM51">
        <v>200</v>
      </c>
      <c r="AN51">
        <v>95</v>
      </c>
      <c r="AO51">
        <v>6</v>
      </c>
      <c r="AP51">
        <v>0</v>
      </c>
      <c r="AQ51">
        <v>2</v>
      </c>
      <c r="AR51">
        <v>15</v>
      </c>
      <c r="AS51">
        <v>500</v>
      </c>
      <c r="AT51">
        <v>9</v>
      </c>
      <c r="AU51" t="s">
        <v>328</v>
      </c>
      <c r="AV51" t="s">
        <v>328</v>
      </c>
      <c r="AW51" t="s">
        <v>328</v>
      </c>
      <c r="AX51" t="s">
        <v>328</v>
      </c>
      <c r="AY51">
        <v>9</v>
      </c>
      <c r="AZ51">
        <v>3045</v>
      </c>
      <c r="BA51">
        <v>17</v>
      </c>
      <c r="BB51" t="s">
        <v>4492</v>
      </c>
      <c r="BC51" t="s">
        <v>1806</v>
      </c>
      <c r="BD51">
        <v>910006</v>
      </c>
      <c r="BE51" t="s">
        <v>4493</v>
      </c>
      <c r="BF51" t="s">
        <v>4494</v>
      </c>
      <c r="BG51">
        <v>100</v>
      </c>
      <c r="BH51">
        <v>0</v>
      </c>
    </row>
    <row r="52" spans="1:60" x14ac:dyDescent="0.3">
      <c r="A52">
        <v>3009</v>
      </c>
      <c r="B52" t="s">
        <v>4668</v>
      </c>
      <c r="C52" t="s">
        <v>1013</v>
      </c>
      <c r="D52" t="s">
        <v>1013</v>
      </c>
      <c r="E52" t="s">
        <v>4669</v>
      </c>
      <c r="G52" t="s">
        <v>4485</v>
      </c>
      <c r="H52" t="s">
        <v>4670</v>
      </c>
      <c r="I52">
        <v>1</v>
      </c>
      <c r="J52">
        <v>3</v>
      </c>
      <c r="K52" t="s">
        <v>1014</v>
      </c>
      <c r="L52">
        <v>5</v>
      </c>
      <c r="M52">
        <v>309</v>
      </c>
      <c r="N52" t="s">
        <v>973</v>
      </c>
      <c r="O52">
        <v>4</v>
      </c>
      <c r="P52">
        <v>0</v>
      </c>
      <c r="Q52">
        <v>3</v>
      </c>
      <c r="R52">
        <v>0</v>
      </c>
      <c r="S52">
        <v>1</v>
      </c>
      <c r="T52">
        <v>0</v>
      </c>
      <c r="U52">
        <v>0</v>
      </c>
      <c r="V52">
        <v>900741</v>
      </c>
      <c r="W52" t="s">
        <v>1806</v>
      </c>
      <c r="X52" t="s">
        <v>4499</v>
      </c>
      <c r="Y52" t="s">
        <v>328</v>
      </c>
      <c r="Z52">
        <v>900740</v>
      </c>
      <c r="AA52">
        <v>10</v>
      </c>
      <c r="AB52">
        <v>10</v>
      </c>
      <c r="AC52">
        <v>5</v>
      </c>
      <c r="AD52">
        <v>5</v>
      </c>
      <c r="AE52">
        <v>55</v>
      </c>
      <c r="AF52">
        <v>72</v>
      </c>
      <c r="AG52">
        <v>50</v>
      </c>
      <c r="AH52">
        <v>130</v>
      </c>
      <c r="AI52">
        <v>90</v>
      </c>
      <c r="AJ52">
        <v>0</v>
      </c>
      <c r="AK52">
        <v>100</v>
      </c>
      <c r="AL52">
        <v>20</v>
      </c>
      <c r="AM52">
        <v>150</v>
      </c>
      <c r="AN52">
        <v>95</v>
      </c>
      <c r="AO52">
        <v>12</v>
      </c>
      <c r="AP52">
        <v>0</v>
      </c>
      <c r="AQ52">
        <v>2</v>
      </c>
      <c r="AR52">
        <v>15</v>
      </c>
      <c r="AS52">
        <v>500</v>
      </c>
      <c r="AT52">
        <v>9</v>
      </c>
      <c r="AU52" t="s">
        <v>328</v>
      </c>
      <c r="AV52" t="s">
        <v>328</v>
      </c>
      <c r="AW52" t="s">
        <v>328</v>
      </c>
      <c r="AX52" t="s">
        <v>328</v>
      </c>
      <c r="AY52">
        <v>13</v>
      </c>
      <c r="AZ52">
        <v>3045</v>
      </c>
      <c r="BA52">
        <v>21</v>
      </c>
      <c r="BB52" t="s">
        <v>4492</v>
      </c>
      <c r="BC52" t="s">
        <v>1806</v>
      </c>
      <c r="BD52">
        <v>910009</v>
      </c>
      <c r="BE52" t="s">
        <v>4493</v>
      </c>
      <c r="BF52" t="s">
        <v>4494</v>
      </c>
      <c r="BG52">
        <v>80</v>
      </c>
      <c r="BH52">
        <v>0</v>
      </c>
    </row>
    <row r="53" spans="1:60" x14ac:dyDescent="0.3">
      <c r="A53">
        <v>3008</v>
      </c>
      <c r="B53" t="s">
        <v>4671</v>
      </c>
      <c r="C53" t="s">
        <v>1012</v>
      </c>
      <c r="D53" t="s">
        <v>1012</v>
      </c>
      <c r="E53" t="s">
        <v>4672</v>
      </c>
      <c r="G53" t="s">
        <v>4485</v>
      </c>
      <c r="H53" t="s">
        <v>4673</v>
      </c>
      <c r="I53">
        <v>1</v>
      </c>
      <c r="J53">
        <v>3</v>
      </c>
      <c r="K53" t="s">
        <v>1001</v>
      </c>
      <c r="L53">
        <v>5</v>
      </c>
      <c r="M53">
        <v>308</v>
      </c>
      <c r="N53" t="s">
        <v>973</v>
      </c>
      <c r="O53">
        <v>4</v>
      </c>
      <c r="P53">
        <v>0</v>
      </c>
      <c r="Q53">
        <v>3</v>
      </c>
      <c r="R53">
        <v>0</v>
      </c>
      <c r="S53">
        <v>1</v>
      </c>
      <c r="T53">
        <v>0</v>
      </c>
      <c r="U53">
        <v>0</v>
      </c>
      <c r="V53">
        <v>900575</v>
      </c>
      <c r="W53" t="s">
        <v>1806</v>
      </c>
      <c r="X53" t="s">
        <v>4499</v>
      </c>
      <c r="Y53" t="s">
        <v>4674</v>
      </c>
      <c r="Z53">
        <v>900574</v>
      </c>
      <c r="AA53">
        <v>10</v>
      </c>
      <c r="AB53">
        <v>10</v>
      </c>
      <c r="AC53">
        <v>5</v>
      </c>
      <c r="AD53">
        <v>5</v>
      </c>
      <c r="AE53">
        <v>90</v>
      </c>
      <c r="AF53">
        <v>68</v>
      </c>
      <c r="AG53">
        <v>120</v>
      </c>
      <c r="AH53">
        <v>110</v>
      </c>
      <c r="AI53">
        <v>95</v>
      </c>
      <c r="AJ53">
        <v>0</v>
      </c>
      <c r="AK53">
        <v>15</v>
      </c>
      <c r="AL53">
        <v>20</v>
      </c>
      <c r="AM53">
        <v>150</v>
      </c>
      <c r="AN53">
        <v>95</v>
      </c>
      <c r="AO53">
        <v>12</v>
      </c>
      <c r="AP53">
        <v>0</v>
      </c>
      <c r="AQ53">
        <v>1</v>
      </c>
      <c r="AR53">
        <v>15</v>
      </c>
      <c r="AS53">
        <v>500</v>
      </c>
      <c r="AT53">
        <v>4</v>
      </c>
      <c r="AU53" t="s">
        <v>328</v>
      </c>
      <c r="AV53" t="s">
        <v>328</v>
      </c>
      <c r="AW53" t="s">
        <v>328</v>
      </c>
      <c r="AX53" t="s">
        <v>328</v>
      </c>
      <c r="AY53">
        <v>2</v>
      </c>
      <c r="AZ53">
        <v>3045</v>
      </c>
      <c r="BA53">
        <v>21</v>
      </c>
      <c r="BB53" t="s">
        <v>4492</v>
      </c>
      <c r="BC53" t="s">
        <v>1806</v>
      </c>
      <c r="BD53">
        <v>910001</v>
      </c>
      <c r="BE53" t="s">
        <v>4493</v>
      </c>
      <c r="BF53" t="s">
        <v>4494</v>
      </c>
      <c r="BG53">
        <v>80</v>
      </c>
      <c r="BH53">
        <v>0</v>
      </c>
    </row>
    <row r="54" spans="1:60" x14ac:dyDescent="0.3">
      <c r="A54">
        <v>3001</v>
      </c>
      <c r="B54" t="s">
        <v>4675</v>
      </c>
      <c r="C54" t="s">
        <v>1005</v>
      </c>
      <c r="D54" t="s">
        <v>1005</v>
      </c>
      <c r="E54" t="s">
        <v>4676</v>
      </c>
      <c r="G54" t="s">
        <v>4485</v>
      </c>
      <c r="H54" t="s">
        <v>4677</v>
      </c>
      <c r="I54">
        <v>1</v>
      </c>
      <c r="J54">
        <v>3</v>
      </c>
      <c r="K54" t="s">
        <v>972</v>
      </c>
      <c r="L54">
        <v>5</v>
      </c>
      <c r="M54">
        <v>301</v>
      </c>
      <c r="N54" t="s">
        <v>973</v>
      </c>
      <c r="O54">
        <v>4</v>
      </c>
      <c r="P54">
        <v>0</v>
      </c>
      <c r="Q54">
        <v>3</v>
      </c>
      <c r="R54">
        <v>0</v>
      </c>
      <c r="S54">
        <v>1</v>
      </c>
      <c r="T54">
        <v>0</v>
      </c>
      <c r="U54">
        <v>0</v>
      </c>
      <c r="V54">
        <v>600501</v>
      </c>
      <c r="W54" t="s">
        <v>1806</v>
      </c>
      <c r="X54" t="s">
        <v>4499</v>
      </c>
      <c r="Y54" t="s">
        <v>4678</v>
      </c>
      <c r="Z54">
        <v>600503</v>
      </c>
      <c r="AA54">
        <v>10</v>
      </c>
      <c r="AB54">
        <v>10</v>
      </c>
      <c r="AC54">
        <v>5</v>
      </c>
      <c r="AD54">
        <v>5</v>
      </c>
      <c r="AE54">
        <v>100</v>
      </c>
      <c r="AF54">
        <v>62</v>
      </c>
      <c r="AG54">
        <v>100</v>
      </c>
      <c r="AH54">
        <v>65</v>
      </c>
      <c r="AI54">
        <v>130</v>
      </c>
      <c r="AJ54">
        <v>0</v>
      </c>
      <c r="AK54">
        <v>15</v>
      </c>
      <c r="AL54">
        <v>10</v>
      </c>
      <c r="AM54">
        <v>150</v>
      </c>
      <c r="AN54">
        <v>95</v>
      </c>
      <c r="AO54">
        <v>15</v>
      </c>
      <c r="AP54">
        <v>0</v>
      </c>
      <c r="AQ54">
        <v>2</v>
      </c>
      <c r="AR54">
        <v>15</v>
      </c>
      <c r="AS54">
        <v>500</v>
      </c>
      <c r="AT54">
        <v>7</v>
      </c>
      <c r="AU54" t="s">
        <v>328</v>
      </c>
      <c r="AV54" t="s">
        <v>328</v>
      </c>
      <c r="AW54" t="s">
        <v>328</v>
      </c>
      <c r="AX54" t="s">
        <v>328</v>
      </c>
      <c r="AY54">
        <v>4</v>
      </c>
      <c r="AZ54">
        <v>3045</v>
      </c>
      <c r="BA54">
        <v>14</v>
      </c>
      <c r="BB54" t="s">
        <v>4492</v>
      </c>
      <c r="BC54" t="s">
        <v>1806</v>
      </c>
      <c r="BD54">
        <v>910004</v>
      </c>
      <c r="BE54" t="s">
        <v>4493</v>
      </c>
      <c r="BF54" t="s">
        <v>4494</v>
      </c>
      <c r="BG54">
        <v>95</v>
      </c>
      <c r="BH54">
        <v>0</v>
      </c>
    </row>
    <row r="55" spans="1:60" x14ac:dyDescent="0.3">
      <c r="A55">
        <v>3007</v>
      </c>
      <c r="B55" t="s">
        <v>4679</v>
      </c>
      <c r="C55" t="s">
        <v>1011</v>
      </c>
      <c r="D55" t="s">
        <v>1011</v>
      </c>
      <c r="E55" t="s">
        <v>4680</v>
      </c>
      <c r="G55" t="s">
        <v>4485</v>
      </c>
      <c r="H55" t="s">
        <v>4681</v>
      </c>
      <c r="I55">
        <v>1</v>
      </c>
      <c r="J55">
        <v>3</v>
      </c>
      <c r="K55" t="s">
        <v>1001</v>
      </c>
      <c r="L55">
        <v>5</v>
      </c>
      <c r="M55">
        <v>307</v>
      </c>
      <c r="N55" t="s">
        <v>973</v>
      </c>
      <c r="O55">
        <v>4</v>
      </c>
      <c r="P55">
        <v>0</v>
      </c>
      <c r="Q55">
        <v>3</v>
      </c>
      <c r="R55">
        <v>0</v>
      </c>
      <c r="S55">
        <v>1</v>
      </c>
      <c r="T55">
        <v>0</v>
      </c>
      <c r="U55">
        <v>0</v>
      </c>
      <c r="V55">
        <v>900573</v>
      </c>
      <c r="W55" t="s">
        <v>1806</v>
      </c>
      <c r="X55" t="s">
        <v>4499</v>
      </c>
      <c r="Y55" t="s">
        <v>328</v>
      </c>
      <c r="Z55">
        <v>900572</v>
      </c>
      <c r="AA55">
        <v>10</v>
      </c>
      <c r="AB55">
        <v>10</v>
      </c>
      <c r="AC55">
        <v>5</v>
      </c>
      <c r="AD55">
        <v>5</v>
      </c>
      <c r="AE55">
        <v>75</v>
      </c>
      <c r="AF55">
        <v>72</v>
      </c>
      <c r="AG55">
        <v>100</v>
      </c>
      <c r="AH55">
        <v>100</v>
      </c>
      <c r="AI55">
        <v>140</v>
      </c>
      <c r="AJ55">
        <v>0</v>
      </c>
      <c r="AK55">
        <v>15</v>
      </c>
      <c r="AL55">
        <v>20</v>
      </c>
      <c r="AM55">
        <v>150</v>
      </c>
      <c r="AN55">
        <v>95</v>
      </c>
      <c r="AO55">
        <v>12</v>
      </c>
      <c r="AP55">
        <v>0</v>
      </c>
      <c r="AQ55">
        <v>2</v>
      </c>
      <c r="AR55">
        <v>15</v>
      </c>
      <c r="AS55">
        <v>500</v>
      </c>
      <c r="AT55">
        <v>5</v>
      </c>
      <c r="AU55" t="s">
        <v>328</v>
      </c>
      <c r="AV55" t="s">
        <v>328</v>
      </c>
      <c r="AW55" t="s">
        <v>328</v>
      </c>
      <c r="AX55" t="s">
        <v>328</v>
      </c>
      <c r="AY55">
        <v>3</v>
      </c>
      <c r="AZ55">
        <v>3045</v>
      </c>
      <c r="BA55">
        <v>20</v>
      </c>
      <c r="BB55" t="s">
        <v>4492</v>
      </c>
      <c r="BC55" t="s">
        <v>1806</v>
      </c>
      <c r="BD55">
        <v>910002</v>
      </c>
      <c r="BE55" t="s">
        <v>4493</v>
      </c>
      <c r="BF55" t="s">
        <v>4494</v>
      </c>
      <c r="BG55">
        <v>80</v>
      </c>
      <c r="BH55">
        <v>0</v>
      </c>
    </row>
    <row r="56" spans="1:60" x14ac:dyDescent="0.3">
      <c r="A56">
        <v>3005</v>
      </c>
      <c r="B56" t="s">
        <v>4682</v>
      </c>
      <c r="C56" t="s">
        <v>1009</v>
      </c>
      <c r="D56" t="s">
        <v>1009</v>
      </c>
      <c r="E56" t="s">
        <v>4683</v>
      </c>
      <c r="G56" t="s">
        <v>4485</v>
      </c>
      <c r="H56" t="s">
        <v>4684</v>
      </c>
      <c r="I56">
        <v>1</v>
      </c>
      <c r="J56">
        <v>3</v>
      </c>
      <c r="K56" t="s">
        <v>972</v>
      </c>
      <c r="L56">
        <v>5</v>
      </c>
      <c r="M56">
        <v>305</v>
      </c>
      <c r="N56" t="s">
        <v>973</v>
      </c>
      <c r="O56">
        <v>4</v>
      </c>
      <c r="P56">
        <v>0</v>
      </c>
      <c r="Q56">
        <v>3</v>
      </c>
      <c r="R56">
        <v>0</v>
      </c>
      <c r="S56">
        <v>1</v>
      </c>
      <c r="T56">
        <v>0</v>
      </c>
      <c r="U56">
        <v>0</v>
      </c>
      <c r="V56">
        <v>900571</v>
      </c>
      <c r="W56" t="s">
        <v>1806</v>
      </c>
      <c r="X56" t="s">
        <v>4499</v>
      </c>
      <c r="Y56" t="s">
        <v>4685</v>
      </c>
      <c r="Z56">
        <v>900570</v>
      </c>
      <c r="AA56">
        <v>10</v>
      </c>
      <c r="AB56">
        <v>10</v>
      </c>
      <c r="AC56">
        <v>5</v>
      </c>
      <c r="AD56">
        <v>5</v>
      </c>
      <c r="AE56">
        <v>80</v>
      </c>
      <c r="AF56">
        <v>80</v>
      </c>
      <c r="AG56">
        <v>115</v>
      </c>
      <c r="AH56">
        <v>50</v>
      </c>
      <c r="AI56">
        <v>45</v>
      </c>
      <c r="AJ56">
        <v>0</v>
      </c>
      <c r="AK56">
        <v>180</v>
      </c>
      <c r="AL56">
        <v>5</v>
      </c>
      <c r="AM56">
        <v>150</v>
      </c>
      <c r="AN56">
        <v>95</v>
      </c>
      <c r="AO56">
        <v>5</v>
      </c>
      <c r="AP56">
        <v>0</v>
      </c>
      <c r="AQ56">
        <v>2</v>
      </c>
      <c r="AR56">
        <v>15</v>
      </c>
      <c r="AS56">
        <v>500</v>
      </c>
      <c r="AT56">
        <v>9</v>
      </c>
      <c r="AU56" t="s">
        <v>328</v>
      </c>
      <c r="AV56" t="s">
        <v>328</v>
      </c>
      <c r="AW56" t="s">
        <v>328</v>
      </c>
      <c r="AX56" t="s">
        <v>328</v>
      </c>
      <c r="AY56">
        <v>29</v>
      </c>
      <c r="AZ56">
        <v>3045</v>
      </c>
      <c r="BA56">
        <v>18</v>
      </c>
      <c r="BB56" t="s">
        <v>4492</v>
      </c>
      <c r="BC56" t="s">
        <v>1806</v>
      </c>
      <c r="BD56">
        <v>910012</v>
      </c>
      <c r="BE56" t="s">
        <v>4493</v>
      </c>
      <c r="BF56" t="s">
        <v>4494</v>
      </c>
      <c r="BG56">
        <v>95</v>
      </c>
      <c r="BH56">
        <v>0</v>
      </c>
    </row>
    <row r="57" spans="1:60" x14ac:dyDescent="0.3">
      <c r="A57">
        <v>3002</v>
      </c>
      <c r="B57" t="s">
        <v>4686</v>
      </c>
      <c r="C57" t="s">
        <v>1006</v>
      </c>
      <c r="D57" t="s">
        <v>1006</v>
      </c>
      <c r="E57" t="s">
        <v>4687</v>
      </c>
      <c r="G57" t="s">
        <v>4485</v>
      </c>
      <c r="H57" t="s">
        <v>4688</v>
      </c>
      <c r="I57">
        <v>1</v>
      </c>
      <c r="J57">
        <v>3</v>
      </c>
      <c r="K57" t="s">
        <v>972</v>
      </c>
      <c r="L57">
        <v>5</v>
      </c>
      <c r="M57">
        <v>302</v>
      </c>
      <c r="N57" t="s">
        <v>973</v>
      </c>
      <c r="O57">
        <v>4</v>
      </c>
      <c r="P57">
        <v>0</v>
      </c>
      <c r="Q57">
        <v>3</v>
      </c>
      <c r="R57">
        <v>0</v>
      </c>
      <c r="S57">
        <v>1</v>
      </c>
      <c r="T57">
        <v>0</v>
      </c>
      <c r="U57">
        <v>0</v>
      </c>
      <c r="V57">
        <v>600601</v>
      </c>
      <c r="W57" t="s">
        <v>1806</v>
      </c>
      <c r="X57" t="s">
        <v>4499</v>
      </c>
      <c r="Y57" t="s">
        <v>328</v>
      </c>
      <c r="Z57">
        <v>600602</v>
      </c>
      <c r="AA57">
        <v>10</v>
      </c>
      <c r="AB57">
        <v>10</v>
      </c>
      <c r="AC57">
        <v>5</v>
      </c>
      <c r="AD57">
        <v>5</v>
      </c>
      <c r="AE57">
        <v>92</v>
      </c>
      <c r="AF57">
        <v>85</v>
      </c>
      <c r="AG57">
        <v>100</v>
      </c>
      <c r="AH57">
        <v>110</v>
      </c>
      <c r="AI57">
        <v>90</v>
      </c>
      <c r="AJ57">
        <v>0</v>
      </c>
      <c r="AK57">
        <v>15</v>
      </c>
      <c r="AL57">
        <v>20</v>
      </c>
      <c r="AM57">
        <v>150</v>
      </c>
      <c r="AN57">
        <v>95</v>
      </c>
      <c r="AO57">
        <v>12</v>
      </c>
      <c r="AP57">
        <v>0</v>
      </c>
      <c r="AQ57">
        <v>2</v>
      </c>
      <c r="AR57">
        <v>15</v>
      </c>
      <c r="AS57">
        <v>500</v>
      </c>
      <c r="AT57">
        <v>7</v>
      </c>
      <c r="AU57" t="s">
        <v>328</v>
      </c>
      <c r="AV57" t="s">
        <v>328</v>
      </c>
      <c r="AW57" t="s">
        <v>328</v>
      </c>
      <c r="AX57" t="s">
        <v>328</v>
      </c>
      <c r="AY57">
        <v>7</v>
      </c>
      <c r="AZ57">
        <v>3045</v>
      </c>
      <c r="BA57">
        <v>15</v>
      </c>
      <c r="BB57" t="s">
        <v>4492</v>
      </c>
      <c r="BC57" t="s">
        <v>1806</v>
      </c>
      <c r="BD57">
        <v>910005</v>
      </c>
      <c r="BE57" t="s">
        <v>4493</v>
      </c>
      <c r="BF57" t="s">
        <v>4494</v>
      </c>
      <c r="BG57">
        <v>100</v>
      </c>
      <c r="BH57">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7">
    <sortCondition ref="J2:J57"/>
    <sortCondition ref="C2:C57"/>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6847</v>
      </c>
      <c r="C4" t="s">
        <v>1082</v>
      </c>
    </row>
    <row r="5" spans="1:3" x14ac:dyDescent="0.3">
      <c r="A5" s="1">
        <v>1004</v>
      </c>
      <c r="B5" t="s">
        <v>6848</v>
      </c>
      <c r="C5" t="s">
        <v>1083</v>
      </c>
    </row>
    <row r="6" spans="1:3" x14ac:dyDescent="0.3">
      <c r="A6" s="1">
        <v>1005</v>
      </c>
      <c r="B6" t="s">
        <v>6849</v>
      </c>
      <c r="C6" t="s">
        <v>1084</v>
      </c>
    </row>
    <row r="7" spans="1:3" x14ac:dyDescent="0.3">
      <c r="A7" s="1">
        <v>2003</v>
      </c>
      <c r="B7" t="s">
        <v>6850</v>
      </c>
      <c r="C7" t="s">
        <v>1085</v>
      </c>
    </row>
    <row r="8" spans="1:3" x14ac:dyDescent="0.3">
      <c r="A8" s="1">
        <v>2004</v>
      </c>
      <c r="B8" t="s">
        <v>6851</v>
      </c>
      <c r="C8" t="s">
        <v>1086</v>
      </c>
    </row>
    <row r="9" spans="1:3" x14ac:dyDescent="0.3">
      <c r="A9" s="1">
        <v>3001</v>
      </c>
      <c r="B9" t="s">
        <v>1080</v>
      </c>
      <c r="C9" t="s">
        <v>1087</v>
      </c>
    </row>
    <row r="10" spans="1:3" x14ac:dyDescent="0.3">
      <c r="A10" s="1">
        <v>3002</v>
      </c>
      <c r="B10" t="s">
        <v>6852</v>
      </c>
      <c r="C10" t="s">
        <v>1088</v>
      </c>
    </row>
    <row r="11" spans="1:3" x14ac:dyDescent="0.3">
      <c r="A11" s="1">
        <v>3003</v>
      </c>
      <c r="B11" t="s">
        <v>6853</v>
      </c>
      <c r="C11" t="s">
        <v>1089</v>
      </c>
    </row>
    <row r="12" spans="1:3" x14ac:dyDescent="0.3">
      <c r="A12" s="1">
        <v>3004</v>
      </c>
      <c r="B12" t="s">
        <v>1081</v>
      </c>
      <c r="C12" t="s">
        <v>1090</v>
      </c>
    </row>
    <row r="13" spans="1:3" x14ac:dyDescent="0.3">
      <c r="A13" s="1">
        <v>3005</v>
      </c>
      <c r="B13" t="s">
        <v>6854</v>
      </c>
      <c r="C13" t="s">
        <v>1091</v>
      </c>
    </row>
    <row r="14" spans="1:3" x14ac:dyDescent="0.3">
      <c r="A14" s="1">
        <v>3006</v>
      </c>
      <c r="B14" t="s">
        <v>6855</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8189</v>
      </c>
      <c r="B1" s="10" t="s">
        <v>8</v>
      </c>
      <c r="C1" s="10">
        <v>3</v>
      </c>
      <c r="D1" s="10">
        <v>4</v>
      </c>
      <c r="E1" s="10">
        <v>5</v>
      </c>
      <c r="G1" s="10" t="s">
        <v>8192</v>
      </c>
      <c r="H1" t="s">
        <v>7718</v>
      </c>
      <c r="I1" t="s">
        <v>8191</v>
      </c>
      <c r="J1" t="s">
        <v>8190</v>
      </c>
      <c r="K1" t="s">
        <v>7719</v>
      </c>
      <c r="L1" t="s">
        <v>7720</v>
      </c>
      <c r="N1" s="10" t="s">
        <v>8193</v>
      </c>
      <c r="O1" t="s">
        <v>8190</v>
      </c>
      <c r="P1" t="s">
        <v>7719</v>
      </c>
      <c r="Q1" t="s">
        <v>7719</v>
      </c>
      <c r="R1" t="s">
        <v>8191</v>
      </c>
      <c r="S1" t="s">
        <v>7720</v>
      </c>
      <c r="U1" t="s">
        <v>7721</v>
      </c>
    </row>
    <row r="2" spans="1:21" x14ac:dyDescent="0.3">
      <c r="A2" t="s">
        <v>7721</v>
      </c>
      <c r="B2" t="s">
        <v>7760</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7721</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7721</v>
      </c>
      <c r="B4" t="s">
        <v>8324</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7721</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7721</v>
      </c>
      <c r="B6" t="s">
        <v>8325</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7721</v>
      </c>
      <c r="B7" t="s">
        <v>7761</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7721</v>
      </c>
      <c r="B8" t="s">
        <v>7762</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7721</v>
      </c>
      <c r="B9" t="s">
        <v>7763</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7721</v>
      </c>
      <c r="B10" t="s">
        <v>8326</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7721</v>
      </c>
      <c r="B11" t="s">
        <v>8327</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7721</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7721</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7721</v>
      </c>
      <c r="B14" t="s">
        <v>8328</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7718</v>
      </c>
      <c r="B15" t="s">
        <v>7759</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7718</v>
      </c>
      <c r="B16" t="s">
        <v>7766</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7718</v>
      </c>
      <c r="B17" t="s">
        <v>8310</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7718</v>
      </c>
      <c r="B18" t="s">
        <v>7767</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7718</v>
      </c>
      <c r="B19" t="s">
        <v>8312</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7718</v>
      </c>
      <c r="B20" t="s">
        <v>8313</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7718</v>
      </c>
      <c r="B21" t="s">
        <v>8309</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7718</v>
      </c>
      <c r="B22" t="s">
        <v>8314</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7718</v>
      </c>
      <c r="B23" t="s">
        <v>8311</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7718</v>
      </c>
      <c r="B24" t="s">
        <v>7768</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7719</v>
      </c>
      <c r="B25" t="s">
        <v>8316</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7719</v>
      </c>
      <c r="B26" t="s">
        <v>8319</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7719</v>
      </c>
      <c r="B27" t="s">
        <v>8315</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7719</v>
      </c>
      <c r="B28" t="s">
        <v>7769</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7719</v>
      </c>
      <c r="B29" t="s">
        <v>8318</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7719</v>
      </c>
      <c r="B30" t="s">
        <v>8322</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7719</v>
      </c>
      <c r="B31" t="s">
        <v>8321</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7719</v>
      </c>
      <c r="B32" t="s">
        <v>8317</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7719</v>
      </c>
      <c r="B33" t="s">
        <v>8323</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7719</v>
      </c>
      <c r="B34" t="s">
        <v>8320</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8299</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8300</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8301</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8298</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8297</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7720</v>
      </c>
      <c r="B40" t="s">
        <v>7770</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7720</v>
      </c>
      <c r="B41" t="s">
        <v>7771</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7720</v>
      </c>
      <c r="B42" t="s">
        <v>8307</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7720</v>
      </c>
      <c r="B43" t="s">
        <v>8308</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7720</v>
      </c>
      <c r="B44" t="s">
        <v>8306</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7720</v>
      </c>
      <c r="B45" t="s">
        <v>8303</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7720</v>
      </c>
      <c r="B46" t="s">
        <v>8304</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7720</v>
      </c>
      <c r="B47" t="s">
        <v>8305</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7720</v>
      </c>
      <c r="B48" t="s">
        <v>8302</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7945</v>
      </c>
      <c r="F1" s="1" t="s">
        <v>872</v>
      </c>
      <c r="G1" s="1" t="s">
        <v>875</v>
      </c>
      <c r="H1" s="1" t="s">
        <v>874</v>
      </c>
      <c r="I1" s="1" t="s">
        <v>873</v>
      </c>
      <c r="J1" s="1" t="s">
        <v>876</v>
      </c>
      <c r="K1" s="1" t="s">
        <v>877</v>
      </c>
      <c r="L1" s="1" t="s">
        <v>38</v>
      </c>
      <c r="M1" s="1" t="s">
        <v>878</v>
      </c>
      <c r="N1" s="1" t="s">
        <v>7944</v>
      </c>
      <c r="O1" s="1" t="s">
        <v>7943</v>
      </c>
      <c r="P1" s="1" t="s">
        <v>7942</v>
      </c>
      <c r="Q1" s="1" t="s">
        <v>7941</v>
      </c>
    </row>
    <row r="2" spans="1:17" x14ac:dyDescent="0.3">
      <c r="A2" s="1">
        <v>1001</v>
      </c>
      <c r="B2" s="1" t="s">
        <v>7940</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7939</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7938</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7937</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7936</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7935</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7934</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7933</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7932</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7931</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7930</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7929</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7928</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7927</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7926</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7925</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7924</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7923</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7922</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7921</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7920</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7919</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7918</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7917</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7916</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7915</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7914</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7913</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7912</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7911</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7910</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7909</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7908</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7907</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7906</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7905</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7904</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7903</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7902</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7901</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7900</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7899</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7898</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7897</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7896</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7895</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7894</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7893</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7892</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7891</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7890</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7889</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7888</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7887</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7886</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7885</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7884</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7883</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7882</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7881</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7880</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7879</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7878</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7877</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7876</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7875</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7874</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7873</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7872</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7871</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7870</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7869</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7868</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7867</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7866</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7865</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7864</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7863</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7862</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7861</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7860</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7859</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7858</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7857</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7856</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7855</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7854</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7853</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7852</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7851</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7850</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7849</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7848</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7847</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7846</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7845</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7844</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7843</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7842</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7841</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8521</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8522</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8523</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8524</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8525</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8526</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8527</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8528</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8529</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8530</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6"/>
  <sheetViews>
    <sheetView workbookViewId="0">
      <pane ySplit="1" topLeftCell="A301" activePane="bottomLeft" state="frozen"/>
      <selection pane="bottomLeft" activeCell="A322" sqref="A322:Y32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5664</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5665</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5665</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5665</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5665</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6358</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6353</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6353</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6353</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6353</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6457</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6456</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6456</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6456</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6456</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6536</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6528</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6528</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6528</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6528</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6789</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6788</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6788</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6788</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6788</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6925</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6924</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6924</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6924</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6924</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6966</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6964</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6964</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6964</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6964</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7467</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7466</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7466</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7466</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7466</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7605</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7604</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7604</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7604</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7604</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7807</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7806</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7806</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7806</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7806</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8512</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8511</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8511</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8511</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8511</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8620</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8619</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8619</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8619</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8619</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8689</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8688</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8688</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8688</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8688</v>
      </c>
      <c r="S326">
        <v>0</v>
      </c>
      <c r="T326">
        <v>0</v>
      </c>
      <c r="U326">
        <v>760011</v>
      </c>
      <c r="V326">
        <v>0</v>
      </c>
      <c r="W326">
        <v>0</v>
      </c>
      <c r="X326">
        <v>0</v>
      </c>
      <c r="Y32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7643</v>
      </c>
      <c r="C1" s="38" t="s">
        <v>7660</v>
      </c>
      <c r="D1" s="38" t="s">
        <v>7661</v>
      </c>
      <c r="E1" s="38" t="s">
        <v>7662</v>
      </c>
      <c r="F1" s="38" t="s">
        <v>7663</v>
      </c>
      <c r="G1" s="38" t="s">
        <v>7664</v>
      </c>
      <c r="H1" s="38" t="s">
        <v>7665</v>
      </c>
      <c r="I1" s="38" t="s">
        <v>7666</v>
      </c>
      <c r="J1" s="38" t="s">
        <v>580</v>
      </c>
      <c r="K1" s="38" t="s">
        <v>629</v>
      </c>
      <c r="L1" s="38" t="s">
        <v>7652</v>
      </c>
      <c r="M1" s="38" t="s">
        <v>7653</v>
      </c>
      <c r="N1" s="38" t="s">
        <v>277</v>
      </c>
      <c r="O1" s="38" t="s">
        <v>39</v>
      </c>
      <c r="P1" s="38" t="s">
        <v>7654</v>
      </c>
      <c r="Q1" s="38" t="s">
        <v>7655</v>
      </c>
      <c r="R1" s="38" t="s">
        <v>7656</v>
      </c>
      <c r="S1" s="38" t="s">
        <v>877</v>
      </c>
      <c r="T1" s="38" t="s">
        <v>7416</v>
      </c>
      <c r="U1" s="38" t="s">
        <v>38</v>
      </c>
      <c r="V1" s="38" t="s">
        <v>2618</v>
      </c>
      <c r="W1" s="38" t="s">
        <v>4470</v>
      </c>
      <c r="X1" s="38" t="s">
        <v>7657</v>
      </c>
      <c r="Y1" t="s">
        <v>7658</v>
      </c>
      <c r="Z1" t="s">
        <v>7659</v>
      </c>
    </row>
    <row r="2" spans="1:26" hidden="1" x14ac:dyDescent="0.3">
      <c r="A2" s="1">
        <v>10001</v>
      </c>
      <c r="B2" s="1">
        <v>1</v>
      </c>
      <c r="C2" s="1" t="s">
        <v>1806</v>
      </c>
      <c r="D2" s="1" t="s">
        <v>328</v>
      </c>
      <c r="E2" s="1">
        <v>14800</v>
      </c>
      <c r="F2" s="1" t="s">
        <v>7667</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7668</v>
      </c>
      <c r="D3" s="1" t="s">
        <v>328</v>
      </c>
      <c r="E3" s="1">
        <v>16700</v>
      </c>
      <c r="F3" s="1" t="s">
        <v>7667</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7667</v>
      </c>
      <c r="G4" s="1">
        <v>2</v>
      </c>
      <c r="H4" s="1">
        <v>0</v>
      </c>
      <c r="I4" s="1">
        <v>0</v>
      </c>
      <c r="J4" s="1" t="s">
        <v>7669</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7670</v>
      </c>
      <c r="D5" s="1" t="s">
        <v>328</v>
      </c>
      <c r="E5" s="1">
        <v>25900</v>
      </c>
      <c r="F5" s="1" t="s">
        <v>7667</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7671</v>
      </c>
      <c r="D6" s="1" t="s">
        <v>328</v>
      </c>
      <c r="E6" s="1">
        <v>33400</v>
      </c>
      <c r="F6" s="1" t="s">
        <v>7667</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7672</v>
      </c>
      <c r="D7" s="1" t="s">
        <v>328</v>
      </c>
      <c r="E7" s="1">
        <v>42600</v>
      </c>
      <c r="F7" s="1" t="s">
        <v>7673</v>
      </c>
      <c r="G7" s="1">
        <v>2</v>
      </c>
      <c r="H7" s="1">
        <v>0</v>
      </c>
      <c r="I7" s="1">
        <v>0</v>
      </c>
      <c r="J7" s="1" t="s">
        <v>7674</v>
      </c>
      <c r="K7" s="1" t="s">
        <v>7675</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7676</v>
      </c>
      <c r="D8" s="1" t="s">
        <v>328</v>
      </c>
      <c r="E8" s="1">
        <v>53700</v>
      </c>
      <c r="F8" s="1" t="s">
        <v>7673</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7677</v>
      </c>
      <c r="D9" s="1" t="s">
        <v>328</v>
      </c>
      <c r="E9" s="1">
        <v>66700</v>
      </c>
      <c r="F9" s="1" t="s">
        <v>7673</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7678</v>
      </c>
      <c r="D10" s="1" t="s">
        <v>328</v>
      </c>
      <c r="E10" s="1">
        <v>81500</v>
      </c>
      <c r="F10" s="1" t="s">
        <v>7673</v>
      </c>
      <c r="G10" s="1">
        <v>2</v>
      </c>
      <c r="H10" s="1">
        <v>0</v>
      </c>
      <c r="I10" s="1">
        <v>0</v>
      </c>
      <c r="J10" s="1" t="s">
        <v>7679</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7676</v>
      </c>
      <c r="D11" s="1" t="s">
        <v>328</v>
      </c>
      <c r="E11" s="1">
        <v>98200</v>
      </c>
      <c r="F11" s="1" t="s">
        <v>7673</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7680</v>
      </c>
      <c r="D12" s="1" t="s">
        <v>328</v>
      </c>
      <c r="E12" s="1">
        <v>116700</v>
      </c>
      <c r="F12" s="1" t="s">
        <v>7681</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7682</v>
      </c>
      <c r="D13" s="1" t="s">
        <v>328</v>
      </c>
      <c r="E13" s="1">
        <v>137100</v>
      </c>
      <c r="F13" s="1" t="s">
        <v>7681</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7683</v>
      </c>
      <c r="D14" s="1" t="s">
        <v>328</v>
      </c>
      <c r="E14" s="1">
        <v>159400</v>
      </c>
      <c r="F14" s="1" t="s">
        <v>7681</v>
      </c>
      <c r="G14" s="1">
        <v>2</v>
      </c>
      <c r="H14" s="1">
        <v>0</v>
      </c>
      <c r="I14" s="1">
        <v>0</v>
      </c>
      <c r="J14" s="1" t="s">
        <v>7684</v>
      </c>
      <c r="K14" s="1" t="s">
        <v>7685</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7686</v>
      </c>
      <c r="D15" s="1" t="s">
        <v>328</v>
      </c>
      <c r="E15" s="1">
        <v>183400</v>
      </c>
      <c r="F15" s="1" t="s">
        <v>7681</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7687</v>
      </c>
      <c r="D16" s="1" t="s">
        <v>328</v>
      </c>
      <c r="E16" s="1">
        <v>209500</v>
      </c>
      <c r="F16" s="1" t="s">
        <v>7681</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7667</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7688</v>
      </c>
      <c r="D18" s="1" t="s">
        <v>328</v>
      </c>
      <c r="E18" s="1">
        <v>16700</v>
      </c>
      <c r="F18" s="1" t="s">
        <v>7667</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7689</v>
      </c>
      <c r="D19" s="1" t="s">
        <v>328</v>
      </c>
      <c r="E19" s="1">
        <v>20400</v>
      </c>
      <c r="F19" s="1" t="s">
        <v>7667</v>
      </c>
      <c r="G19" s="1">
        <v>2</v>
      </c>
      <c r="H19" s="1">
        <v>0</v>
      </c>
      <c r="I19" s="1">
        <v>0</v>
      </c>
      <c r="J19" s="1" t="s">
        <v>7690</v>
      </c>
      <c r="K19" s="1" t="s">
        <v>7691</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7692</v>
      </c>
      <c r="D20" s="1" t="s">
        <v>328</v>
      </c>
      <c r="E20" s="1">
        <v>25900</v>
      </c>
      <c r="F20" s="1" t="s">
        <v>7667</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7693</v>
      </c>
      <c r="D21" s="1" t="s">
        <v>328</v>
      </c>
      <c r="E21" s="1">
        <v>33400</v>
      </c>
      <c r="F21" s="1" t="s">
        <v>7667</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7694</v>
      </c>
      <c r="D22" s="1" t="s">
        <v>328</v>
      </c>
      <c r="E22" s="1">
        <v>42600</v>
      </c>
      <c r="F22" s="1" t="s">
        <v>7673</v>
      </c>
      <c r="G22" s="1">
        <v>2</v>
      </c>
      <c r="H22" s="1">
        <v>0</v>
      </c>
      <c r="I22" s="1">
        <v>0</v>
      </c>
      <c r="J22" s="1" t="s">
        <v>7695</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7696</v>
      </c>
      <c r="D23" s="1" t="s">
        <v>328</v>
      </c>
      <c r="E23" s="1">
        <v>53700</v>
      </c>
      <c r="F23" s="1" t="s">
        <v>7673</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7696</v>
      </c>
      <c r="D24" s="1" t="s">
        <v>328</v>
      </c>
      <c r="E24" s="1">
        <v>66700</v>
      </c>
      <c r="F24" s="1" t="s">
        <v>7673</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7697</v>
      </c>
      <c r="D25" s="1" t="s">
        <v>328</v>
      </c>
      <c r="E25" s="1">
        <v>81500</v>
      </c>
      <c r="F25" s="1" t="s">
        <v>7673</v>
      </c>
      <c r="G25" s="1">
        <v>2</v>
      </c>
      <c r="H25" s="1">
        <v>0</v>
      </c>
      <c r="I25" s="1">
        <v>0</v>
      </c>
      <c r="J25" s="1" t="s">
        <v>7698</v>
      </c>
      <c r="K25" s="1" t="s">
        <v>7699</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7700</v>
      </c>
      <c r="D26" s="1" t="s">
        <v>328</v>
      </c>
      <c r="E26" s="1">
        <v>98200</v>
      </c>
      <c r="F26" s="1" t="s">
        <v>7673</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7701</v>
      </c>
      <c r="D27" s="1" t="s">
        <v>328</v>
      </c>
      <c r="E27" s="1">
        <v>116700</v>
      </c>
      <c r="F27" s="1" t="s">
        <v>7681</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7702</v>
      </c>
      <c r="D28" s="1" t="s">
        <v>328</v>
      </c>
      <c r="E28" s="1">
        <v>137100</v>
      </c>
      <c r="F28" s="1" t="s">
        <v>7681</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7703</v>
      </c>
      <c r="D29" s="1" t="s">
        <v>328</v>
      </c>
      <c r="E29" s="1">
        <v>159400</v>
      </c>
      <c r="F29" s="1" t="s">
        <v>7681</v>
      </c>
      <c r="G29" s="1">
        <v>2</v>
      </c>
      <c r="H29" s="1">
        <v>0</v>
      </c>
      <c r="I29" s="1">
        <v>0</v>
      </c>
      <c r="J29" s="1" t="s">
        <v>7704</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7705</v>
      </c>
      <c r="D30" s="1" t="s">
        <v>328</v>
      </c>
      <c r="E30" s="1">
        <v>183400</v>
      </c>
      <c r="F30" s="1" t="s">
        <v>7681</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7706</v>
      </c>
      <c r="D31" s="1" t="s">
        <v>328</v>
      </c>
      <c r="E31" s="1">
        <v>209500</v>
      </c>
      <c r="F31" s="1" t="s">
        <v>7681</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
      <selection pane="bottomLeft" activeCell="AV2" sqref="AV2"/>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7737</v>
      </c>
      <c r="Y1" s="259"/>
      <c r="Z1" s="259"/>
      <c r="AB1" s="132"/>
      <c r="AC1" s="259" t="s">
        <v>7946</v>
      </c>
      <c r="AD1" s="276"/>
      <c r="AE1" s="276"/>
      <c r="AF1" s="276"/>
      <c r="AG1" s="276"/>
      <c r="AH1" s="276"/>
      <c r="AI1" s="259" t="s">
        <v>7947</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7948</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50" workbookViewId="0">
      <selection activeCell="C61" sqref="C61:C64"/>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6591</v>
      </c>
    </row>
    <row r="8" spans="2:13" x14ac:dyDescent="0.3">
      <c r="B8" t="s">
        <v>951</v>
      </c>
      <c r="C8" t="s">
        <v>952</v>
      </c>
      <c r="G8" s="116" t="s">
        <v>938</v>
      </c>
      <c r="H8" s="117" t="s">
        <v>939</v>
      </c>
      <c r="J8" t="s">
        <v>6594</v>
      </c>
      <c r="L8" s="116" t="s">
        <v>6585</v>
      </c>
      <c r="M8" s="117" t="s">
        <v>939</v>
      </c>
    </row>
    <row r="9" spans="2:13" x14ac:dyDescent="0.3">
      <c r="B9" t="s">
        <v>946</v>
      </c>
      <c r="C9" t="s">
        <v>6334</v>
      </c>
      <c r="G9" s="118" t="str">
        <f>IFERROR(INDEX('Strat Buff Data'!B:B,MATCH(Main!$B126,'Strat Buff Data'!$A:$A,0)),"N/A")</f>
        <v>N/A</v>
      </c>
      <c r="H9" s="119" t="str">
        <f>IFERROR(INDEX('Strat Buff Data'!C:C,MATCH(Main!$B126,'Strat Buff Data'!$A:$A,0)),"N/A")</f>
        <v>N/A</v>
      </c>
      <c r="J9" t="s">
        <v>6595</v>
      </c>
      <c r="K9" s="1"/>
      <c r="L9" s="118" t="str">
        <f>IFERROR(INDEX('Strat Buff Data'!F:F,MATCH(Main!$D126,'Strat Buff Data'!$E:$E,0)),"N/A")</f>
        <v>N/A</v>
      </c>
      <c r="M9" s="119" t="str">
        <f>IFERROR(INDEX('Strat Buff Data'!G:G,MATCH(Main!$D126,'Strat Buff Data'!$E:$E,0)),"N/A")</f>
        <v>N/A</v>
      </c>
    </row>
    <row r="10" spans="2:13" x14ac:dyDescent="0.3">
      <c r="B10" t="s">
        <v>947</v>
      </c>
      <c r="C10" t="s">
        <v>6335</v>
      </c>
      <c r="G10" s="118" t="str">
        <f>IFERROR(INDEX('Strat Buff Data'!B:B,MATCH(Main!$B127,'Strat Buff Data'!$A:$A,0)),"N/A")</f>
        <v>N/A</v>
      </c>
      <c r="H10" s="119" t="str">
        <f>IFERROR(INDEX('Strat Buff Data'!C:C,MATCH(Main!$B127,'Strat Buff Data'!$A:$A,0)),"N/A")</f>
        <v>N/A</v>
      </c>
      <c r="J10" t="s">
        <v>6596</v>
      </c>
      <c r="K10" s="1"/>
      <c r="L10" s="118" t="str">
        <f>IFERROR(INDEX('Strat Buff Data'!F:F,MATCH(Main!$D127,'Strat Buff Data'!$E:$E,0)),"N/A")</f>
        <v>N/A</v>
      </c>
      <c r="M10" s="119" t="str">
        <f>IFERROR(INDEX('Strat Buff Data'!G:G,MATCH(Main!$D127,'Strat Buff Data'!$E:$E,0)),"N/A")</f>
        <v>N/A</v>
      </c>
    </row>
    <row r="11" spans="2:13" x14ac:dyDescent="0.3">
      <c r="B11" t="s">
        <v>948</v>
      </c>
      <c r="C11" t="s">
        <v>6336</v>
      </c>
      <c r="G11" s="120" t="str">
        <f>IFERROR(INDEX('Strat Buff Data'!B:B,MATCH(Main!$B128,'Strat Buff Data'!$A:$A,0)),"N/A")</f>
        <v>N/A</v>
      </c>
      <c r="H11" s="121" t="str">
        <f>IFERROR(INDEX('Strat Buff Data'!C:C,MATCH(Main!$B128,'Strat Buff Data'!$A:$A,0)),"N/A")</f>
        <v>N/A</v>
      </c>
      <c r="J11" t="s">
        <v>6597</v>
      </c>
      <c r="L11" s="120" t="str">
        <f>IFERROR(INDEX('Strat Buff Data'!F:F,MATCH(Main!$D128,'Strat Buff Data'!$E:$E,0)),"N/A")</f>
        <v>N/A</v>
      </c>
      <c r="M11" s="121" t="str">
        <f>IFERROR(INDEX('Strat Buff Data'!G:G,MATCH(Main!$D128,'Strat Buff Data'!$E:$E,0)),"N/A")</f>
        <v>N/A</v>
      </c>
    </row>
    <row r="13" spans="2:13" x14ac:dyDescent="0.3">
      <c r="B13" s="10" t="s">
        <v>6592</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6593</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7089</v>
      </c>
      <c r="C27" s="9"/>
    </row>
    <row r="28" spans="2:11" x14ac:dyDescent="0.3">
      <c r="B28" s="9" t="s">
        <v>949</v>
      </c>
      <c r="C28" t="str">
        <f>INDEX($F$28:$F$31,COUNTA(Main!$F$126:$F$128)+1)</f>
        <v>"building_info": "{}",</v>
      </c>
      <c r="F28" t="s">
        <v>7091</v>
      </c>
    </row>
    <row r="29" spans="2:11" x14ac:dyDescent="0.3">
      <c r="B29" s="9" t="s">
        <v>7092</v>
      </c>
      <c r="C29" t="str">
        <f>SUBSTITUTE(SUBSTITUTE(C28,"building1",Main!F126),"spot1",Main!G126)</f>
        <v>"building_info": "{}",</v>
      </c>
      <c r="F29" s="9" t="s">
        <v>7095</v>
      </c>
    </row>
    <row r="30" spans="2:11" x14ac:dyDescent="0.3">
      <c r="B30" s="9" t="s">
        <v>7093</v>
      </c>
      <c r="C30" t="str">
        <f>SUBSTITUTE(SUBSTITUTE(C29,"building2",Main!F127),"spot2",Main!G127)</f>
        <v>"building_info": "{}",</v>
      </c>
      <c r="F30" s="9" t="s">
        <v>7096</v>
      </c>
    </row>
    <row r="31" spans="2:11" x14ac:dyDescent="0.3">
      <c r="B31" s="9" t="s">
        <v>7094</v>
      </c>
      <c r="C31" t="str">
        <f>SUBSTITUTE(SUBSTITUTE(C30,"building3",Main!F128),"spot3",Main!G128)</f>
        <v>"building_info": "{}",</v>
      </c>
      <c r="F31" s="9" t="s">
        <v>7097</v>
      </c>
    </row>
    <row r="33" spans="2:6" x14ac:dyDescent="0.3">
      <c r="B33" s="84" t="s">
        <v>8017</v>
      </c>
    </row>
    <row r="34" spans="2:6" x14ac:dyDescent="0.3">
      <c r="B34" s="9" t="s">
        <v>949</v>
      </c>
      <c r="C34" t="str">
        <f>INDEX($F$34:$F$37,COUNTA(Main!$H$126:$H$128)+1)</f>
        <v>"ally_instance_info": "[]",</v>
      </c>
      <c r="F34" t="s">
        <v>8021</v>
      </c>
    </row>
    <row r="35" spans="2:6" x14ac:dyDescent="0.3">
      <c r="B35" s="9" t="s">
        <v>8018</v>
      </c>
      <c r="C35" t="str">
        <f>SUBSTITUTE(C34,"ally1",Main!H126)</f>
        <v>"ally_instance_info": "[]",</v>
      </c>
      <c r="F35" t="s">
        <v>8022</v>
      </c>
    </row>
    <row r="36" spans="2:6" x14ac:dyDescent="0.3">
      <c r="B36" s="9" t="s">
        <v>8019</v>
      </c>
      <c r="C36" t="str">
        <f>SUBSTITUTE(C35,"ally2",Main!H127)</f>
        <v>"ally_instance_info": "[]",</v>
      </c>
      <c r="F36" t="s">
        <v>8023</v>
      </c>
    </row>
    <row r="37" spans="2:6" x14ac:dyDescent="0.3">
      <c r="B37" s="9" t="s">
        <v>8020</v>
      </c>
      <c r="C37" t="str">
        <f>SUBSTITUTE(C36,"ally3",Main!H128)</f>
        <v>"ally_instance_info": "[]",</v>
      </c>
      <c r="F37" t="s">
        <v>8024</v>
      </c>
    </row>
    <row r="38" spans="2:6" x14ac:dyDescent="0.3">
      <c r="B38" s="9"/>
    </row>
    <row r="39" spans="2:6" x14ac:dyDescent="0.3">
      <c r="B39" s="131" t="s">
        <v>854</v>
      </c>
      <c r="C39" s="132"/>
    </row>
    <row r="40" spans="2:6" x14ac:dyDescent="0.3">
      <c r="B40" s="35" t="s">
        <v>6441</v>
      </c>
      <c r="C40" s="130" t="str">
        <f ca="1">LEFT(CELL("filename",Main!$A$1),FIND("[",CELL("filename",Main!$A$1))-1)</f>
        <v>C:\Users\danny\Documents\GitHub\GFLBattleSim-JSONGenerator\</v>
      </c>
    </row>
    <row r="41" spans="2:6" x14ac:dyDescent="0.3">
      <c r="B41" s="35" t="s">
        <v>6442</v>
      </c>
      <c r="C41" s="132" t="e">
        <f>RIGHT(D41,LEN(D41)-LEN("file:///")-1)</f>
        <v>#VALUE!</v>
      </c>
      <c r="D41" s="1" t="e">
        <f>LEFT(E41,FIND("@",SUBSTITUTE(E41,"/","@",LEN(E41)-LEN(SUBSTITUTE(E41,"/",""))),1))</f>
        <v>#VALUE!</v>
      </c>
      <c r="E41" s="1"/>
    </row>
    <row r="42" spans="2:6" x14ac:dyDescent="0.3">
      <c r="B42" s="35" t="s">
        <v>7808</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6559</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6559</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6559</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6559</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6559</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6559</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6559</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6559</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6559</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6559</v>
      </c>
      <c r="E53" s="130" t="str">
        <f>"GFBattleSimulator.json"</f>
        <v>GFBattleSimulator.json</v>
      </c>
    </row>
    <row r="54" spans="2:5" x14ac:dyDescent="0.3">
      <c r="B54" t="s">
        <v>1774</v>
      </c>
      <c r="C54" s="130" t="str">
        <f t="shared" ca="1" si="0"/>
        <v>C:\Users\danny\Documents\GitHub\GFLBattleSim-JSONGenerator\Preset\battle_day\spot_act_info.json</v>
      </c>
      <c r="D54" t="s">
        <v>6559</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6559</v>
      </c>
      <c r="E55" s="130" t="str">
        <f>"Preset\battle_night_new\spot_act_info.json"</f>
        <v>Preset\battle_night_new\spot_act_info.json</v>
      </c>
    </row>
    <row r="56" spans="2:5" x14ac:dyDescent="0.3">
      <c r="B56" s="35" t="s">
        <v>7707</v>
      </c>
      <c r="C56" s="130" t="str">
        <f t="shared" ca="1" si="0"/>
        <v>C:\Users\danny\Documents\GitHub\GFLBattleSim-JSONGenerator\Preset\vehicle_with_user_info.json</v>
      </c>
      <c r="D56" t="s">
        <v>6559</v>
      </c>
      <c r="E56" s="130" t="str">
        <f>"Preset\vehicle_with_user_info.json"</f>
        <v>Preset\vehicle_with_user_info.json</v>
      </c>
    </row>
    <row r="57" spans="2:5" x14ac:dyDescent="0.3">
      <c r="B57" s="35" t="s">
        <v>7738</v>
      </c>
      <c r="C57" s="130" t="str">
        <f t="shared" ca="1" si="0"/>
        <v>C:\Users\danny\Documents\GitHub\GFLBattleSim-JSONGenerator\Preset\vehicle_component_with_user_info.json</v>
      </c>
      <c r="D57" t="s">
        <v>6559</v>
      </c>
      <c r="E57" s="130" t="str">
        <f>"Preset\vehicle_component_with_user_info.json"</f>
        <v>Preset\vehicle_component_with_user_info.json</v>
      </c>
    </row>
    <row r="58" spans="2:5" x14ac:dyDescent="0.3">
      <c r="B58" s="35" t="s">
        <v>7745</v>
      </c>
      <c r="C58" s="130" t="str">
        <f t="shared" ca="1" si="0"/>
        <v>C:\Users\danny\Documents\GitHub\GFLBattleSim-JSONGenerator\Preset\responses\Mission\vehicleRangeAtk.json</v>
      </c>
      <c r="D58" t="s">
        <v>6559</v>
      </c>
      <c r="E58" s="130" t="str">
        <f>"Preset\responses\Mission\vehicleRangeAtk.json"</f>
        <v>Preset\responses\Mission\vehicleRangeAtk.json</v>
      </c>
    </row>
    <row r="60" spans="2:5" x14ac:dyDescent="0.3">
      <c r="B60" s="10" t="s">
        <v>5508</v>
      </c>
    </row>
    <row r="61" spans="2:5" x14ac:dyDescent="0.3">
      <c r="B61" t="s">
        <v>769</v>
      </c>
      <c r="C61" s="216" t="s">
        <v>8728</v>
      </c>
    </row>
    <row r="62" spans="2:5" x14ac:dyDescent="0.3">
      <c r="B62" t="s">
        <v>770</v>
      </c>
      <c r="C62" s="216" t="s">
        <v>8729</v>
      </c>
    </row>
    <row r="63" spans="2:5" x14ac:dyDescent="0.3">
      <c r="B63" t="s">
        <v>6339</v>
      </c>
      <c r="C63" s="216" t="s">
        <v>8730</v>
      </c>
    </row>
    <row r="64" spans="2:5" x14ac:dyDescent="0.3">
      <c r="B64" t="s">
        <v>6340</v>
      </c>
      <c r="C64" s="216" t="s">
        <v>8731</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K1" workbookViewId="0">
      <pane ySplit="1" topLeftCell="A2" activePane="bottomLeft" state="frozen"/>
      <selection activeCell="AV2" sqref="AV2"/>
      <selection pane="bottomLeft" activeCell="AV2" sqref="AV2"/>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6364</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6437</v>
      </c>
      <c r="AZ1" s="38" t="s">
        <v>6420</v>
      </c>
      <c r="BA1" s="38" t="s">
        <v>6421</v>
      </c>
      <c r="BB1" s="38" t="s">
        <v>6438</v>
      </c>
      <c r="BC1" s="38" t="s">
        <v>6439</v>
      </c>
      <c r="BD1" s="38" t="s">
        <v>6440</v>
      </c>
      <c r="BE1" s="38" t="s">
        <v>6422</v>
      </c>
      <c r="BF1" s="38" t="s">
        <v>6425</v>
      </c>
      <c r="BG1" s="38" t="s">
        <v>6428</v>
      </c>
      <c r="BH1" s="38" t="s">
        <v>6431</v>
      </c>
      <c r="BI1" s="38" t="s">
        <v>6434</v>
      </c>
      <c r="BJ1" s="38" t="s">
        <v>6423</v>
      </c>
      <c r="BK1" s="38" t="s">
        <v>6426</v>
      </c>
      <c r="BL1" s="38" t="s">
        <v>6429</v>
      </c>
      <c r="BM1" s="38" t="s">
        <v>6432</v>
      </c>
      <c r="BN1" s="38" t="s">
        <v>6435</v>
      </c>
      <c r="BO1" s="38" t="s">
        <v>6424</v>
      </c>
      <c r="BP1" s="38" t="s">
        <v>6427</v>
      </c>
      <c r="BQ1" s="38" t="s">
        <v>6430</v>
      </c>
      <c r="BR1" s="38" t="s">
        <v>6433</v>
      </c>
      <c r="BS1" s="38" t="s">
        <v>6436</v>
      </c>
      <c r="BT1" s="86"/>
      <c r="BU1" s="38" t="s">
        <v>7809</v>
      </c>
    </row>
    <row r="2" spans="1:73" x14ac:dyDescent="0.3">
      <c r="A2" s="9">
        <v>2</v>
      </c>
      <c r="B2" t="s">
        <v>3</v>
      </c>
      <c r="C2" s="9" t="s">
        <v>139</v>
      </c>
      <c r="D2" s="9" t="s">
        <v>74</v>
      </c>
      <c r="E2" s="9" t="s">
        <v>745</v>
      </c>
      <c r="F2" s="9" t="s">
        <v>1659</v>
      </c>
      <c r="G2" s="9" t="s">
        <v>262</v>
      </c>
      <c r="H2" s="9" t="s">
        <v>117</v>
      </c>
      <c r="I2" s="9" t="s">
        <v>750</v>
      </c>
      <c r="J2" s="9" t="s">
        <v>7112</v>
      </c>
      <c r="K2" s="9" t="s">
        <v>751</v>
      </c>
      <c r="L2" t="s">
        <v>7192</v>
      </c>
      <c r="M2" s="9" t="s">
        <v>1152</v>
      </c>
      <c r="N2" s="9" t="s">
        <v>800</v>
      </c>
      <c r="O2" t="s">
        <v>8062</v>
      </c>
      <c r="P2" s="9" t="s">
        <v>174</v>
      </c>
      <c r="Q2" t="s">
        <v>6755</v>
      </c>
      <c r="R2" s="9" t="s">
        <v>1183</v>
      </c>
      <c r="S2" s="9" t="s">
        <v>138</v>
      </c>
      <c r="T2" s="9" t="s">
        <v>716</v>
      </c>
      <c r="U2" s="9" t="s">
        <v>837</v>
      </c>
      <c r="V2" s="9" t="s">
        <v>8461</v>
      </c>
      <c r="W2" s="9" t="s">
        <v>1621</v>
      </c>
      <c r="X2" s="9" t="s">
        <v>115</v>
      </c>
      <c r="Y2" s="9" t="s">
        <v>1631</v>
      </c>
      <c r="Z2" s="9" t="s">
        <v>737</v>
      </c>
      <c r="AA2" s="9" t="s">
        <v>926</v>
      </c>
      <c r="AC2" s="9" t="s">
        <v>246</v>
      </c>
      <c r="AD2" s="9" t="s">
        <v>1604</v>
      </c>
      <c r="AE2" s="9" t="s">
        <v>723</v>
      </c>
      <c r="AF2" s="9" t="s">
        <v>7163</v>
      </c>
      <c r="AH2" t="s">
        <v>519</v>
      </c>
      <c r="AI2" t="s">
        <v>523</v>
      </c>
      <c r="AJ2" t="s">
        <v>6365</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8094</v>
      </c>
      <c r="H3" s="9" t="s">
        <v>77</v>
      </c>
      <c r="I3" s="9" t="s">
        <v>1687</v>
      </c>
      <c r="J3" s="9" t="s">
        <v>1674</v>
      </c>
      <c r="K3" s="9" t="s">
        <v>1688</v>
      </c>
      <c r="L3" t="s">
        <v>1748</v>
      </c>
      <c r="M3" s="9" t="s">
        <v>94</v>
      </c>
      <c r="N3" s="9" t="s">
        <v>202</v>
      </c>
      <c r="O3" s="9" t="s">
        <v>1417</v>
      </c>
      <c r="P3" t="s">
        <v>7480</v>
      </c>
      <c r="Q3" t="s">
        <v>6756</v>
      </c>
      <c r="R3" s="9" t="s">
        <v>1161</v>
      </c>
      <c r="S3" s="9" t="s">
        <v>1616</v>
      </c>
      <c r="T3" s="9" t="s">
        <v>1646</v>
      </c>
      <c r="U3" t="s">
        <v>5484</v>
      </c>
      <c r="V3" t="s">
        <v>5744</v>
      </c>
      <c r="W3" s="9" t="s">
        <v>109</v>
      </c>
      <c r="X3" s="9" t="s">
        <v>797</v>
      </c>
      <c r="Y3" s="9" t="s">
        <v>162</v>
      </c>
      <c r="Z3" s="9" t="s">
        <v>250</v>
      </c>
      <c r="AC3" s="9" t="s">
        <v>722</v>
      </c>
      <c r="AD3" s="9" t="s">
        <v>812</v>
      </c>
      <c r="AE3" s="9" t="s">
        <v>244</v>
      </c>
      <c r="AH3" t="s">
        <v>520</v>
      </c>
      <c r="AI3" t="s">
        <v>524</v>
      </c>
      <c r="AJ3" t="s">
        <v>6366</v>
      </c>
      <c r="AK3" t="s">
        <v>551</v>
      </c>
      <c r="AL3" t="s">
        <v>528</v>
      </c>
      <c r="AM3" t="s">
        <v>532</v>
      </c>
      <c r="AN3" t="s">
        <v>557</v>
      </c>
      <c r="AO3" t="s">
        <v>536</v>
      </c>
      <c r="AP3" t="s">
        <v>561</v>
      </c>
      <c r="AQ3" t="s">
        <v>540</v>
      </c>
      <c r="AR3" t="s">
        <v>544</v>
      </c>
      <c r="AS3" t="s">
        <v>555</v>
      </c>
      <c r="AT3" t="s">
        <v>569</v>
      </c>
      <c r="AU3" t="s">
        <v>909</v>
      </c>
      <c r="AV3" t="s">
        <v>7192</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8364</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5728</v>
      </c>
      <c r="W4" s="9" t="s">
        <v>125</v>
      </c>
      <c r="X4" s="9" t="s">
        <v>231</v>
      </c>
      <c r="Y4" s="9" t="s">
        <v>743</v>
      </c>
      <c r="Z4" t="s">
        <v>7952</v>
      </c>
      <c r="AC4" s="9" t="s">
        <v>146</v>
      </c>
      <c r="AD4" s="9" t="s">
        <v>217</v>
      </c>
      <c r="AE4" s="9" t="s">
        <v>735</v>
      </c>
      <c r="AH4" t="s">
        <v>521</v>
      </c>
      <c r="AI4" t="s">
        <v>525</v>
      </c>
      <c r="AJ4" t="s">
        <v>6367</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6874</v>
      </c>
      <c r="H5" s="9" t="s">
        <v>85</v>
      </c>
      <c r="I5" s="9" t="s">
        <v>158</v>
      </c>
      <c r="J5" s="9" t="s">
        <v>183</v>
      </c>
      <c r="K5" s="9" t="s">
        <v>840</v>
      </c>
      <c r="L5" s="9" t="s">
        <v>6508</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6368</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8093</v>
      </c>
      <c r="K6" s="9" t="s">
        <v>1641</v>
      </c>
      <c r="L6" t="s">
        <v>8214</v>
      </c>
      <c r="M6" s="9" t="s">
        <v>97</v>
      </c>
      <c r="N6" s="9" t="s">
        <v>86</v>
      </c>
      <c r="O6" s="9" t="s">
        <v>191</v>
      </c>
      <c r="P6" s="9" t="s">
        <v>171</v>
      </c>
      <c r="R6" s="9" t="s">
        <v>744</v>
      </c>
      <c r="S6" s="9" t="s">
        <v>5490</v>
      </c>
      <c r="T6" s="9" t="s">
        <v>1708</v>
      </c>
      <c r="U6" s="9" t="s">
        <v>1689</v>
      </c>
      <c r="V6" s="9" t="s">
        <v>258</v>
      </c>
      <c r="W6" s="9" t="s">
        <v>113</v>
      </c>
      <c r="X6" s="9" t="s">
        <v>107</v>
      </c>
      <c r="Y6" t="s">
        <v>5713</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6995</v>
      </c>
      <c r="V7" t="s">
        <v>8621</v>
      </c>
      <c r="X7" s="9" t="s">
        <v>1171</v>
      </c>
      <c r="Y7" s="9" t="s">
        <v>260</v>
      </c>
      <c r="Z7" t="s">
        <v>7219</v>
      </c>
      <c r="AC7" s="9" t="s">
        <v>1633</v>
      </c>
      <c r="AD7" s="9" t="s">
        <v>147</v>
      </c>
      <c r="AE7" t="s">
        <v>4710</v>
      </c>
      <c r="AP7" t="s">
        <v>565</v>
      </c>
      <c r="AQ7" t="s">
        <v>547</v>
      </c>
      <c r="AU7" t="s">
        <v>6838</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6884</v>
      </c>
      <c r="N8" s="9" t="s">
        <v>788</v>
      </c>
      <c r="O8" s="9" t="s">
        <v>254</v>
      </c>
      <c r="P8" s="9" t="s">
        <v>1637</v>
      </c>
      <c r="S8" s="9" t="s">
        <v>1165</v>
      </c>
      <c r="T8" t="s">
        <v>7563</v>
      </c>
      <c r="U8" s="9" t="s">
        <v>233</v>
      </c>
      <c r="X8" s="9" t="s">
        <v>789</v>
      </c>
      <c r="Y8" s="9" t="s">
        <v>836</v>
      </c>
      <c r="Z8" s="9" t="s">
        <v>240</v>
      </c>
      <c r="AC8" s="9" t="s">
        <v>215</v>
      </c>
      <c r="AD8" s="9" t="s">
        <v>715</v>
      </c>
      <c r="AE8" s="9" t="s">
        <v>1636</v>
      </c>
      <c r="AP8" t="s">
        <v>566</v>
      </c>
      <c r="AQ8" t="s">
        <v>548</v>
      </c>
      <c r="AU8" t="s">
        <v>6839</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t="s">
        <v>8629</v>
      </c>
      <c r="N9" s="9" t="s">
        <v>89</v>
      </c>
      <c r="O9" s="9" t="s">
        <v>787</v>
      </c>
      <c r="P9" s="9" t="s">
        <v>234</v>
      </c>
      <c r="S9" s="9" t="s">
        <v>206</v>
      </c>
      <c r="T9" t="s">
        <v>6671</v>
      </c>
      <c r="U9" s="9" t="s">
        <v>1663</v>
      </c>
      <c r="X9" s="9" t="s">
        <v>112</v>
      </c>
      <c r="Y9" s="9" t="s">
        <v>105</v>
      </c>
      <c r="Z9" s="9" t="s">
        <v>259</v>
      </c>
      <c r="AC9" s="9" t="s">
        <v>809</v>
      </c>
      <c r="AD9" s="9" t="s">
        <v>149</v>
      </c>
      <c r="AE9" s="9" t="s">
        <v>1205</v>
      </c>
      <c r="AP9" t="s">
        <v>567</v>
      </c>
      <c r="AQ9" t="s">
        <v>549</v>
      </c>
      <c r="AU9" t="s">
        <v>6840</v>
      </c>
      <c r="AV9" t="s">
        <v>8188</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1602</v>
      </c>
      <c r="N10" s="9" t="s">
        <v>184</v>
      </c>
      <c r="O10" s="9" t="s">
        <v>805</v>
      </c>
      <c r="P10" s="9" t="s">
        <v>804</v>
      </c>
      <c r="S10" s="9" t="s">
        <v>216</v>
      </c>
      <c r="T10" s="9" t="s">
        <v>1661</v>
      </c>
      <c r="U10" s="9" t="s">
        <v>1666</v>
      </c>
      <c r="X10" s="9" t="s">
        <v>110</v>
      </c>
      <c r="Y10" t="s">
        <v>7141</v>
      </c>
      <c r="Z10" t="s">
        <v>6677</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s="9" t="s">
        <v>247</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t="s">
        <v>8639</v>
      </c>
      <c r="G12" s="9"/>
      <c r="I12" s="9" t="s">
        <v>1629</v>
      </c>
      <c r="J12" s="9" t="s">
        <v>714</v>
      </c>
      <c r="K12" t="s">
        <v>1691</v>
      </c>
      <c r="N12" s="9" t="s">
        <v>1649</v>
      </c>
      <c r="O12" s="9" t="s">
        <v>6483</v>
      </c>
      <c r="P12" s="9" t="s">
        <v>143</v>
      </c>
      <c r="S12" s="9" t="s">
        <v>182</v>
      </c>
      <c r="T12" s="9" t="s">
        <v>1655</v>
      </c>
      <c r="U12" s="9" t="s">
        <v>251</v>
      </c>
      <c r="Y12" t="s">
        <v>7959</v>
      </c>
      <c r="Z12" s="9" t="s">
        <v>205</v>
      </c>
      <c r="AD12" s="9" t="s">
        <v>927</v>
      </c>
      <c r="AE12" t="s">
        <v>4722</v>
      </c>
      <c r="AL12" s="35"/>
      <c r="AU12" t="s">
        <v>6930</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1665</v>
      </c>
      <c r="G13" s="9"/>
      <c r="I13" s="9" t="s">
        <v>1640</v>
      </c>
      <c r="J13" s="9" t="s">
        <v>1657</v>
      </c>
      <c r="K13" t="s">
        <v>7203</v>
      </c>
      <c r="N13" s="9" t="s">
        <v>241</v>
      </c>
      <c r="O13" s="9" t="s">
        <v>1623</v>
      </c>
      <c r="P13" s="9" t="s">
        <v>166</v>
      </c>
      <c r="S13" s="9" t="s">
        <v>726</v>
      </c>
      <c r="T13" s="9" t="s">
        <v>710</v>
      </c>
      <c r="U13" t="s">
        <v>6663</v>
      </c>
      <c r="Y13" s="9" t="s">
        <v>114</v>
      </c>
      <c r="Z13" s="9" t="s">
        <v>6470</v>
      </c>
      <c r="AD13" s="9" t="s">
        <v>1635</v>
      </c>
      <c r="AE13" s="9" t="s">
        <v>811</v>
      </c>
      <c r="AL13" s="35"/>
      <c r="AU13" t="s">
        <v>6841</v>
      </c>
      <c r="AV13" t="s">
        <v>919</v>
      </c>
      <c r="AZ13" s="1" t="str">
        <f t="shared" si="2"/>
        <v>Angelica</v>
      </c>
      <c r="BA13" s="1" t="str">
        <f t="shared" si="3"/>
        <v>Hecate</v>
      </c>
      <c r="BB13" s="1" t="str">
        <f t="shared" si="4"/>
        <v/>
      </c>
      <c r="BC13" s="1" t="str">
        <f t="shared" si="5"/>
        <v>Hecate</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7105</v>
      </c>
      <c r="F14" s="9" t="s">
        <v>200</v>
      </c>
      <c r="G14" s="9"/>
      <c r="I14" s="9" t="s">
        <v>1610</v>
      </c>
      <c r="J14" s="9" t="s">
        <v>253</v>
      </c>
      <c r="K14" s="9" t="s">
        <v>237</v>
      </c>
      <c r="N14" s="9" t="s">
        <v>1642</v>
      </c>
      <c r="O14" s="9" t="s">
        <v>91</v>
      </c>
      <c r="P14" s="9" t="s">
        <v>93</v>
      </c>
      <c r="S14" s="9" t="s">
        <v>102</v>
      </c>
      <c r="T14" s="9" t="s">
        <v>1711</v>
      </c>
      <c r="U14" s="9" t="s">
        <v>155</v>
      </c>
      <c r="Y14" s="9" t="s">
        <v>189</v>
      </c>
      <c r="Z14" s="9" t="s">
        <v>299</v>
      </c>
      <c r="AD14" s="9" t="s">
        <v>1632</v>
      </c>
      <c r="AE14" s="9" t="s">
        <v>5631</v>
      </c>
      <c r="AL14" s="35"/>
      <c r="AM14" s="35"/>
      <c r="AU14" t="s">
        <v>6842</v>
      </c>
      <c r="AV14" t="s">
        <v>918</v>
      </c>
      <c r="AZ14" s="1" t="str">
        <f t="shared" si="2"/>
        <v>AR18</v>
      </c>
      <c r="BA14" s="1" t="str">
        <f t="shared" si="3"/>
        <v>HP35</v>
      </c>
      <c r="BB14" s="1" t="str">
        <f t="shared" si="4"/>
        <v/>
      </c>
      <c r="BC14" s="1" t="str">
        <f t="shared" si="5"/>
        <v>HP35</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6648</v>
      </c>
      <c r="F15" s="9" t="s">
        <v>1692</v>
      </c>
      <c r="G15" s="9"/>
      <c r="I15" s="9" t="s">
        <v>81</v>
      </c>
      <c r="J15" s="9" t="s">
        <v>8698</v>
      </c>
      <c r="K15" s="9" t="s">
        <v>6980</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HS2000</v>
      </c>
      <c r="BB15" s="1" t="str">
        <f t="shared" si="4"/>
        <v/>
      </c>
      <c r="BC15" s="1" t="str">
        <f t="shared" si="5"/>
        <v>HS2000</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t="s">
        <v>7148</v>
      </c>
      <c r="G16" s="9"/>
      <c r="I16" s="9" t="s">
        <v>827</v>
      </c>
      <c r="J16" s="9" t="s">
        <v>729</v>
      </c>
      <c r="K16" s="9" t="s">
        <v>803</v>
      </c>
      <c r="N16" s="9" t="s">
        <v>130</v>
      </c>
      <c r="O16" t="s">
        <v>6656</v>
      </c>
      <c r="P16" s="9" t="s">
        <v>96</v>
      </c>
      <c r="S16" s="9" t="s">
        <v>167</v>
      </c>
      <c r="T16" s="9" t="s">
        <v>1675</v>
      </c>
      <c r="U16" s="9" t="s">
        <v>104</v>
      </c>
      <c r="Y16" s="9" t="s">
        <v>111</v>
      </c>
      <c r="Z16" t="s">
        <v>8158</v>
      </c>
      <c r="AD16" s="9" t="s">
        <v>1639</v>
      </c>
      <c r="AE16" t="s">
        <v>6571</v>
      </c>
      <c r="AL16" s="35"/>
      <c r="AM16" s="35"/>
      <c r="AP16" s="35"/>
      <c r="AU16" t="s">
        <v>922</v>
      </c>
      <c r="AV16" t="s">
        <v>915</v>
      </c>
      <c r="AZ16" s="1" t="str">
        <f t="shared" si="2"/>
        <v>AS ValMod</v>
      </c>
      <c r="BA16" s="1" t="str">
        <f t="shared" si="3"/>
        <v>Jill</v>
      </c>
      <c r="BB16" s="1" t="str">
        <f t="shared" si="4"/>
        <v/>
      </c>
      <c r="BC16" s="1" t="str">
        <f t="shared" si="5"/>
        <v>Jill</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819</v>
      </c>
      <c r="G17" s="9"/>
      <c r="I17" s="9" t="s">
        <v>1673</v>
      </c>
      <c r="J17" s="9" t="s">
        <v>6387</v>
      </c>
      <c r="K17" s="9" t="s">
        <v>1409</v>
      </c>
      <c r="N17" s="9" t="s">
        <v>1613</v>
      </c>
      <c r="O17" s="9" t="s">
        <v>187</v>
      </c>
      <c r="P17" s="9" t="s">
        <v>7119</v>
      </c>
      <c r="S17" s="9" t="s">
        <v>238</v>
      </c>
      <c r="T17" s="9" t="s">
        <v>1162</v>
      </c>
      <c r="U17" t="s">
        <v>7556</v>
      </c>
      <c r="Y17" s="9" t="s">
        <v>807</v>
      </c>
      <c r="Z17" s="9" t="s">
        <v>126</v>
      </c>
      <c r="AD17" t="s">
        <v>6580</v>
      </c>
      <c r="AE17" s="9" t="s">
        <v>1634</v>
      </c>
      <c r="AU17" t="s">
        <v>923</v>
      </c>
      <c r="AV17" t="s">
        <v>917</v>
      </c>
      <c r="AZ17" s="1" t="str">
        <f t="shared" si="2"/>
        <v>AUG</v>
      </c>
      <c r="BA17" s="1" t="str">
        <f t="shared" si="3"/>
        <v>K5Mod</v>
      </c>
      <c r="BB17" s="1" t="str">
        <f t="shared" si="4"/>
        <v/>
      </c>
      <c r="BC17" s="1" t="str">
        <f t="shared" si="5"/>
        <v>K5Mod</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6462</v>
      </c>
      <c r="F18" s="9" t="s">
        <v>814</v>
      </c>
      <c r="G18" s="9"/>
      <c r="I18" s="9" t="s">
        <v>181</v>
      </c>
      <c r="J18" s="9" t="s">
        <v>2135</v>
      </c>
      <c r="K18" s="9" t="s">
        <v>82</v>
      </c>
      <c r="N18" s="9" t="s">
        <v>1656</v>
      </c>
      <c r="O18" s="9" t="s">
        <v>87</v>
      </c>
      <c r="P18" s="9" t="s">
        <v>201</v>
      </c>
      <c r="S18" s="9" t="s">
        <v>796</v>
      </c>
      <c r="T18" s="9" t="s">
        <v>1427</v>
      </c>
      <c r="U18" s="9" t="s">
        <v>8646</v>
      </c>
      <c r="Y18" s="9" t="s">
        <v>786</v>
      </c>
      <c r="Z18" s="9" t="s">
        <v>154</v>
      </c>
      <c r="AD18" s="9" t="s">
        <v>1672</v>
      </c>
      <c r="AE18" s="215" t="s">
        <v>7019</v>
      </c>
      <c r="AU18" t="s">
        <v>912</v>
      </c>
      <c r="AV18" t="s">
        <v>916</v>
      </c>
      <c r="AZ18" s="1" t="str">
        <f t="shared" si="2"/>
        <v>Beowulf</v>
      </c>
      <c r="BA18" s="1" t="str">
        <f t="shared" si="3"/>
        <v>Kiana</v>
      </c>
      <c r="BB18" s="1" t="str">
        <f t="shared" si="4"/>
        <v/>
      </c>
      <c r="BC18" s="1" t="str">
        <f t="shared" si="5"/>
        <v>Kiana</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5682</v>
      </c>
      <c r="F19" t="s">
        <v>6638</v>
      </c>
      <c r="G19" s="9"/>
      <c r="I19" s="9" t="s">
        <v>156</v>
      </c>
      <c r="J19" t="s">
        <v>7549</v>
      </c>
      <c r="K19" s="9" t="s">
        <v>8349</v>
      </c>
      <c r="N19" s="9" t="s">
        <v>222</v>
      </c>
      <c r="O19" s="9" t="s">
        <v>243</v>
      </c>
      <c r="P19" s="9" t="s">
        <v>185</v>
      </c>
      <c r="T19" s="9" t="s">
        <v>831</v>
      </c>
      <c r="U19" t="s">
        <v>8068</v>
      </c>
      <c r="Y19" s="9" t="s">
        <v>1651</v>
      </c>
      <c r="Z19" s="9" t="s">
        <v>785</v>
      </c>
      <c r="AE19" s="9" t="s">
        <v>3421</v>
      </c>
      <c r="AU19" t="s">
        <v>911</v>
      </c>
      <c r="AV19" t="s">
        <v>6995</v>
      </c>
      <c r="AZ19" s="1" t="str">
        <f t="shared" si="2"/>
        <v>CR21Mod</v>
      </c>
      <c r="BA19" s="1" t="str">
        <f t="shared" si="3"/>
        <v>Kolibri</v>
      </c>
      <c r="BB19" s="1" t="str">
        <f t="shared" si="4"/>
        <v/>
      </c>
      <c r="BC19" s="1" t="str">
        <f t="shared" si="5"/>
        <v>Kolibri</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s="9" t="s">
        <v>121</v>
      </c>
      <c r="G20" s="9"/>
      <c r="I20" s="9" t="s">
        <v>1622</v>
      </c>
      <c r="J20" s="9" t="s">
        <v>1627</v>
      </c>
      <c r="K20" s="9" t="s">
        <v>190</v>
      </c>
      <c r="N20" s="9" t="s">
        <v>1603</v>
      </c>
      <c r="O20" s="9" t="s">
        <v>832</v>
      </c>
      <c r="P20" s="9" t="s">
        <v>132</v>
      </c>
      <c r="T20" s="9" t="s">
        <v>98</v>
      </c>
      <c r="U20" t="s">
        <v>8127</v>
      </c>
      <c r="Y20" t="s">
        <v>8573</v>
      </c>
      <c r="Z20" s="9" t="s">
        <v>1662</v>
      </c>
      <c r="AE20" s="9" t="s">
        <v>824</v>
      </c>
      <c r="AU20" t="s">
        <v>5668</v>
      </c>
      <c r="AV20" t="s">
        <v>8461</v>
      </c>
      <c r="AZ20" s="1" t="str">
        <f t="shared" si="2"/>
        <v>EM2Mod</v>
      </c>
      <c r="BA20" s="1" t="str">
        <f t="shared" si="3"/>
        <v>M327</v>
      </c>
      <c r="BB20" s="1" t="str">
        <f t="shared" si="4"/>
        <v/>
      </c>
      <c r="BC20" s="1" t="str">
        <f t="shared" si="5"/>
        <v>M327</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t="s">
        <v>8119</v>
      </c>
      <c r="G21" s="9"/>
      <c r="J21" s="9" t="s">
        <v>225</v>
      </c>
      <c r="K21" s="9" t="s">
        <v>1645</v>
      </c>
      <c r="N21" s="9" t="s">
        <v>119</v>
      </c>
      <c r="O21" s="9" t="s">
        <v>1680</v>
      </c>
      <c r="P21" t="s">
        <v>8357</v>
      </c>
      <c r="T21" s="9" t="s">
        <v>99</v>
      </c>
      <c r="U21" s="9" t="s">
        <v>124</v>
      </c>
      <c r="Z21" s="9" t="s">
        <v>1677</v>
      </c>
      <c r="AE21" t="s">
        <v>8489</v>
      </c>
      <c r="AU21" t="s">
        <v>5667</v>
      </c>
      <c r="AV21" t="s">
        <v>5744</v>
      </c>
      <c r="AZ21" s="1" t="str">
        <f t="shared" si="2"/>
        <v>Ezaki</v>
      </c>
      <c r="BA21" s="1" t="str">
        <f t="shared" si="3"/>
        <v>M950A</v>
      </c>
      <c r="BB21" s="1" t="str">
        <f t="shared" si="4"/>
        <v/>
      </c>
      <c r="BC21" s="1" t="str">
        <f t="shared" si="5"/>
        <v>M950A</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193</v>
      </c>
      <c r="J22" s="9" t="s">
        <v>1611</v>
      </c>
      <c r="K22" s="9" t="s">
        <v>1652</v>
      </c>
      <c r="N22" s="9" t="s">
        <v>3396</v>
      </c>
      <c r="O22" s="9" t="s">
        <v>92</v>
      </c>
      <c r="P22" s="9" t="s">
        <v>820</v>
      </c>
      <c r="T22" s="9" t="s">
        <v>22</v>
      </c>
      <c r="U22" s="9" t="s">
        <v>1186</v>
      </c>
      <c r="Z22" s="9" t="s">
        <v>833</v>
      </c>
      <c r="AE22" t="s">
        <v>6561</v>
      </c>
      <c r="AU22" t="s">
        <v>6837</v>
      </c>
      <c r="AV22" t="s">
        <v>707</v>
      </c>
      <c r="AZ22" s="1" t="str">
        <f t="shared" si="2"/>
        <v>FAL</v>
      </c>
      <c r="BA22" s="1" t="str">
        <f t="shared" si="3"/>
        <v>Motoko</v>
      </c>
      <c r="BB22" s="1" t="str">
        <f t="shared" si="4"/>
        <v/>
      </c>
      <c r="BC22" s="1" t="str">
        <f t="shared" si="5"/>
        <v>Motoko</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131</v>
      </c>
      <c r="J23" s="9" t="s">
        <v>1676</v>
      </c>
      <c r="K23" s="9" t="s">
        <v>1684</v>
      </c>
      <c r="N23" s="9" t="s">
        <v>218</v>
      </c>
      <c r="O23" s="9" t="s">
        <v>1638</v>
      </c>
      <c r="P23" s="9" t="s">
        <v>1679</v>
      </c>
      <c r="T23" s="9" t="s">
        <v>795</v>
      </c>
      <c r="U23" s="9" t="s">
        <v>1429</v>
      </c>
      <c r="Z23" t="s">
        <v>8573</v>
      </c>
      <c r="AE23" t="s">
        <v>7967</v>
      </c>
      <c r="AU23" t="s">
        <v>6931</v>
      </c>
      <c r="AV23" t="s">
        <v>708</v>
      </c>
      <c r="AZ23" s="1" t="str">
        <f t="shared" si="2"/>
        <v>G11</v>
      </c>
      <c r="BA23" s="1" t="str">
        <f t="shared" si="3"/>
        <v>Noel</v>
      </c>
      <c r="BB23" s="1" t="str">
        <f t="shared" si="4"/>
        <v/>
      </c>
      <c r="BC23" s="1" t="str">
        <f t="shared" si="5"/>
        <v>Noel</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8096</v>
      </c>
      <c r="J24" s="9" t="s">
        <v>5773</v>
      </c>
      <c r="K24" s="9" t="s">
        <v>141</v>
      </c>
      <c r="O24" s="9" t="s">
        <v>799</v>
      </c>
      <c r="P24" s="9" t="s">
        <v>1614</v>
      </c>
      <c r="T24" s="9" t="s">
        <v>7126</v>
      </c>
      <c r="U24" s="9" t="s">
        <v>734</v>
      </c>
      <c r="Z24" t="s">
        <v>1690</v>
      </c>
      <c r="AE24" t="s">
        <v>7973</v>
      </c>
      <c r="AQ24" s="9"/>
      <c r="AU24" t="s">
        <v>6932</v>
      </c>
      <c r="AV24" t="s">
        <v>709</v>
      </c>
      <c r="AZ24" s="1" t="str">
        <f t="shared" si="2"/>
        <v>G36Mod</v>
      </c>
      <c r="BA24" s="1" t="str">
        <f t="shared" si="3"/>
        <v>NZ75</v>
      </c>
      <c r="BB24" s="1" t="str">
        <f t="shared" si="4"/>
        <v/>
      </c>
      <c r="BC24" s="1" t="str">
        <f t="shared" si="5"/>
        <v>NZ75</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197</v>
      </c>
      <c r="J25" s="9" t="s">
        <v>798</v>
      </c>
      <c r="K25" s="9" t="s">
        <v>1702</v>
      </c>
      <c r="O25" s="9" t="s">
        <v>5697</v>
      </c>
      <c r="P25" t="s">
        <v>1393</v>
      </c>
      <c r="T25" s="9" t="s">
        <v>228</v>
      </c>
      <c r="U25" s="9" t="s">
        <v>823</v>
      </c>
      <c r="Z25" s="9" t="s">
        <v>7011</v>
      </c>
      <c r="AE25" t="s">
        <v>7228</v>
      </c>
      <c r="AQ25" s="9"/>
      <c r="AU25" t="s">
        <v>6933</v>
      </c>
      <c r="AV25" t="s">
        <v>230</v>
      </c>
      <c r="AZ25" s="1" t="str">
        <f t="shared" si="2"/>
        <v>G41</v>
      </c>
      <c r="BA25" s="1" t="str">
        <f t="shared" si="3"/>
        <v>P2000</v>
      </c>
      <c r="BB25" s="1" t="str">
        <f t="shared" si="4"/>
        <v/>
      </c>
      <c r="BC25" s="1" t="str">
        <f t="shared" si="5"/>
        <v>P2000</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6754</v>
      </c>
      <c r="F26" s="9" t="s">
        <v>1653</v>
      </c>
      <c r="J26" s="9" t="s">
        <v>144</v>
      </c>
      <c r="K26" s="9" t="s">
        <v>1728</v>
      </c>
      <c r="O26" s="9" t="s">
        <v>242</v>
      </c>
      <c r="P26" t="s">
        <v>7470</v>
      </c>
      <c r="T26" s="9" t="s">
        <v>1648</v>
      </c>
      <c r="U26" s="9" t="s">
        <v>223</v>
      </c>
      <c r="Z26" s="9" t="s">
        <v>1667</v>
      </c>
      <c r="AE26" s="9" t="s">
        <v>249</v>
      </c>
      <c r="AQ26" s="9"/>
      <c r="AV26" t="s">
        <v>1666</v>
      </c>
      <c r="AZ26" s="1" t="str">
        <f t="shared" si="2"/>
        <v>Himeko</v>
      </c>
      <c r="BA26" s="1" t="str">
        <f t="shared" si="3"/>
        <v>P22</v>
      </c>
      <c r="BB26" s="1" t="str">
        <f t="shared" si="4"/>
        <v/>
      </c>
      <c r="BC26" s="1" t="str">
        <f t="shared" si="5"/>
        <v>P22</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7194</v>
      </c>
      <c r="F27" s="9" t="s">
        <v>186</v>
      </c>
      <c r="J27" s="9" t="s">
        <v>828</v>
      </c>
      <c r="K27" s="9" t="s">
        <v>1626</v>
      </c>
      <c r="O27" s="9" t="s">
        <v>829</v>
      </c>
      <c r="P27" s="9" t="s">
        <v>1654</v>
      </c>
      <c r="T27" t="s">
        <v>8564</v>
      </c>
      <c r="U27" t="s">
        <v>7489</v>
      </c>
      <c r="AE27" s="9" t="s">
        <v>733</v>
      </c>
      <c r="AQ27" s="9"/>
      <c r="AV27" t="s">
        <v>737</v>
      </c>
      <c r="AZ27" s="1" t="str">
        <f t="shared" si="2"/>
        <v>HK416</v>
      </c>
      <c r="BA27" s="1" t="str">
        <f t="shared" si="3"/>
        <v>PA15</v>
      </c>
      <c r="BB27" s="1" t="str">
        <f t="shared" si="4"/>
        <v/>
      </c>
      <c r="BC27" s="1" t="str">
        <f t="shared" si="5"/>
        <v>PA15</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AKAlfa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s="9" t="s">
        <v>64</v>
      </c>
      <c r="J28" s="9" t="s">
        <v>740</v>
      </c>
      <c r="K28" s="9" t="s">
        <v>5689</v>
      </c>
      <c r="O28" s="9" t="s">
        <v>838</v>
      </c>
      <c r="P28" s="9" t="s">
        <v>207</v>
      </c>
      <c r="T28" s="9" t="s">
        <v>1615</v>
      </c>
      <c r="U28" s="9" t="s">
        <v>7004</v>
      </c>
      <c r="AV28" t="s">
        <v>162</v>
      </c>
      <c r="AZ28" s="1" t="str">
        <f t="shared" si="2"/>
        <v>HK433</v>
      </c>
      <c r="BA28" s="1" t="str">
        <f t="shared" si="3"/>
        <v>Px4 Storm</v>
      </c>
      <c r="BB28" s="1" t="str">
        <f t="shared" si="4"/>
        <v/>
      </c>
      <c r="BC28" s="1" t="str">
        <f t="shared" si="5"/>
        <v>Px4 Storm</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Alma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8431</v>
      </c>
      <c r="J29" s="9" t="s">
        <v>24</v>
      </c>
      <c r="K29" s="9" t="s">
        <v>127</v>
      </c>
      <c r="O29" s="9" t="s">
        <v>172</v>
      </c>
      <c r="P29" s="9" t="s">
        <v>248</v>
      </c>
      <c r="T29" s="9" t="s">
        <v>830</v>
      </c>
      <c r="U29" s="9" t="s">
        <v>188</v>
      </c>
      <c r="AV29" t="s">
        <v>5728</v>
      </c>
      <c r="AZ29" s="1" t="str">
        <f t="shared" si="2"/>
        <v>Junko</v>
      </c>
      <c r="BA29" s="1" t="str">
        <f t="shared" si="3"/>
        <v>Python</v>
      </c>
      <c r="BB29" s="1" t="str">
        <f t="shared" si="4"/>
        <v/>
      </c>
      <c r="BC29" s="1" t="str">
        <f t="shared" si="5"/>
        <v>Python</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Ameli</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t="s">
        <v>5672</v>
      </c>
      <c r="J30" s="9" t="s">
        <v>23</v>
      </c>
      <c r="K30" s="9" t="s">
        <v>76</v>
      </c>
      <c r="P30" t="s">
        <v>235</v>
      </c>
      <c r="T30" s="9" t="s">
        <v>738</v>
      </c>
      <c r="U30" s="9" t="s">
        <v>168</v>
      </c>
      <c r="AV30" t="s">
        <v>251</v>
      </c>
      <c r="AZ30" s="1" t="str">
        <f t="shared" si="2"/>
        <v>K11</v>
      </c>
      <c r="BA30" s="1" t="str">
        <f t="shared" si="3"/>
        <v>Rex Zero 1Mod</v>
      </c>
      <c r="BB30" s="1" t="str">
        <f t="shared" si="4"/>
        <v/>
      </c>
      <c r="BC30" s="1" t="str">
        <f t="shared" si="5"/>
        <v>Rex Zero 1Mod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AN94Mod</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266</v>
      </c>
      <c r="J31" s="9" t="s">
        <v>123</v>
      </c>
      <c r="K31" s="9" t="s">
        <v>8213</v>
      </c>
      <c r="P31" s="9" t="s">
        <v>817</v>
      </c>
      <c r="T31" s="9" t="s">
        <v>6757</v>
      </c>
      <c r="U31" s="9" t="s">
        <v>1705</v>
      </c>
      <c r="AV31" t="s">
        <v>137</v>
      </c>
      <c r="AZ31" s="1" t="str">
        <f t="shared" si="2"/>
        <v>K2</v>
      </c>
      <c r="BA31" s="1" t="str">
        <f t="shared" si="3"/>
        <v>Rhino</v>
      </c>
      <c r="BB31" s="1" t="str">
        <f t="shared" si="4"/>
        <v/>
      </c>
      <c r="BC31" s="1" t="str">
        <f t="shared" si="5"/>
        <v>Rhino</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Angelica</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731</v>
      </c>
      <c r="J32" t="s">
        <v>5478</v>
      </c>
      <c r="K32" s="9" t="s">
        <v>7569</v>
      </c>
      <c r="P32" s="9" t="s">
        <v>6893</v>
      </c>
      <c r="T32" s="9" t="s">
        <v>180</v>
      </c>
      <c r="U32" s="9" t="s">
        <v>256</v>
      </c>
      <c r="AV32" t="s">
        <v>1625</v>
      </c>
      <c r="AZ32" s="1" t="str">
        <f t="shared" si="2"/>
        <v>KH2002</v>
      </c>
      <c r="BA32" s="1" t="str">
        <f t="shared" si="3"/>
        <v>SAAMod</v>
      </c>
      <c r="BB32" s="1" t="str">
        <f t="shared" si="4"/>
        <v/>
      </c>
      <c r="BC32" s="1" t="str">
        <f t="shared" si="5"/>
        <v>SAAMod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AR70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739</v>
      </c>
      <c r="K33" s="9" t="s">
        <v>264</v>
      </c>
      <c r="P33" t="s">
        <v>8545</v>
      </c>
      <c r="U33" s="9" t="s">
        <v>255</v>
      </c>
      <c r="AV33" t="s">
        <v>101</v>
      </c>
      <c r="AZ33" s="1" t="str">
        <f t="shared" si="2"/>
        <v>M4 SOPMOD IIMod</v>
      </c>
      <c r="BA33" s="1" t="str">
        <f t="shared" si="3"/>
        <v>Sei</v>
      </c>
      <c r="BB33" s="1" t="str">
        <f t="shared" si="4"/>
        <v/>
      </c>
      <c r="BC33" s="1" t="str">
        <f t="shared" si="5"/>
        <v>Sei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ARX160</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6970</v>
      </c>
      <c r="K34" s="9" t="s">
        <v>263</v>
      </c>
      <c r="P34" s="9" t="s">
        <v>794</v>
      </c>
      <c r="U34" s="9" t="s">
        <v>179</v>
      </c>
      <c r="AV34" t="s">
        <v>257</v>
      </c>
      <c r="AZ34" s="1" t="str">
        <f t="shared" si="2"/>
        <v>M4A1Mod</v>
      </c>
      <c r="BA34" s="1" t="str">
        <f t="shared" si="3"/>
        <v>StechkinMod</v>
      </c>
      <c r="BB34" s="1" t="str">
        <f t="shared" si="4"/>
        <v/>
      </c>
      <c r="BC34" s="1" t="str">
        <f t="shared" si="5"/>
        <v>StechkinMod</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822</v>
      </c>
      <c r="K35" s="9" t="s">
        <v>79</v>
      </c>
      <c r="P35" s="9" t="s">
        <v>736</v>
      </c>
      <c r="U35" t="s">
        <v>1396</v>
      </c>
      <c r="AV35" t="s">
        <v>74</v>
      </c>
      <c r="AZ35" s="1" t="str">
        <f t="shared" si="2"/>
        <v>MDR</v>
      </c>
      <c r="BA35" s="1" t="str">
        <f t="shared" si="3"/>
        <v>Tae</v>
      </c>
      <c r="BB35" s="1" t="str">
        <f t="shared" si="4"/>
        <v/>
      </c>
      <c r="BC35" s="1" t="str">
        <f t="shared" si="5"/>
        <v>Tae</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 ValMod</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792</v>
      </c>
      <c r="K36" s="9" t="s">
        <v>816</v>
      </c>
      <c r="P36" s="9" t="s">
        <v>813</v>
      </c>
      <c r="U36" t="s">
        <v>8555</v>
      </c>
      <c r="AV36" t="s">
        <v>104</v>
      </c>
      <c r="AZ36" s="1" t="str">
        <f t="shared" si="2"/>
        <v>Medusa</v>
      </c>
      <c r="BA36" s="1" t="str">
        <f t="shared" si="3"/>
        <v>Theresa</v>
      </c>
      <c r="BB36" s="1" t="str">
        <f t="shared" si="4"/>
        <v/>
      </c>
      <c r="BC36" s="1" t="str">
        <f t="shared" si="5"/>
        <v>Theresa</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Astra</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835</v>
      </c>
      <c r="K37" s="9" t="s">
        <v>198</v>
      </c>
      <c r="P37" s="9" t="s">
        <v>1237</v>
      </c>
      <c r="U37" s="9" t="s">
        <v>1624</v>
      </c>
      <c r="AV37" t="s">
        <v>743</v>
      </c>
      <c r="AZ37" s="1" t="str">
        <f t="shared" si="2"/>
        <v>MK18</v>
      </c>
      <c r="BA37" s="1" t="str">
        <f t="shared" si="3"/>
        <v>Webley</v>
      </c>
      <c r="BB37" s="1" t="str">
        <f t="shared" si="4"/>
        <v/>
      </c>
      <c r="BC37" s="1" t="str">
        <f t="shared" si="5"/>
        <v>Webley</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AUG</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1668</v>
      </c>
      <c r="U38" t="s">
        <v>5706</v>
      </c>
      <c r="AV38" t="s">
        <v>8187</v>
      </c>
      <c r="AZ38" s="1" t="str">
        <f t="shared" si="2"/>
        <v>OTs14</v>
      </c>
      <c r="BA38" s="1" t="str">
        <f t="shared" si="3"/>
        <v>Welrod MkII</v>
      </c>
      <c r="BB38" s="1" t="str">
        <f t="shared" si="4"/>
        <v/>
      </c>
      <c r="BC38" s="1" t="str">
        <f t="shared" si="5"/>
        <v>Welrod MkII</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95</v>
      </c>
      <c r="U39" s="9" t="s">
        <v>790</v>
      </c>
      <c r="AV39" t="s">
        <v>3213</v>
      </c>
      <c r="AZ39" s="1" t="str">
        <f t="shared" si="2"/>
        <v>QBZ191</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BrenModGZ</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928</v>
      </c>
      <c r="U40" s="9" t="s">
        <v>229</v>
      </c>
      <c r="AV40" t="s">
        <v>72</v>
      </c>
      <c r="AZ40" s="1" t="str">
        <f t="shared" si="2"/>
        <v>R5</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BrenTen</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t="s">
        <v>1754</v>
      </c>
      <c r="AV41" t="s">
        <v>745</v>
      </c>
      <c r="AZ41" s="1" t="str">
        <f t="shared" si="2"/>
        <v>RFB</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1669</v>
      </c>
      <c r="AV42" t="s">
        <v>793</v>
      </c>
      <c r="AZ42" s="1" t="str">
        <f t="shared" si="2"/>
        <v>Ribeyrolles1918Mod</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C96Mod</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6901</v>
      </c>
      <c r="AV43" t="s">
        <v>747</v>
      </c>
      <c r="AZ43" s="1" t="str">
        <f t="shared" si="2"/>
        <v>SACR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CF05</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6395</v>
      </c>
      <c r="AV44" t="s">
        <v>746</v>
      </c>
      <c r="AZ44" s="1" t="str">
        <f t="shared" si="2"/>
        <v>SCAR-L</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ClaesMeteorite</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890</v>
      </c>
      <c r="AV45" t="s">
        <v>748</v>
      </c>
      <c r="AZ45" s="1" t="str">
        <f t="shared" si="2"/>
        <v>SCR</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ClaesSpectacles</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245</v>
      </c>
      <c r="AV46" t="s">
        <v>717</v>
      </c>
      <c r="AZ46" s="1" t="str">
        <f t="shared" si="2"/>
        <v>SIG MCX</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ClaesWristwatch</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1682</v>
      </c>
      <c r="AV47" t="s">
        <v>1641</v>
      </c>
      <c r="AZ47" s="1" t="str">
        <f t="shared" si="2"/>
        <v>SIG556</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Clear</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160</v>
      </c>
      <c r="AV48" t="s">
        <v>161</v>
      </c>
      <c r="AZ48" s="1" t="str">
        <f t="shared" si="2"/>
        <v>ST AR15Mod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CMS</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t="s">
        <v>1678</v>
      </c>
      <c r="AV49" t="s">
        <v>8646</v>
      </c>
      <c r="AZ49" s="1" t="str">
        <f t="shared" si="2"/>
        <v>T91</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Contender</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t="s">
        <v>6758</v>
      </c>
      <c r="AV50" t="s">
        <v>152</v>
      </c>
      <c r="AZ50" s="1" t="str">
        <f t="shared" si="2"/>
        <v>TKB408</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CR21Mod</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791</v>
      </c>
      <c r="AV51" t="s">
        <v>735</v>
      </c>
      <c r="AZ51" s="1" t="str">
        <f t="shared" si="2"/>
        <v>Type56-1mod</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CZ75</v>
      </c>
      <c r="BP51" s="1" t="str">
        <f t="shared" si="18"/>
        <v/>
      </c>
      <c r="BQ51" s="1" t="str">
        <f t="shared" si="19"/>
        <v/>
      </c>
      <c r="BR51" s="1" t="str">
        <f t="shared" si="20"/>
        <v/>
      </c>
      <c r="BS51" s="1" t="str">
        <f t="shared" si="21"/>
        <v/>
      </c>
    </row>
    <row r="52" spans="1:73" x14ac:dyDescent="0.3">
      <c r="A52" s="9"/>
      <c r="C52" s="9"/>
      <c r="D52" s="9"/>
      <c r="U52" s="9" t="s">
        <v>133</v>
      </c>
      <c r="AV52" t="s">
        <v>1604</v>
      </c>
      <c r="AZ52" s="1" t="str">
        <f t="shared" si="2"/>
        <v>Type89</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Dana</v>
      </c>
      <c r="BP52" s="1" t="str">
        <f t="shared" si="18"/>
        <v/>
      </c>
      <c r="BQ52" s="1" t="str">
        <f t="shared" si="19"/>
        <v/>
      </c>
      <c r="BR52" s="1" t="str">
        <f t="shared" si="20"/>
        <v/>
      </c>
      <c r="BS52" s="1" t="str">
        <f t="shared" si="21"/>
        <v/>
      </c>
    </row>
    <row r="53" spans="1:73" x14ac:dyDescent="0.3">
      <c r="A53" s="9"/>
      <c r="C53" s="9"/>
      <c r="D53" s="9"/>
      <c r="U53" s="9" t="s">
        <v>134</v>
      </c>
      <c r="AV53" t="s">
        <v>8727</v>
      </c>
      <c r="AZ53" s="1" t="str">
        <f t="shared" si="2"/>
        <v>Type95</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Defender</v>
      </c>
      <c r="BP53" s="1" t="str">
        <f t="shared" si="18"/>
        <v/>
      </c>
      <c r="BQ53" s="1" t="str">
        <f t="shared" si="19"/>
        <v/>
      </c>
      <c r="BR53" s="1" t="str">
        <f t="shared" si="20"/>
        <v/>
      </c>
      <c r="BS53" s="1" t="str">
        <f t="shared" si="21"/>
        <v/>
      </c>
    </row>
    <row r="54" spans="1:73" x14ac:dyDescent="0.3">
      <c r="A54" s="9"/>
      <c r="C54" s="9"/>
      <c r="D54" s="9"/>
      <c r="U54" s="9" t="s">
        <v>806</v>
      </c>
      <c r="AV54" t="s">
        <v>1686</v>
      </c>
      <c r="AZ54" s="1" t="str">
        <f t="shared" si="2"/>
        <v>Type97</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DefenderGZ</v>
      </c>
      <c r="BP54" s="1" t="str">
        <f t="shared" si="18"/>
        <v/>
      </c>
      <c r="BQ54" s="1" t="str">
        <f t="shared" si="19"/>
        <v/>
      </c>
      <c r="BR54" s="1" t="str">
        <f t="shared" si="20"/>
        <v/>
      </c>
      <c r="BS54" s="1" t="str">
        <f t="shared" si="21"/>
        <v/>
      </c>
    </row>
    <row r="55" spans="1:73" x14ac:dyDescent="0.3">
      <c r="A55" s="9"/>
      <c r="C55" s="9"/>
      <c r="D55" s="9"/>
      <c r="U55" t="s">
        <v>7211</v>
      </c>
      <c r="AV55" t="s">
        <v>721</v>
      </c>
      <c r="AZ55" s="1" t="str">
        <f t="shared" si="2"/>
        <v>VHS</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Desert Eagle</v>
      </c>
      <c r="BP55" s="1" t="str">
        <f t="shared" si="18"/>
        <v/>
      </c>
      <c r="BQ55" s="1" t="str">
        <f t="shared" si="19"/>
        <v/>
      </c>
      <c r="BR55" s="1" t="str">
        <f t="shared" si="20"/>
        <v/>
      </c>
      <c r="BS55" s="1" t="str">
        <f t="shared" si="21"/>
        <v/>
      </c>
    </row>
    <row r="56" spans="1:73" x14ac:dyDescent="0.3">
      <c r="A56" s="9"/>
      <c r="C56" s="9"/>
      <c r="D56" s="9"/>
      <c r="U56" t="s">
        <v>5735</v>
      </c>
      <c r="AV56" t="s">
        <v>7163</v>
      </c>
      <c r="AZ56" s="1" t="str">
        <f t="shared" si="2"/>
        <v>VRB</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Dorothy</v>
      </c>
      <c r="BP56" s="1" t="str">
        <f t="shared" si="18"/>
        <v/>
      </c>
      <c r="BQ56" s="1" t="str">
        <f t="shared" si="19"/>
        <v/>
      </c>
      <c r="BR56" s="1" t="str">
        <f t="shared" si="20"/>
        <v/>
      </c>
      <c r="BS56" s="1" t="str">
        <f t="shared" si="21"/>
        <v/>
      </c>
    </row>
    <row r="57" spans="1:73" x14ac:dyDescent="0.3">
      <c r="A57" s="9"/>
      <c r="C57" s="9"/>
      <c r="D57" s="9"/>
      <c r="U57" s="9" t="s">
        <v>169</v>
      </c>
      <c r="AV57" t="s">
        <v>109</v>
      </c>
      <c r="AZ57" s="1" t="str">
        <f t="shared" si="2"/>
        <v>XM8Mod</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DP12Mod</v>
      </c>
      <c r="BP57" s="1" t="str">
        <f t="shared" si="18"/>
        <v/>
      </c>
      <c r="BQ57" s="1" t="str">
        <f t="shared" si="19"/>
        <v/>
      </c>
      <c r="BR57" s="1" t="str">
        <f t="shared" si="20"/>
        <v/>
      </c>
      <c r="BS57" s="1" t="str">
        <f t="shared" si="21"/>
        <v/>
      </c>
    </row>
    <row r="58" spans="1:73" x14ac:dyDescent="0.3">
      <c r="A58" s="9"/>
      <c r="C58" s="9"/>
      <c r="D58" s="9"/>
      <c r="AV58" t="s">
        <v>1637</v>
      </c>
      <c r="AZ58" s="1" t="str">
        <f t="shared" si="2"/>
        <v>Zas M21</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DP28</v>
      </c>
      <c r="BP58" s="1" t="str">
        <f t="shared" si="18"/>
        <v/>
      </c>
      <c r="BQ58" s="1" t="str">
        <f t="shared" si="19"/>
        <v/>
      </c>
      <c r="BR58" s="1" t="str">
        <f t="shared" si="20"/>
        <v/>
      </c>
      <c r="BS58" s="1" t="str">
        <f t="shared" si="21"/>
        <v/>
      </c>
    </row>
    <row r="59" spans="1:73" x14ac:dyDescent="0.3">
      <c r="A59" s="9"/>
      <c r="C59" s="9"/>
      <c r="D59" s="9"/>
      <c r="AV59" t="s">
        <v>8068</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DSR50</v>
      </c>
      <c r="BP59" s="1" t="str">
        <f t="shared" si="18"/>
        <v/>
      </c>
      <c r="BQ59" s="1" t="str">
        <f t="shared" si="19"/>
        <v/>
      </c>
      <c r="BR59" s="1" t="str">
        <f t="shared" si="20"/>
        <v/>
      </c>
      <c r="BS59" s="1" t="str">
        <f t="shared" si="21"/>
        <v/>
      </c>
    </row>
    <row r="60" spans="1:73" x14ac:dyDescent="0.3">
      <c r="A60" s="9"/>
      <c r="C60" s="9"/>
      <c r="D60" s="9"/>
      <c r="AV60" t="s">
        <v>8629</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EM2Mod</v>
      </c>
      <c r="BP60" s="1" t="str">
        <f t="shared" si="18"/>
        <v/>
      </c>
      <c r="BQ60" s="1" t="str">
        <f t="shared" si="19"/>
        <v/>
      </c>
      <c r="BR60" s="1" t="str">
        <f t="shared" si="20"/>
        <v/>
      </c>
      <c r="BS60" s="1" t="str">
        <f t="shared" si="21"/>
        <v/>
      </c>
    </row>
    <row r="61" spans="1:73" x14ac:dyDescent="0.3">
      <c r="A61" s="9"/>
      <c r="C61" s="9"/>
      <c r="D61" s="9"/>
      <c r="AV61" t="s">
        <v>8093</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Evita</v>
      </c>
      <c r="BP61" s="1" t="str">
        <f t="shared" si="18"/>
        <v/>
      </c>
      <c r="BQ61" s="1" t="str">
        <f t="shared" si="19"/>
        <v/>
      </c>
      <c r="BR61" s="1" t="str">
        <f t="shared" si="20"/>
        <v/>
      </c>
      <c r="BS61" s="1" t="str">
        <f t="shared" si="21"/>
        <v/>
      </c>
    </row>
    <row r="62" spans="1:73" x14ac:dyDescent="0.3">
      <c r="A62" s="9"/>
      <c r="C62" s="9"/>
      <c r="D62" s="9"/>
      <c r="AV62" t="s">
        <v>3178</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EVO 3Mod</v>
      </c>
      <c r="BP62" s="1" t="str">
        <f t="shared" si="18"/>
        <v/>
      </c>
      <c r="BQ62" s="1" t="str">
        <f t="shared" si="19"/>
        <v/>
      </c>
      <c r="BR62" s="1" t="str">
        <f t="shared" si="20"/>
        <v/>
      </c>
      <c r="BS62" s="1" t="str">
        <f t="shared" si="21"/>
        <v/>
      </c>
    </row>
    <row r="63" spans="1:73" x14ac:dyDescent="0.3">
      <c r="A63" s="9"/>
      <c r="C63" s="9"/>
      <c r="D63" s="9"/>
      <c r="AV63" t="s">
        <v>8127</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EVO3</v>
      </c>
      <c r="BP63" s="1" t="str">
        <f t="shared" si="18"/>
        <v/>
      </c>
      <c r="BQ63" s="1" t="str">
        <f t="shared" si="19"/>
        <v/>
      </c>
      <c r="BR63" s="1" t="str">
        <f t="shared" si="20"/>
        <v/>
      </c>
      <c r="BS63" s="1" t="str">
        <f t="shared" si="21"/>
        <v/>
      </c>
    </row>
    <row r="64" spans="1:73" x14ac:dyDescent="0.3">
      <c r="C64" s="9"/>
      <c r="D64" s="9"/>
      <c r="AV64" t="s">
        <v>826</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Ezaki</v>
      </c>
      <c r="BP64" s="1" t="str">
        <f t="shared" si="18"/>
        <v/>
      </c>
      <c r="BQ64" s="1" t="str">
        <f t="shared" si="19"/>
        <v/>
      </c>
      <c r="BR64" s="1" t="str">
        <f t="shared" si="20"/>
        <v/>
      </c>
      <c r="BS64" s="1" t="str">
        <f t="shared" si="21"/>
        <v/>
      </c>
    </row>
    <row r="65" spans="3:71" x14ac:dyDescent="0.3">
      <c r="C65" s="9"/>
      <c r="D65" s="9"/>
      <c r="AV65" t="s">
        <v>1183</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F1Mod</v>
      </c>
      <c r="BP65" s="1" t="str">
        <f t="shared" si="18"/>
        <v/>
      </c>
      <c r="BQ65" s="1" t="str">
        <f t="shared" si="19"/>
        <v/>
      </c>
      <c r="BR65" s="1" t="str">
        <f t="shared" si="20"/>
        <v/>
      </c>
      <c r="BS65" s="1" t="str">
        <f t="shared" si="21"/>
        <v/>
      </c>
    </row>
    <row r="66" spans="3:71" x14ac:dyDescent="0.3">
      <c r="C66" s="9"/>
      <c r="D66" s="9"/>
      <c r="AV66" t="s">
        <v>718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F2000</v>
      </c>
      <c r="BP66" s="1" t="str">
        <f t="shared" si="18"/>
        <v/>
      </c>
      <c r="BQ66" s="1" t="str">
        <f t="shared" si="19"/>
        <v/>
      </c>
      <c r="BR66" s="1" t="str">
        <f t="shared" si="20"/>
        <v/>
      </c>
      <c r="BS66" s="1" t="str">
        <f t="shared" si="21"/>
        <v/>
      </c>
    </row>
    <row r="67" spans="3:71" x14ac:dyDescent="0.3">
      <c r="C67" s="9"/>
      <c r="D67" s="9"/>
      <c r="AV67" t="s">
        <v>8062</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Fail</v>
      </c>
      <c r="BP67" s="1" t="str">
        <f t="shared" si="18"/>
        <v/>
      </c>
      <c r="BQ67" s="1" t="str">
        <f t="shared" si="19"/>
        <v/>
      </c>
      <c r="BR67" s="1" t="str">
        <f t="shared" si="20"/>
        <v/>
      </c>
      <c r="BS67" s="1" t="str">
        <f t="shared" si="21"/>
        <v/>
      </c>
    </row>
    <row r="68" spans="3:71" x14ac:dyDescent="0.3">
      <c r="D68" s="9"/>
      <c r="AV68" t="s">
        <v>710</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FalconMod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818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FAMAS</v>
      </c>
      <c r="BP69" s="1" t="str">
        <f t="shared" si="38"/>
        <v/>
      </c>
      <c r="BQ69" s="1" t="str">
        <f t="shared" si="39"/>
        <v/>
      </c>
      <c r="BR69" s="1" t="str">
        <f t="shared" si="40"/>
        <v/>
      </c>
      <c r="BS69" s="1" t="str">
        <f t="shared" si="41"/>
        <v/>
      </c>
    </row>
    <row r="70" spans="3:71" x14ac:dyDescent="0.3">
      <c r="D70" s="9"/>
      <c r="AV70" t="s">
        <v>818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Fedorov</v>
      </c>
      <c r="BP70" s="1" t="str">
        <f t="shared" si="38"/>
        <v/>
      </c>
      <c r="BQ70" s="1" t="str">
        <f t="shared" si="39"/>
        <v/>
      </c>
      <c r="BR70" s="1" t="str">
        <f t="shared" si="40"/>
        <v/>
      </c>
      <c r="BS70" s="1" t="str">
        <f t="shared" si="41"/>
        <v/>
      </c>
    </row>
    <row r="71" spans="3:71" x14ac:dyDescent="0.3">
      <c r="AV71" t="s">
        <v>125</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Fedorov</v>
      </c>
      <c r="BP71" s="1" t="str">
        <f t="shared" si="38"/>
        <v/>
      </c>
      <c r="BQ71" s="1" t="str">
        <f t="shared" si="39"/>
        <v/>
      </c>
      <c r="BR71" s="1" t="str">
        <f t="shared" si="40"/>
        <v/>
      </c>
      <c r="BS71" s="1" t="str">
        <f t="shared" si="41"/>
        <v/>
      </c>
    </row>
    <row r="72" spans="3:71" x14ac:dyDescent="0.3">
      <c r="AV72" t="s">
        <v>1628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FG42</v>
      </c>
      <c r="BP72" s="1" t="str">
        <f t="shared" si="38"/>
        <v/>
      </c>
      <c r="BQ72" s="1" t="str">
        <f t="shared" si="39"/>
        <v/>
      </c>
      <c r="BR72" s="1" t="str">
        <f t="shared" si="40"/>
        <v/>
      </c>
      <c r="BS72" s="1" t="str">
        <f t="shared" si="41"/>
        <v/>
      </c>
    </row>
    <row r="73" spans="3:71" x14ac:dyDescent="0.3">
      <c r="AV73" t="s">
        <v>1417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Fiveseven</v>
      </c>
      <c r="BP73" s="1" t="str">
        <f t="shared" si="38"/>
        <v/>
      </c>
      <c r="BQ73" s="1" t="str">
        <f t="shared" si="39"/>
        <v/>
      </c>
      <c r="BR73" s="1" t="str">
        <f t="shared" si="40"/>
        <v/>
      </c>
      <c r="BS73" s="1" t="str">
        <f t="shared" si="41"/>
        <v/>
      </c>
    </row>
    <row r="74" spans="3:71" x14ac:dyDescent="0.3">
      <c r="AV74" t="s">
        <v>1636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FN49Mod</v>
      </c>
      <c r="BP74" s="1" t="str">
        <f t="shared" si="38"/>
        <v/>
      </c>
      <c r="BQ74" s="1" t="str">
        <f t="shared" si="39"/>
        <v/>
      </c>
      <c r="BR74" s="1" t="str">
        <f t="shared" si="40"/>
        <v/>
      </c>
      <c r="BS74" s="1" t="str">
        <f t="shared" si="41"/>
        <v/>
      </c>
    </row>
    <row r="75" spans="3:71" x14ac:dyDescent="0.3">
      <c r="AV75" t="s">
        <v>8784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FP6</v>
      </c>
      <c r="BP75" s="1" t="str">
        <f t="shared" si="38"/>
        <v/>
      </c>
      <c r="BQ75" s="1" t="str">
        <f t="shared" si="39"/>
        <v/>
      </c>
      <c r="BR75" s="1" t="str">
        <f t="shared" si="40"/>
        <v/>
      </c>
      <c r="BS75" s="1" t="str">
        <f t="shared" si="41"/>
        <v/>
      </c>
    </row>
    <row r="76" spans="3:71" x14ac:dyDescent="0.3">
      <c r="AV76" t="s">
        <v>1447</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FP6GZ</v>
      </c>
      <c r="BP76" s="1" t="str">
        <f t="shared" si="38"/>
        <v/>
      </c>
      <c r="BQ76" s="1" t="str">
        <f t="shared" si="39"/>
        <v/>
      </c>
      <c r="BR76" s="1" t="str">
        <f t="shared" si="40"/>
        <v/>
      </c>
      <c r="BS76" s="1" t="str">
        <f t="shared" si="41"/>
        <v/>
      </c>
    </row>
    <row r="77" spans="3:71" x14ac:dyDescent="0.3">
      <c r="AV77" t="s">
        <v>75</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G11Mod</v>
      </c>
      <c r="BP77" s="1" t="str">
        <f t="shared" si="38"/>
        <v/>
      </c>
      <c r="BQ77" s="1" t="str">
        <f t="shared" si="39"/>
        <v/>
      </c>
      <c r="BR77" s="1" t="str">
        <f t="shared" si="40"/>
        <v/>
      </c>
      <c r="BS77" s="1" t="str">
        <f t="shared" si="41"/>
        <v/>
      </c>
    </row>
    <row r="78" spans="3:71" x14ac:dyDescent="0.3">
      <c r="AV78" t="s">
        <v>1748</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G17</v>
      </c>
      <c r="BP78" s="1" t="str">
        <f t="shared" si="38"/>
        <v/>
      </c>
      <c r="BQ78" s="1" t="str">
        <f t="shared" si="39"/>
        <v/>
      </c>
      <c r="BR78" s="1" t="str">
        <f t="shared" si="40"/>
        <v/>
      </c>
      <c r="BS78" s="1" t="str">
        <f t="shared" si="41"/>
        <v/>
      </c>
    </row>
    <row r="79" spans="3:71" x14ac:dyDescent="0.3">
      <c r="AV79" t="s">
        <v>1429</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G36CMod</v>
      </c>
      <c r="BP79" s="1" t="str">
        <f t="shared" si="38"/>
        <v/>
      </c>
      <c r="BQ79" s="1" t="str">
        <f t="shared" si="39"/>
        <v/>
      </c>
      <c r="BR79" s="1" t="str">
        <f t="shared" si="40"/>
        <v/>
      </c>
      <c r="BS79" s="1" t="str">
        <f t="shared" si="41"/>
        <v/>
      </c>
    </row>
    <row r="80" spans="3:71" x14ac:dyDescent="0.3">
      <c r="AV80" t="s">
        <v>8170</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G36Mod</v>
      </c>
      <c r="BP80" s="1" t="str">
        <f t="shared" si="38"/>
        <v/>
      </c>
      <c r="BQ80" s="1" t="str">
        <f t="shared" si="39"/>
        <v/>
      </c>
      <c r="BR80" s="1" t="str">
        <f t="shared" si="40"/>
        <v/>
      </c>
      <c r="BS80" s="1" t="str">
        <f t="shared" si="41"/>
        <v/>
      </c>
    </row>
    <row r="81" spans="48:71" x14ac:dyDescent="0.3">
      <c r="AV81" t="s">
        <v>1427</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G36ModGZ</v>
      </c>
      <c r="BP81" s="1" t="str">
        <f t="shared" si="38"/>
        <v/>
      </c>
      <c r="BQ81" s="1" t="str">
        <f t="shared" si="39"/>
        <v/>
      </c>
      <c r="BR81" s="1" t="str">
        <f t="shared" si="40"/>
        <v/>
      </c>
      <c r="BS81" s="1" t="str">
        <f t="shared" si="41"/>
        <v/>
      </c>
    </row>
    <row r="82" spans="48:71" x14ac:dyDescent="0.3">
      <c r="AV82" t="s">
        <v>8012</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G3Mod</v>
      </c>
      <c r="BP82" s="1" t="str">
        <f t="shared" si="38"/>
        <v/>
      </c>
      <c r="BQ82" s="1" t="str">
        <f t="shared" si="39"/>
        <v/>
      </c>
      <c r="BR82" s="1" t="str">
        <f t="shared" si="40"/>
        <v/>
      </c>
      <c r="BS82" s="1" t="str">
        <f t="shared" si="41"/>
        <v/>
      </c>
    </row>
    <row r="83" spans="48:71" x14ac:dyDescent="0.3">
      <c r="AV83" t="s">
        <v>734</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G3ModGZ</v>
      </c>
      <c r="BP83" s="1" t="str">
        <f t="shared" si="38"/>
        <v/>
      </c>
      <c r="BQ83" s="1" t="str">
        <f t="shared" si="39"/>
        <v/>
      </c>
      <c r="BR83" s="1" t="str">
        <f t="shared" si="40"/>
        <v/>
      </c>
      <c r="BS83" s="1" t="str">
        <f t="shared" si="41"/>
        <v/>
      </c>
    </row>
    <row r="84" spans="48:71" x14ac:dyDescent="0.3">
      <c r="AV84" t="s">
        <v>8542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G41</v>
      </c>
      <c r="BP84" s="1" t="str">
        <f t="shared" si="38"/>
        <v/>
      </c>
      <c r="BQ84" s="1" t="str">
        <f t="shared" si="39"/>
        <v/>
      </c>
      <c r="BR84" s="1" t="str">
        <f t="shared" si="40"/>
        <v/>
      </c>
      <c r="BS84" s="1" t="str">
        <f t="shared" si="41"/>
        <v/>
      </c>
    </row>
    <row r="85" spans="48:71" x14ac:dyDescent="0.3">
      <c r="AV85" t="s">
        <v>94</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G41GZ</v>
      </c>
      <c r="BP85" s="1" t="str">
        <f t="shared" si="38"/>
        <v/>
      </c>
      <c r="BQ85" s="1" t="str">
        <f t="shared" si="39"/>
        <v/>
      </c>
      <c r="BR85" s="1" t="str">
        <f t="shared" si="40"/>
        <v/>
      </c>
      <c r="BS85" s="1" t="str">
        <f t="shared" si="41"/>
        <v/>
      </c>
    </row>
    <row r="86" spans="48:71" x14ac:dyDescent="0.3">
      <c r="AV86" t="s">
        <v>831</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G43</v>
      </c>
      <c r="BP86" s="1" t="str">
        <f t="shared" si="38"/>
        <v/>
      </c>
      <c r="BQ86" s="1" t="str">
        <f t="shared" si="39"/>
        <v/>
      </c>
      <c r="BR86" s="1" t="str">
        <f t="shared" si="40"/>
        <v/>
      </c>
      <c r="BS86" s="1" t="str">
        <f t="shared" si="41"/>
        <v/>
      </c>
    </row>
    <row r="87" spans="48:71" x14ac:dyDescent="0.3">
      <c r="AV87" t="s">
        <v>804</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Galil Mod</v>
      </c>
      <c r="BP87" s="1" t="str">
        <f t="shared" si="38"/>
        <v/>
      </c>
      <c r="BQ87" s="1" t="str">
        <f t="shared" si="39"/>
        <v/>
      </c>
      <c r="BR87" s="1" t="str">
        <f t="shared" si="40"/>
        <v/>
      </c>
      <c r="BS87" s="1" t="str">
        <f t="shared" si="41"/>
        <v/>
      </c>
    </row>
    <row r="88" spans="48:71" x14ac:dyDescent="0.3">
      <c r="AV88" t="s">
        <v>1755</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GeneralLiu</v>
      </c>
      <c r="BP88" s="1" t="str">
        <f t="shared" si="38"/>
        <v/>
      </c>
      <c r="BQ88" s="1" t="str">
        <f t="shared" si="39"/>
        <v/>
      </c>
      <c r="BR88" s="1" t="str">
        <f t="shared" si="40"/>
        <v/>
      </c>
      <c r="BS88" s="1" t="str">
        <f t="shared" si="41"/>
        <v/>
      </c>
    </row>
    <row r="89" spans="48:71" x14ac:dyDescent="0.3">
      <c r="AV89" t="s">
        <v>120</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Gepard M1Mod</v>
      </c>
      <c r="BP89" s="1" t="str">
        <f t="shared" si="38"/>
        <v/>
      </c>
      <c r="BQ89" s="1" t="str">
        <f t="shared" si="39"/>
        <v/>
      </c>
      <c r="BR89" s="1" t="str">
        <f t="shared" si="40"/>
        <v/>
      </c>
      <c r="BS89" s="1" t="str">
        <f t="shared" si="41"/>
        <v/>
      </c>
    </row>
    <row r="90" spans="48:71" x14ac:dyDescent="0.3">
      <c r="AV90" t="s">
        <v>8796</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Grizzly</v>
      </c>
      <c r="BP90" s="1" t="str">
        <f t="shared" si="38"/>
        <v/>
      </c>
      <c r="BQ90" s="1" t="str">
        <f t="shared" si="39"/>
        <v/>
      </c>
      <c r="BR90" s="1" t="str">
        <f t="shared" si="40"/>
        <v/>
      </c>
      <c r="BS90" s="1" t="str">
        <f t="shared" si="41"/>
        <v/>
      </c>
    </row>
    <row r="91" spans="48:71" x14ac:dyDescent="0.3">
      <c r="AV91" t="s">
        <v>1685</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GrizzlyGZ</v>
      </c>
      <c r="BP91" s="1" t="str">
        <f t="shared" si="38"/>
        <v/>
      </c>
      <c r="BQ91" s="1" t="str">
        <f t="shared" si="39"/>
        <v/>
      </c>
      <c r="BR91" s="1" t="str">
        <f t="shared" si="40"/>
        <v/>
      </c>
      <c r="BS91" s="1" t="str">
        <f t="shared" si="41"/>
        <v/>
      </c>
    </row>
    <row r="92" spans="48:71" x14ac:dyDescent="0.3">
      <c r="AV92" t="s">
        <v>8639</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GSh18Mod</v>
      </c>
      <c r="BP92" s="1" t="str">
        <f t="shared" si="38"/>
        <v/>
      </c>
      <c r="BQ92" s="1" t="str">
        <f t="shared" si="39"/>
        <v/>
      </c>
      <c r="BR92" s="1" t="str">
        <f t="shared" si="40"/>
        <v/>
      </c>
      <c r="BS92" s="1" t="str">
        <f t="shared" si="41"/>
        <v/>
      </c>
    </row>
    <row r="93" spans="48:71" x14ac:dyDescent="0.3">
      <c r="AV93" t="s">
        <v>247</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Hecate</v>
      </c>
      <c r="BP93" s="1" t="str">
        <f t="shared" si="38"/>
        <v/>
      </c>
      <c r="BQ93" s="1" t="str">
        <f t="shared" si="39"/>
        <v/>
      </c>
      <c r="BR93" s="1" t="str">
        <f t="shared" si="40"/>
        <v/>
      </c>
      <c r="BS93" s="1" t="str">
        <f t="shared" si="41"/>
        <v/>
      </c>
    </row>
    <row r="94" spans="48:71" x14ac:dyDescent="0.3">
      <c r="AV94" t="s">
        <v>206</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Henrietta</v>
      </c>
      <c r="BP94" s="1" t="str">
        <f t="shared" si="38"/>
        <v/>
      </c>
      <c r="BQ94" s="1" t="str">
        <f t="shared" si="39"/>
        <v/>
      </c>
      <c r="BR94" s="1" t="str">
        <f t="shared" si="40"/>
        <v/>
      </c>
      <c r="BS94" s="1" t="str">
        <f t="shared" si="41"/>
        <v/>
      </c>
    </row>
    <row r="95" spans="48:71" x14ac:dyDescent="0.3">
      <c r="AV95" t="s">
        <v>223</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HK33</v>
      </c>
      <c r="BP95" s="1" t="str">
        <f t="shared" si="38"/>
        <v/>
      </c>
      <c r="BQ95" s="1" t="str">
        <f t="shared" si="39"/>
        <v/>
      </c>
      <c r="BR95" s="1" t="str">
        <f t="shared" si="40"/>
        <v/>
      </c>
      <c r="BS95" s="1" t="str">
        <f t="shared" si="41"/>
        <v/>
      </c>
    </row>
    <row r="96" spans="48:71" x14ac:dyDescent="0.3">
      <c r="AV96" t="s">
        <v>258</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HK416</v>
      </c>
      <c r="BP96" s="1" t="str">
        <f t="shared" si="38"/>
        <v/>
      </c>
      <c r="BQ96" s="1" t="str">
        <f t="shared" si="39"/>
        <v/>
      </c>
      <c r="BR96" s="1" t="str">
        <f t="shared" si="40"/>
        <v/>
      </c>
      <c r="BS96" s="1" t="str">
        <f t="shared" si="41"/>
        <v/>
      </c>
    </row>
    <row r="97" spans="48:71" x14ac:dyDescent="0.3">
      <c r="AV97" t="s">
        <v>7586</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HK416Mod</v>
      </c>
      <c r="BP97" s="1" t="str">
        <f t="shared" si="38"/>
        <v/>
      </c>
      <c r="BQ97" s="1" t="str">
        <f t="shared" si="39"/>
        <v/>
      </c>
      <c r="BR97" s="1" t="str">
        <f t="shared" si="40"/>
        <v/>
      </c>
      <c r="BS97" s="1" t="str">
        <f t="shared" si="41"/>
        <v/>
      </c>
    </row>
    <row r="98" spans="48:71" x14ac:dyDescent="0.3">
      <c r="AV98" t="s">
        <v>1719</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HK416ModGZ</v>
      </c>
      <c r="BP98" s="1" t="str">
        <f t="shared" si="38"/>
        <v/>
      </c>
      <c r="BQ98" s="1" t="str">
        <f t="shared" si="39"/>
        <v/>
      </c>
      <c r="BR98" s="1" t="str">
        <f t="shared" si="40"/>
        <v/>
      </c>
      <c r="BS98" s="1" t="str">
        <f t="shared" si="41"/>
        <v/>
      </c>
    </row>
    <row r="99" spans="48:71" x14ac:dyDescent="0.3">
      <c r="AV99" t="s">
        <v>200</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Honey Badger</v>
      </c>
      <c r="BP99" s="1" t="str">
        <f t="shared" si="38"/>
        <v/>
      </c>
      <c r="BQ99" s="1" t="str">
        <f t="shared" si="39"/>
        <v/>
      </c>
      <c r="BR99" s="1" t="str">
        <f t="shared" si="40"/>
        <v/>
      </c>
      <c r="BS99" s="1" t="str">
        <f t="shared" si="41"/>
        <v/>
      </c>
    </row>
    <row r="100" spans="48:71" x14ac:dyDescent="0.3">
      <c r="AV100" t="s">
        <v>1731</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HS2000</v>
      </c>
      <c r="BP100" s="1" t="str">
        <f t="shared" si="38"/>
        <v/>
      </c>
      <c r="BQ100" s="1" t="str">
        <f t="shared" si="39"/>
        <v/>
      </c>
      <c r="BR100" s="1" t="str">
        <f t="shared" si="40"/>
        <v/>
      </c>
      <c r="BS100" s="1" t="str">
        <f t="shared" si="41"/>
        <v/>
      </c>
    </row>
    <row r="101" spans="48:71" x14ac:dyDescent="0.3">
      <c r="AV101" t="s">
        <v>261</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HS50</v>
      </c>
      <c r="BP101" s="1" t="str">
        <f t="shared" si="38"/>
        <v/>
      </c>
      <c r="BQ101" s="1" t="str">
        <f t="shared" si="39"/>
        <v/>
      </c>
      <c r="BR101" s="1" t="str">
        <f t="shared" si="40"/>
        <v/>
      </c>
      <c r="BS101" s="1" t="str">
        <f t="shared" si="41"/>
        <v/>
      </c>
    </row>
    <row r="102" spans="48:71" x14ac:dyDescent="0.3">
      <c r="AV102" t="s">
        <v>8691</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IDWMod</v>
      </c>
      <c r="BP102" s="1" t="str">
        <f t="shared" si="38"/>
        <v/>
      </c>
      <c r="BQ102" s="1" t="str">
        <f t="shared" si="39"/>
        <v/>
      </c>
      <c r="BR102" s="1" t="str">
        <f t="shared" si="40"/>
        <v/>
      </c>
      <c r="BS102" s="1" t="str">
        <f t="shared" si="41"/>
        <v/>
      </c>
    </row>
    <row r="103" spans="48:71" x14ac:dyDescent="0.3">
      <c r="AV103" t="s">
        <v>78</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IDWModGZ</v>
      </c>
      <c r="BP103" s="1" t="str">
        <f t="shared" si="38"/>
        <v/>
      </c>
      <c r="BQ103" s="1" t="str">
        <f t="shared" si="39"/>
        <v/>
      </c>
      <c r="BR103" s="1" t="str">
        <f t="shared" si="40"/>
        <v/>
      </c>
      <c r="BS103" s="1" t="str">
        <f t="shared" si="41"/>
        <v/>
      </c>
    </row>
    <row r="104" spans="48:71" x14ac:dyDescent="0.3">
      <c r="AV104" t="s">
        <v>1691</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Ingram</v>
      </c>
      <c r="BP104" s="1" t="str">
        <f t="shared" si="38"/>
        <v/>
      </c>
      <c r="BQ104" s="1" t="str">
        <f t="shared" si="39"/>
        <v/>
      </c>
      <c r="BR104" s="1" t="str">
        <f t="shared" si="40"/>
        <v/>
      </c>
      <c r="BS104" s="1" t="str">
        <f t="shared" si="41"/>
        <v/>
      </c>
    </row>
    <row r="105" spans="48:71" x14ac:dyDescent="0.3">
      <c r="AV105" t="s">
        <v>192</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Jashin</v>
      </c>
      <c r="BP105" s="1" t="str">
        <f t="shared" si="38"/>
        <v/>
      </c>
      <c r="BQ105" s="1" t="str">
        <f t="shared" si="39"/>
        <v/>
      </c>
      <c r="BR105" s="1" t="str">
        <f t="shared" si="40"/>
        <v/>
      </c>
      <c r="BS105" s="1" t="str">
        <f t="shared" si="41"/>
        <v/>
      </c>
    </row>
    <row r="106" spans="48:71" x14ac:dyDescent="0.3">
      <c r="AV106" t="s">
        <v>755</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Jericho</v>
      </c>
      <c r="BP106" s="1" t="str">
        <f t="shared" si="38"/>
        <v/>
      </c>
      <c r="BQ106" s="1" t="str">
        <f t="shared" si="39"/>
        <v/>
      </c>
      <c r="BR106" s="1" t="str">
        <f t="shared" si="40"/>
        <v/>
      </c>
      <c r="BS106" s="1" t="str">
        <f t="shared" si="41"/>
        <v/>
      </c>
    </row>
    <row r="107" spans="48:71" x14ac:dyDescent="0.3">
      <c r="AV107" t="s">
        <v>758</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JillAdelhyde1</v>
      </c>
      <c r="BP107" s="1" t="str">
        <f t="shared" si="38"/>
        <v/>
      </c>
      <c r="BQ107" s="1" t="str">
        <f t="shared" si="39"/>
        <v/>
      </c>
      <c r="BR107" s="1" t="str">
        <f t="shared" si="40"/>
        <v/>
      </c>
      <c r="BS107" s="1" t="str">
        <f t="shared" si="41"/>
        <v/>
      </c>
    </row>
    <row r="108" spans="48:71" x14ac:dyDescent="0.3">
      <c r="AV108" t="s">
        <v>759</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JillAdelhyde2</v>
      </c>
      <c r="BP108" s="1" t="str">
        <f t="shared" si="38"/>
        <v/>
      </c>
      <c r="BQ108" s="1" t="str">
        <f t="shared" si="39"/>
        <v/>
      </c>
      <c r="BR108" s="1" t="str">
        <f t="shared" si="40"/>
        <v/>
      </c>
      <c r="BS108" s="1" t="str">
        <f t="shared" si="41"/>
        <v/>
      </c>
    </row>
    <row r="109" spans="48:71" x14ac:dyDescent="0.3">
      <c r="AV109" t="s">
        <v>756</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JillBronsonExtract</v>
      </c>
      <c r="BP109" s="1" t="str">
        <f t="shared" si="38"/>
        <v/>
      </c>
      <c r="BQ109" s="1" t="str">
        <f t="shared" si="39"/>
        <v/>
      </c>
      <c r="BR109" s="1" t="str">
        <f t="shared" si="40"/>
        <v/>
      </c>
      <c r="BS109" s="1" t="str">
        <f t="shared" si="41"/>
        <v/>
      </c>
    </row>
    <row r="110" spans="48:71" x14ac:dyDescent="0.3">
      <c r="AV110" t="s">
        <v>754</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JillFlanergide</v>
      </c>
      <c r="BP110" s="1" t="str">
        <f t="shared" si="38"/>
        <v/>
      </c>
      <c r="BQ110" s="1" t="str">
        <f t="shared" si="39"/>
        <v/>
      </c>
      <c r="BR110" s="1" t="str">
        <f t="shared" si="40"/>
        <v/>
      </c>
      <c r="BS110" s="1" t="str">
        <f t="shared" si="41"/>
        <v/>
      </c>
    </row>
    <row r="111" spans="48:71" x14ac:dyDescent="0.3">
      <c r="AV111" t="s">
        <v>757</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JillKarmotrine1</v>
      </c>
      <c r="BP111" s="1" t="str">
        <f t="shared" si="38"/>
        <v/>
      </c>
      <c r="BQ111" s="1" t="str">
        <f t="shared" si="39"/>
        <v/>
      </c>
      <c r="BR111" s="1" t="str">
        <f t="shared" si="40"/>
        <v/>
      </c>
      <c r="BS111" s="1" t="str">
        <f t="shared" si="41"/>
        <v/>
      </c>
    </row>
    <row r="112" spans="48:71" x14ac:dyDescent="0.3">
      <c r="AV112" t="s">
        <v>760</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JillKarmotrine2</v>
      </c>
      <c r="BP112" s="1" t="str">
        <f t="shared" si="38"/>
        <v/>
      </c>
      <c r="BQ112" s="1" t="str">
        <f t="shared" si="39"/>
        <v/>
      </c>
      <c r="BR112" s="1" t="str">
        <f t="shared" si="40"/>
        <v/>
      </c>
      <c r="BS112" s="1" t="str">
        <f t="shared" si="41"/>
        <v/>
      </c>
    </row>
    <row r="113" spans="48:71" x14ac:dyDescent="0.3">
      <c r="AV113" t="s">
        <v>841</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JillKarmotrine3</v>
      </c>
      <c r="BP113" s="1" t="str">
        <f t="shared" si="38"/>
        <v/>
      </c>
      <c r="BQ113" s="1" t="str">
        <f t="shared" si="39"/>
        <v/>
      </c>
      <c r="BR113" s="1" t="str">
        <f t="shared" si="40"/>
        <v/>
      </c>
      <c r="BS113" s="1" t="str">
        <f t="shared" si="41"/>
        <v/>
      </c>
    </row>
    <row r="114" spans="48:71" x14ac:dyDescent="0.3">
      <c r="AV114" t="s">
        <v>7004</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JillPowderedDelta</v>
      </c>
      <c r="BP114" s="1" t="str">
        <f t="shared" si="38"/>
        <v/>
      </c>
      <c r="BQ114" s="1" t="str">
        <f t="shared" si="39"/>
        <v/>
      </c>
      <c r="BR114" s="1" t="str">
        <f t="shared" si="40"/>
        <v/>
      </c>
      <c r="BS114" s="1" t="str">
        <f t="shared" si="41"/>
        <v/>
      </c>
    </row>
    <row r="115" spans="48:71" x14ac:dyDescent="0.3">
      <c r="AV115" t="s">
        <v>188</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Junko</v>
      </c>
      <c r="BP115" s="1" t="str">
        <f t="shared" si="38"/>
        <v/>
      </c>
      <c r="BQ115" s="1" t="str">
        <f t="shared" si="39"/>
        <v/>
      </c>
      <c r="BR115" s="1" t="str">
        <f t="shared" si="40"/>
        <v/>
      </c>
      <c r="BS115" s="1" t="str">
        <f t="shared" si="41"/>
        <v/>
      </c>
    </row>
    <row r="116" spans="48:71" x14ac:dyDescent="0.3">
      <c r="AV116" t="s">
        <v>168</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K11</v>
      </c>
      <c r="BP116" s="1" t="str">
        <f t="shared" si="38"/>
        <v/>
      </c>
      <c r="BQ116" s="1" t="str">
        <f t="shared" si="39"/>
        <v/>
      </c>
      <c r="BR116" s="1" t="str">
        <f t="shared" si="40"/>
        <v/>
      </c>
      <c r="BS116" s="1" t="str">
        <f t="shared" si="41"/>
        <v/>
      </c>
    </row>
    <row r="117" spans="48:71" x14ac:dyDescent="0.3">
      <c r="AV117" t="s">
        <v>191</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K2</v>
      </c>
      <c r="BP117" s="1" t="str">
        <f t="shared" si="38"/>
        <v/>
      </c>
      <c r="BQ117" s="1" t="str">
        <f t="shared" si="39"/>
        <v/>
      </c>
      <c r="BR117" s="1" t="str">
        <f t="shared" si="40"/>
        <v/>
      </c>
      <c r="BS117" s="1" t="str">
        <f t="shared" si="41"/>
        <v/>
      </c>
    </row>
    <row r="118" spans="48:71" x14ac:dyDescent="0.3">
      <c r="AV118" t="s">
        <v>7148</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K31</v>
      </c>
      <c r="BP118" s="1" t="str">
        <f t="shared" si="38"/>
        <v/>
      </c>
      <c r="BQ118" s="1" t="str">
        <f t="shared" si="39"/>
        <v/>
      </c>
      <c r="BR118" s="1" t="str">
        <f t="shared" si="40"/>
        <v/>
      </c>
      <c r="BS118" s="1" t="str">
        <f t="shared" si="41"/>
        <v/>
      </c>
    </row>
    <row r="119" spans="48:71" x14ac:dyDescent="0.3">
      <c r="AV119" t="s">
        <v>93</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K5Mod</v>
      </c>
      <c r="BP119" s="1" t="str">
        <f t="shared" si="38"/>
        <v/>
      </c>
      <c r="BQ119" s="1" t="str">
        <f t="shared" si="39"/>
        <v/>
      </c>
      <c r="BR119" s="1" t="str">
        <f t="shared" si="40"/>
        <v/>
      </c>
      <c r="BS119" s="1" t="str">
        <f t="shared" si="41"/>
        <v/>
      </c>
    </row>
    <row r="120" spans="48:71" x14ac:dyDescent="0.3">
      <c r="AV120" t="s">
        <v>6755</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Kar98k</v>
      </c>
      <c r="BP120" s="1" t="str">
        <f t="shared" si="38"/>
        <v/>
      </c>
      <c r="BQ120" s="1" t="str">
        <f t="shared" si="39"/>
        <v/>
      </c>
      <c r="BR120" s="1" t="str">
        <f t="shared" si="40"/>
        <v/>
      </c>
      <c r="BS120" s="1" t="str">
        <f t="shared" si="41"/>
        <v/>
      </c>
    </row>
    <row r="121" spans="48:71" x14ac:dyDescent="0.3">
      <c r="AV121" t="s">
        <v>157</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Kar98kmod</v>
      </c>
      <c r="BP121" s="1" t="str">
        <f t="shared" si="38"/>
        <v/>
      </c>
      <c r="BQ121" s="1" t="str">
        <f t="shared" si="39"/>
        <v/>
      </c>
      <c r="BR121" s="1" t="str">
        <f t="shared" si="40"/>
        <v/>
      </c>
      <c r="BS121" s="1" t="str">
        <f t="shared" si="41"/>
        <v/>
      </c>
    </row>
    <row r="122" spans="48:71" x14ac:dyDescent="0.3">
      <c r="AV122" t="s">
        <v>722</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KLIN</v>
      </c>
      <c r="BP122" s="1" t="str">
        <f t="shared" si="38"/>
        <v/>
      </c>
      <c r="BQ122" s="1" t="str">
        <f t="shared" si="39"/>
        <v/>
      </c>
      <c r="BR122" s="1" t="str">
        <f t="shared" si="40"/>
        <v/>
      </c>
      <c r="BS122" s="1" t="str">
        <f t="shared" si="41"/>
        <v/>
      </c>
    </row>
    <row r="123" spans="48:71" x14ac:dyDescent="0.3">
      <c r="AV123" t="s">
        <v>265</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KS23</v>
      </c>
      <c r="BP123" s="1" t="str">
        <f t="shared" si="38"/>
        <v/>
      </c>
      <c r="BQ123" s="1" t="str">
        <f t="shared" si="39"/>
        <v/>
      </c>
      <c r="BR123" s="1" t="str">
        <f t="shared" si="40"/>
        <v/>
      </c>
      <c r="BS123" s="1" t="str">
        <f t="shared" si="41"/>
        <v/>
      </c>
    </row>
    <row r="124" spans="48:71" x14ac:dyDescent="0.3">
      <c r="AV124" t="s">
        <v>103</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KSVKMod</v>
      </c>
      <c r="BP124" s="1" t="str">
        <f t="shared" si="38"/>
        <v/>
      </c>
      <c r="BQ124" s="1" t="str">
        <f t="shared" si="39"/>
        <v/>
      </c>
      <c r="BR124" s="1" t="str">
        <f t="shared" si="40"/>
        <v/>
      </c>
      <c r="BS124" s="1" t="str">
        <f t="shared" si="41"/>
        <v/>
      </c>
    </row>
    <row r="125" spans="48:71" x14ac:dyDescent="0.3">
      <c r="AV125" t="s">
        <v>96</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L85A1</v>
      </c>
      <c r="BP125" s="1" t="str">
        <f t="shared" si="38"/>
        <v/>
      </c>
      <c r="BQ125" s="1" t="str">
        <f t="shared" si="39"/>
        <v/>
      </c>
      <c r="BR125" s="1" t="str">
        <f t="shared" si="40"/>
        <v/>
      </c>
      <c r="BS125" s="1" t="str">
        <f t="shared" si="41"/>
        <v/>
      </c>
    </row>
    <row r="126" spans="48:71" x14ac:dyDescent="0.3">
      <c r="AV126" t="s">
        <v>6756</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Lee Enfield</v>
      </c>
      <c r="BP126" s="1" t="str">
        <f t="shared" si="38"/>
        <v/>
      </c>
      <c r="BQ126" s="1" t="str">
        <f t="shared" si="39"/>
        <v/>
      </c>
      <c r="BR126" s="1" t="str">
        <f t="shared" si="40"/>
        <v/>
      </c>
      <c r="BS126" s="1" t="str">
        <f t="shared" si="41"/>
        <v/>
      </c>
    </row>
    <row r="127" spans="48:71" x14ac:dyDescent="0.3">
      <c r="AV127" t="s">
        <v>240</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Lee Enfieldmod</v>
      </c>
      <c r="BP127" s="1" t="str">
        <f t="shared" si="38"/>
        <v/>
      </c>
      <c r="BQ127" s="1" t="str">
        <f t="shared" si="39"/>
        <v/>
      </c>
      <c r="BR127" s="1" t="str">
        <f t="shared" si="40"/>
        <v/>
      </c>
      <c r="BS127" s="1" t="str">
        <f t="shared" si="41"/>
        <v/>
      </c>
    </row>
    <row r="128" spans="48:71" x14ac:dyDescent="0.3">
      <c r="AV128" t="s">
        <v>217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Lewis</v>
      </c>
      <c r="BP128" s="1" t="str">
        <f t="shared" si="38"/>
        <v/>
      </c>
      <c r="BQ128" s="1" t="str">
        <f t="shared" si="39"/>
        <v/>
      </c>
      <c r="BR128" s="1" t="str">
        <f t="shared" si="40"/>
        <v/>
      </c>
      <c r="BS128" s="1" t="str">
        <f t="shared" si="41"/>
        <v/>
      </c>
    </row>
    <row r="129" spans="48:71" x14ac:dyDescent="0.3">
      <c r="AV129" t="s">
        <v>6980</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Liberator</v>
      </c>
      <c r="BP129" s="1" t="str">
        <f t="shared" si="38"/>
        <v/>
      </c>
      <c r="BQ129" s="1" t="str">
        <f t="shared" si="39"/>
        <v/>
      </c>
      <c r="BR129" s="1" t="str">
        <f t="shared" si="40"/>
        <v/>
      </c>
      <c r="BS129" s="1" t="str">
        <f t="shared" si="41"/>
        <v/>
      </c>
    </row>
    <row r="130" spans="48:71" x14ac:dyDescent="0.3">
      <c r="AV130" t="s">
        <v>260</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Lily</v>
      </c>
      <c r="BP130" s="1" t="str">
        <f t="shared" si="38"/>
        <v/>
      </c>
      <c r="BQ130" s="1" t="str">
        <f t="shared" si="39"/>
        <v/>
      </c>
      <c r="BR130" s="1" t="str">
        <f t="shared" si="40"/>
        <v/>
      </c>
      <c r="BS130" s="1" t="str">
        <f t="shared" si="41"/>
        <v/>
      </c>
    </row>
    <row r="131" spans="48:71" x14ac:dyDescent="0.3">
      <c r="AV131" t="s">
        <v>8117</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LWMMGMod</v>
      </c>
      <c r="BP131" s="1" t="str">
        <f t="shared" si="38"/>
        <v/>
      </c>
      <c r="BQ131" s="1" t="str">
        <f t="shared" si="39"/>
        <v/>
      </c>
      <c r="BR131" s="1" t="str">
        <f t="shared" si="40"/>
        <v/>
      </c>
      <c r="BS131" s="1" t="str">
        <f t="shared" si="41"/>
        <v/>
      </c>
    </row>
    <row r="132" spans="48:71" x14ac:dyDescent="0.3">
      <c r="AV132" t="s">
        <v>86</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LWMMGModGZ</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254</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 Garand</v>
      </c>
      <c r="BP133" s="1" t="str">
        <f t="shared" si="58"/>
        <v/>
      </c>
      <c r="BQ133" s="1" t="str">
        <f t="shared" si="59"/>
        <v/>
      </c>
      <c r="BR133" s="1" t="str">
        <f t="shared" si="60"/>
        <v/>
      </c>
      <c r="BS133" s="1" t="str">
        <f t="shared" si="61"/>
        <v/>
      </c>
    </row>
    <row r="134" spans="48:71" x14ac:dyDescent="0.3">
      <c r="AV134" t="s">
        <v>8769</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M14Mod</v>
      </c>
      <c r="BP134" s="1" t="str">
        <f t="shared" si="58"/>
        <v/>
      </c>
      <c r="BQ134" s="1" t="str">
        <f t="shared" si="59"/>
        <v/>
      </c>
      <c r="BR134" s="1" t="str">
        <f t="shared" si="60"/>
        <v/>
      </c>
      <c r="BS134" s="1" t="str">
        <f t="shared" si="61"/>
        <v/>
      </c>
    </row>
    <row r="135" spans="48:71" x14ac:dyDescent="0.3">
      <c r="AV135" t="s">
        <v>98</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M14ModGZ</v>
      </c>
      <c r="BP135" s="1" t="str">
        <f t="shared" si="58"/>
        <v/>
      </c>
      <c r="BQ135" s="1" t="str">
        <f t="shared" si="59"/>
        <v/>
      </c>
      <c r="BR135" s="1" t="str">
        <f t="shared" si="60"/>
        <v/>
      </c>
      <c r="BS135" s="1" t="str">
        <f t="shared" si="61"/>
        <v/>
      </c>
    </row>
    <row r="136" spans="48:71" x14ac:dyDescent="0.3">
      <c r="AV136" t="s">
        <v>145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M16A1</v>
      </c>
      <c r="BP136" s="1" t="str">
        <f t="shared" si="58"/>
        <v/>
      </c>
      <c r="BQ136" s="1" t="str">
        <f t="shared" si="59"/>
        <v/>
      </c>
      <c r="BR136" s="1" t="str">
        <f t="shared" si="60"/>
        <v/>
      </c>
      <c r="BS136" s="1" t="str">
        <f t="shared" si="61"/>
        <v/>
      </c>
    </row>
    <row r="137" spans="48:71" x14ac:dyDescent="0.3">
      <c r="AV137" t="s">
        <v>784</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M1887</v>
      </c>
      <c r="BP137" s="1" t="str">
        <f t="shared" si="58"/>
        <v/>
      </c>
      <c r="BQ137" s="1" t="str">
        <f t="shared" si="59"/>
        <v/>
      </c>
      <c r="BR137" s="1" t="str">
        <f t="shared" si="60"/>
        <v/>
      </c>
      <c r="BS137" s="1" t="str">
        <f t="shared" si="61"/>
        <v/>
      </c>
    </row>
    <row r="138" spans="48:71" x14ac:dyDescent="0.3">
      <c r="AV138" t="s">
        <v>8485</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M1895Mod</v>
      </c>
      <c r="BP138" s="1" t="str">
        <f t="shared" si="58"/>
        <v/>
      </c>
      <c r="BQ138" s="1" t="str">
        <f t="shared" si="59"/>
        <v/>
      </c>
      <c r="BR138" s="1" t="str">
        <f t="shared" si="60"/>
        <v/>
      </c>
      <c r="BS138" s="1" t="str">
        <f t="shared" si="61"/>
        <v/>
      </c>
    </row>
    <row r="139" spans="48:71" x14ac:dyDescent="0.3">
      <c r="AV139" t="s">
        <v>724</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M1895ModGZ</v>
      </c>
      <c r="BP139" s="1" t="str">
        <f t="shared" si="58"/>
        <v/>
      </c>
      <c r="BQ139" s="1" t="str">
        <f t="shared" si="59"/>
        <v/>
      </c>
      <c r="BR139" s="1" t="str">
        <f t="shared" si="60"/>
        <v/>
      </c>
      <c r="BS139" s="1" t="str">
        <f t="shared" si="61"/>
        <v/>
      </c>
    </row>
    <row r="140" spans="48:71" x14ac:dyDescent="0.3">
      <c r="AV140" t="s">
        <v>252</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M1897Mod</v>
      </c>
      <c r="BP140" s="1" t="str">
        <f t="shared" si="58"/>
        <v/>
      </c>
      <c r="BQ140" s="1" t="str">
        <f t="shared" si="59"/>
        <v/>
      </c>
      <c r="BR140" s="1" t="str">
        <f t="shared" si="60"/>
        <v/>
      </c>
      <c r="BS140" s="1" t="str">
        <f t="shared" si="61"/>
        <v/>
      </c>
    </row>
    <row r="141" spans="48:71" x14ac:dyDescent="0.3">
      <c r="AV141" t="s">
        <v>8013</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M1911Mod</v>
      </c>
      <c r="BP141" s="1" t="str">
        <f t="shared" si="58"/>
        <v/>
      </c>
      <c r="BQ141" s="1" t="str">
        <f t="shared" si="59"/>
        <v/>
      </c>
      <c r="BR141" s="1" t="str">
        <f t="shared" si="60"/>
        <v/>
      </c>
      <c r="BS141" s="1" t="str">
        <f t="shared" si="61"/>
        <v/>
      </c>
    </row>
    <row r="142" spans="48:71" x14ac:dyDescent="0.3">
      <c r="AV142" t="s">
        <v>105</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M1911ModGZ</v>
      </c>
      <c r="BP142" s="1" t="str">
        <f t="shared" si="58"/>
        <v/>
      </c>
      <c r="BQ142" s="1" t="str">
        <f t="shared" si="59"/>
        <v/>
      </c>
      <c r="BR142" s="1" t="str">
        <f t="shared" si="60"/>
        <v/>
      </c>
      <c r="BS142" s="1" t="str">
        <f t="shared" si="61"/>
        <v/>
      </c>
    </row>
    <row r="143" spans="48:71" x14ac:dyDescent="0.3">
      <c r="AV143" t="s">
        <v>259</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M1918</v>
      </c>
      <c r="BP143" s="1" t="str">
        <f t="shared" si="58"/>
        <v/>
      </c>
      <c r="BQ143" s="1" t="str">
        <f t="shared" si="59"/>
        <v/>
      </c>
      <c r="BR143" s="1" t="str">
        <f t="shared" si="60"/>
        <v/>
      </c>
      <c r="BS143" s="1" t="str">
        <f t="shared" si="61"/>
        <v/>
      </c>
    </row>
    <row r="144" spans="48:71" x14ac:dyDescent="0.3">
      <c r="AV144" t="s">
        <v>7302</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M1918Mod</v>
      </c>
      <c r="BP144" s="1" t="str">
        <f t="shared" si="58"/>
        <v/>
      </c>
      <c r="BQ144" s="1" t="str">
        <f t="shared" si="59"/>
        <v/>
      </c>
      <c r="BR144" s="1" t="str">
        <f t="shared" si="60"/>
        <v/>
      </c>
      <c r="BS144" s="1" t="str">
        <f t="shared" si="61"/>
        <v/>
      </c>
    </row>
    <row r="145" spans="48:71" x14ac:dyDescent="0.3">
      <c r="AV145" t="s">
        <v>107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M1918Ranking</v>
      </c>
      <c r="BP145" s="1" t="str">
        <f t="shared" si="58"/>
        <v/>
      </c>
      <c r="BQ145" s="1" t="str">
        <f t="shared" si="59"/>
        <v/>
      </c>
      <c r="BR145" s="1" t="str">
        <f t="shared" si="60"/>
        <v/>
      </c>
      <c r="BS145" s="1" t="str">
        <f t="shared" si="61"/>
        <v/>
      </c>
    </row>
    <row r="146" spans="48:71" x14ac:dyDescent="0.3">
      <c r="AV146" t="s">
        <v>7141</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M1919A4</v>
      </c>
      <c r="BP146" s="1" t="str">
        <f t="shared" si="58"/>
        <v/>
      </c>
      <c r="BQ146" s="1" t="str">
        <f t="shared" si="59"/>
        <v/>
      </c>
      <c r="BR146" s="1" t="str">
        <f t="shared" si="60"/>
        <v/>
      </c>
      <c r="BS146" s="1" t="str">
        <f t="shared" si="61"/>
        <v/>
      </c>
    </row>
    <row r="147" spans="48:71" x14ac:dyDescent="0.3">
      <c r="AV147" t="s">
        <v>7772</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M1919A4Mod</v>
      </c>
      <c r="BP147" s="1" t="str">
        <f t="shared" si="58"/>
        <v/>
      </c>
      <c r="BQ147" s="1" t="str">
        <f t="shared" si="59"/>
        <v/>
      </c>
      <c r="BR147" s="1" t="str">
        <f t="shared" si="60"/>
        <v/>
      </c>
      <c r="BS147" s="1" t="str">
        <f t="shared" si="61"/>
        <v/>
      </c>
    </row>
    <row r="148" spans="48:71" x14ac:dyDescent="0.3">
      <c r="AV148" t="s">
        <v>788</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M1919A4ModGZ</v>
      </c>
      <c r="BP148" s="1" t="str">
        <f t="shared" si="58"/>
        <v/>
      </c>
      <c r="BQ148" s="1" t="str">
        <f t="shared" si="59"/>
        <v/>
      </c>
      <c r="BR148" s="1" t="str">
        <f t="shared" si="60"/>
        <v/>
      </c>
      <c r="BS148" s="1" t="str">
        <f t="shared" si="61"/>
        <v/>
      </c>
    </row>
    <row r="149" spans="48:71" x14ac:dyDescent="0.3">
      <c r="AV149" t="s">
        <v>89</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M1A1</v>
      </c>
      <c r="BP149" s="1" t="str">
        <f t="shared" si="58"/>
        <v/>
      </c>
      <c r="BQ149" s="1" t="str">
        <f t="shared" si="59"/>
        <v/>
      </c>
      <c r="BR149" s="1" t="str">
        <f t="shared" si="60"/>
        <v/>
      </c>
      <c r="BS149" s="1" t="str">
        <f t="shared" si="61"/>
        <v/>
      </c>
    </row>
    <row r="150" spans="48:71" x14ac:dyDescent="0.3">
      <c r="AV150" t="s">
        <v>1171</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M21</v>
      </c>
      <c r="BP150" s="1" t="str">
        <f t="shared" si="58"/>
        <v/>
      </c>
      <c r="BQ150" s="1" t="str">
        <f t="shared" si="59"/>
        <v/>
      </c>
      <c r="BR150" s="1" t="str">
        <f t="shared" si="60"/>
        <v/>
      </c>
      <c r="BS150" s="1" t="str">
        <f t="shared" si="61"/>
        <v/>
      </c>
    </row>
    <row r="151" spans="48:71" x14ac:dyDescent="0.3">
      <c r="AV151" t="s">
        <v>789</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M249SAW</v>
      </c>
      <c r="BP151" s="1" t="str">
        <f t="shared" si="58"/>
        <v/>
      </c>
      <c r="BQ151" s="1" t="str">
        <f t="shared" si="59"/>
        <v/>
      </c>
      <c r="BR151" s="1" t="str">
        <f t="shared" si="60"/>
        <v/>
      </c>
      <c r="BS151" s="1" t="str">
        <f t="shared" si="61"/>
        <v/>
      </c>
    </row>
    <row r="152" spans="48:71" x14ac:dyDescent="0.3">
      <c r="AV152" t="s">
        <v>77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M2HB</v>
      </c>
      <c r="BP152" s="1" t="str">
        <f t="shared" si="58"/>
        <v/>
      </c>
      <c r="BQ152" s="1" t="str">
        <f t="shared" si="59"/>
        <v/>
      </c>
      <c r="BR152" s="1" t="str">
        <f t="shared" si="60"/>
        <v/>
      </c>
      <c r="BS152" s="1" t="str">
        <f t="shared" si="61"/>
        <v/>
      </c>
    </row>
    <row r="153" spans="48:71" x14ac:dyDescent="0.3">
      <c r="AV153" t="s">
        <v>147</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M3</v>
      </c>
      <c r="BP153" s="1" t="str">
        <f t="shared" si="58"/>
        <v/>
      </c>
      <c r="BQ153" s="1" t="str">
        <f t="shared" si="59"/>
        <v/>
      </c>
      <c r="BR153" s="1" t="str">
        <f t="shared" si="60"/>
        <v/>
      </c>
      <c r="BS153" s="1" t="str">
        <f t="shared" si="61"/>
        <v/>
      </c>
    </row>
    <row r="154" spans="48:71" x14ac:dyDescent="0.3">
      <c r="AV154" t="s">
        <v>714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M37</v>
      </c>
      <c r="BP154" s="1" t="str">
        <f t="shared" si="58"/>
        <v/>
      </c>
      <c r="BQ154" s="1" t="str">
        <f t="shared" si="59"/>
        <v/>
      </c>
      <c r="BR154" s="1" t="str">
        <f t="shared" si="60"/>
        <v/>
      </c>
      <c r="BS154" s="1" t="str">
        <f t="shared" si="61"/>
        <v/>
      </c>
    </row>
    <row r="155" spans="48:71" x14ac:dyDescent="0.3">
      <c r="AV155" t="s">
        <v>8797</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M38Mod</v>
      </c>
      <c r="BP155" s="1" t="str">
        <f t="shared" si="58"/>
        <v/>
      </c>
      <c r="BQ155" s="1" t="str">
        <f t="shared" si="59"/>
        <v/>
      </c>
      <c r="BR155" s="1" t="str">
        <f t="shared" si="60"/>
        <v/>
      </c>
      <c r="BS155" s="1" t="str">
        <f t="shared" si="61"/>
        <v/>
      </c>
    </row>
    <row r="156" spans="48:71" x14ac:dyDescent="0.3">
      <c r="AV156" t="s">
        <v>256</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M38ModGZ</v>
      </c>
      <c r="BP156" s="1" t="str">
        <f t="shared" si="58"/>
        <v/>
      </c>
      <c r="BQ156" s="1" t="str">
        <f t="shared" si="59"/>
        <v/>
      </c>
      <c r="BR156" s="1" t="str">
        <f t="shared" si="60"/>
        <v/>
      </c>
      <c r="BS156" s="1" t="str">
        <f t="shared" si="61"/>
        <v/>
      </c>
    </row>
    <row r="157" spans="48:71" x14ac:dyDescent="0.3">
      <c r="AV157" t="s">
        <v>255</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M4 SOPMOD IIMod</v>
      </c>
      <c r="BP157" s="1" t="str">
        <f t="shared" si="58"/>
        <v/>
      </c>
      <c r="BQ157" s="1" t="str">
        <f t="shared" si="59"/>
        <v/>
      </c>
      <c r="BR157" s="1" t="str">
        <f t="shared" si="60"/>
        <v/>
      </c>
      <c r="BS157" s="1" t="str">
        <f t="shared" si="61"/>
        <v/>
      </c>
    </row>
    <row r="158" spans="48:71" x14ac:dyDescent="0.3">
      <c r="AV158" t="s">
        <v>715</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M4A1Mod</v>
      </c>
      <c r="BP158" s="1" t="str">
        <f t="shared" si="58"/>
        <v/>
      </c>
      <c r="BQ158" s="1" t="str">
        <f t="shared" si="59"/>
        <v/>
      </c>
      <c r="BR158" s="1" t="str">
        <f t="shared" si="60"/>
        <v/>
      </c>
      <c r="BS158" s="1" t="str">
        <f t="shared" si="61"/>
        <v/>
      </c>
    </row>
    <row r="159" spans="48:71" x14ac:dyDescent="0.3">
      <c r="AV159" t="s">
        <v>8543</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M500Mod</v>
      </c>
      <c r="BP159" s="1" t="str">
        <f t="shared" si="58"/>
        <v/>
      </c>
      <c r="BQ159" s="1" t="str">
        <f t="shared" si="59"/>
        <v/>
      </c>
      <c r="BR159" s="1" t="str">
        <f t="shared" si="60"/>
        <v/>
      </c>
      <c r="BS159" s="1" t="str">
        <f t="shared" si="61"/>
        <v/>
      </c>
    </row>
    <row r="160" spans="48:71" x14ac:dyDescent="0.3">
      <c r="AV160" t="s">
        <v>811</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M500ModGZ</v>
      </c>
      <c r="BP160" s="1" t="str">
        <f t="shared" si="58"/>
        <v/>
      </c>
      <c r="BQ160" s="1" t="str">
        <f t="shared" si="59"/>
        <v/>
      </c>
      <c r="BR160" s="1" t="str">
        <f t="shared" si="60"/>
        <v/>
      </c>
      <c r="BS160" s="1" t="str">
        <f t="shared" si="61"/>
        <v/>
      </c>
    </row>
    <row r="161" spans="48:71" x14ac:dyDescent="0.3">
      <c r="AV161" t="s">
        <v>185</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M6 ASW</v>
      </c>
      <c r="BP161" s="1" t="str">
        <f t="shared" si="58"/>
        <v/>
      </c>
      <c r="BQ161" s="1" t="str">
        <f t="shared" si="59"/>
        <v/>
      </c>
      <c r="BR161" s="1" t="str">
        <f t="shared" si="60"/>
        <v/>
      </c>
      <c r="BS161" s="1" t="str">
        <f t="shared" si="61"/>
        <v/>
      </c>
    </row>
    <row r="162" spans="48:71" x14ac:dyDescent="0.3">
      <c r="AV162" t="s">
        <v>8690</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M82A1</v>
      </c>
      <c r="BP162" s="1" t="str">
        <f t="shared" si="58"/>
        <v/>
      </c>
      <c r="BQ162" s="1" t="str">
        <f t="shared" si="59"/>
        <v/>
      </c>
      <c r="BR162" s="1" t="str">
        <f t="shared" si="60"/>
        <v/>
      </c>
      <c r="BS162" s="1" t="str">
        <f t="shared" si="61"/>
        <v/>
      </c>
    </row>
    <row r="163" spans="48:71" x14ac:dyDescent="0.3">
      <c r="AV163" t="s">
        <v>5631</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M82A1GZ</v>
      </c>
      <c r="BP163" s="1" t="str">
        <f t="shared" si="58"/>
        <v/>
      </c>
      <c r="BQ163" s="1" t="str">
        <f t="shared" si="59"/>
        <v/>
      </c>
      <c r="BR163" s="1" t="str">
        <f t="shared" si="60"/>
        <v/>
      </c>
      <c r="BS163" s="1" t="str">
        <f t="shared" si="61"/>
        <v/>
      </c>
    </row>
    <row r="164" spans="48:71" x14ac:dyDescent="0.3">
      <c r="AV164" t="s">
        <v>63</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M870</v>
      </c>
      <c r="BP164" s="1" t="str">
        <f t="shared" si="58"/>
        <v/>
      </c>
      <c r="BQ164" s="1" t="str">
        <f t="shared" si="59"/>
        <v/>
      </c>
      <c r="BR164" s="1" t="str">
        <f t="shared" si="60"/>
        <v/>
      </c>
      <c r="BS164" s="1" t="str">
        <f t="shared" si="61"/>
        <v/>
      </c>
    </row>
    <row r="165" spans="48:71" x14ac:dyDescent="0.3">
      <c r="AV165" t="s">
        <v>262</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M9</v>
      </c>
      <c r="BP165" s="1" t="str">
        <f t="shared" si="58"/>
        <v/>
      </c>
      <c r="BQ165" s="1" t="str">
        <f t="shared" si="59"/>
        <v/>
      </c>
      <c r="BR165" s="1" t="str">
        <f t="shared" si="60"/>
        <v/>
      </c>
      <c r="BS165" s="1" t="str">
        <f t="shared" si="61"/>
        <v/>
      </c>
    </row>
    <row r="166" spans="48:71" x14ac:dyDescent="0.3">
      <c r="AV166" t="s">
        <v>8116</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M950AMod</v>
      </c>
      <c r="BP166" s="1" t="str">
        <f t="shared" si="58"/>
        <v/>
      </c>
      <c r="BQ166" s="1" t="str">
        <f t="shared" si="59"/>
        <v/>
      </c>
      <c r="BR166" s="1" t="str">
        <f t="shared" si="60"/>
        <v/>
      </c>
      <c r="BS166" s="1" t="str">
        <f t="shared" si="61"/>
        <v/>
      </c>
    </row>
    <row r="167" spans="48:71" x14ac:dyDescent="0.3">
      <c r="AV167" t="s">
        <v>68</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M950AModGZ</v>
      </c>
      <c r="BP167" s="1" t="str">
        <f t="shared" si="58"/>
        <v/>
      </c>
      <c r="BQ167" s="1" t="str">
        <f t="shared" si="59"/>
        <v/>
      </c>
      <c r="BR167" s="1" t="str">
        <f t="shared" si="60"/>
        <v/>
      </c>
      <c r="BS167" s="1" t="str">
        <f t="shared" si="61"/>
        <v/>
      </c>
    </row>
    <row r="168" spans="48:71" x14ac:dyDescent="0.3">
      <c r="AV168" t="s">
        <v>937</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Makarov</v>
      </c>
      <c r="BP168" s="1" t="str">
        <f t="shared" si="58"/>
        <v/>
      </c>
      <c r="BQ168" s="1" t="str">
        <f t="shared" si="59"/>
        <v/>
      </c>
      <c r="BR168" s="1" t="str">
        <f t="shared" si="60"/>
        <v/>
      </c>
      <c r="BS168" s="1" t="str">
        <f t="shared" si="61"/>
        <v/>
      </c>
    </row>
    <row r="169" spans="48:71" x14ac:dyDescent="0.3">
      <c r="AV169" t="s">
        <v>7595</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MakarovMod</v>
      </c>
      <c r="BP169" s="1" t="str">
        <f t="shared" si="58"/>
        <v/>
      </c>
      <c r="BQ169" s="1" t="str">
        <f t="shared" si="59"/>
        <v/>
      </c>
      <c r="BR169" s="1" t="str">
        <f t="shared" si="60"/>
        <v/>
      </c>
      <c r="BS169" s="1" t="str">
        <f t="shared" si="61"/>
        <v/>
      </c>
    </row>
    <row r="170" spans="48:71" x14ac:dyDescent="0.3">
      <c r="AV170" t="s">
        <v>179</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MakarovModGZ</v>
      </c>
      <c r="BP170" s="1" t="str">
        <f t="shared" si="58"/>
        <v/>
      </c>
      <c r="BQ170" s="1" t="str">
        <f t="shared" si="59"/>
        <v/>
      </c>
      <c r="BR170" s="1" t="str">
        <f t="shared" si="60"/>
        <v/>
      </c>
      <c r="BS170" s="1" t="str">
        <f t="shared" si="61"/>
        <v/>
      </c>
    </row>
    <row r="171" spans="48:71" x14ac:dyDescent="0.3">
      <c r="AV171" t="s">
        <v>8768</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MDR</v>
      </c>
      <c r="BP171" s="1" t="str">
        <f t="shared" si="58"/>
        <v/>
      </c>
      <c r="BQ171" s="1" t="str">
        <f t="shared" si="59"/>
        <v/>
      </c>
      <c r="BR171" s="1" t="str">
        <f t="shared" si="60"/>
        <v/>
      </c>
      <c r="BS171" s="1" t="str">
        <f t="shared" si="61"/>
        <v/>
      </c>
    </row>
    <row r="172" spans="48:71" x14ac:dyDescent="0.3">
      <c r="AV172" t="s">
        <v>1396</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MDRGZ</v>
      </c>
      <c r="BP172" s="1" t="str">
        <f t="shared" si="58"/>
        <v/>
      </c>
      <c r="BQ172" s="1" t="str">
        <f t="shared" si="59"/>
        <v/>
      </c>
      <c r="BR172" s="1" t="str">
        <f t="shared" si="60"/>
        <v/>
      </c>
      <c r="BS172" s="1" t="str">
        <f t="shared" si="61"/>
        <v/>
      </c>
    </row>
    <row r="173" spans="48:71" x14ac:dyDescent="0.3">
      <c r="AV173" t="s">
        <v>114</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Medusa</v>
      </c>
      <c r="BP173" s="1" t="str">
        <f t="shared" si="58"/>
        <v/>
      </c>
      <c r="BQ173" s="1" t="str">
        <f t="shared" si="59"/>
        <v/>
      </c>
      <c r="BR173" s="1" t="str">
        <f t="shared" si="60"/>
        <v/>
      </c>
      <c r="BS173" s="1" t="str">
        <f t="shared" si="61"/>
        <v/>
      </c>
    </row>
    <row r="174" spans="48:71" x14ac:dyDescent="0.3">
      <c r="AV174" t="s">
        <v>113</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MG3</v>
      </c>
      <c r="BP174" s="1" t="str">
        <f t="shared" si="58"/>
        <v/>
      </c>
      <c r="BQ174" s="1" t="str">
        <f t="shared" si="59"/>
        <v/>
      </c>
      <c r="BR174" s="1" t="str">
        <f t="shared" si="60"/>
        <v/>
      </c>
      <c r="BS174" s="1" t="str">
        <f t="shared" si="61"/>
        <v/>
      </c>
    </row>
    <row r="175" spans="48:71" x14ac:dyDescent="0.3">
      <c r="AV175" t="s">
        <v>6470</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MG34</v>
      </c>
      <c r="BP175" s="1" t="str">
        <f t="shared" si="58"/>
        <v/>
      </c>
      <c r="BQ175" s="1" t="str">
        <f t="shared" si="59"/>
        <v/>
      </c>
      <c r="BR175" s="1" t="str">
        <f t="shared" si="60"/>
        <v/>
      </c>
      <c r="BS175" s="1" t="str">
        <f t="shared" si="61"/>
        <v/>
      </c>
    </row>
    <row r="176" spans="48:71" x14ac:dyDescent="0.3">
      <c r="AV176" t="s">
        <v>7820</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MG3Mod</v>
      </c>
      <c r="BP176" s="1" t="str">
        <f t="shared" si="58"/>
        <v/>
      </c>
      <c r="BQ176" s="1" t="str">
        <f t="shared" si="59"/>
        <v/>
      </c>
      <c r="BR176" s="1" t="str">
        <f t="shared" si="60"/>
        <v/>
      </c>
      <c r="BS176" s="1" t="str">
        <f t="shared" si="61"/>
        <v/>
      </c>
    </row>
    <row r="177" spans="48:71" x14ac:dyDescent="0.3">
      <c r="AV177" t="s">
        <v>299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MG3ModGZ</v>
      </c>
      <c r="BP177" s="1" t="str">
        <f t="shared" si="58"/>
        <v/>
      </c>
      <c r="BQ177" s="1" t="str">
        <f t="shared" si="59"/>
        <v/>
      </c>
      <c r="BR177" s="1" t="str">
        <f t="shared" si="60"/>
        <v/>
      </c>
      <c r="BS177" s="1" t="str">
        <f t="shared" si="61"/>
        <v/>
      </c>
    </row>
    <row r="178" spans="48:71" x14ac:dyDescent="0.3">
      <c r="AV178" t="s">
        <v>112</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MG4</v>
      </c>
      <c r="BP178" s="1" t="str">
        <f t="shared" si="58"/>
        <v/>
      </c>
      <c r="BQ178" s="1" t="str">
        <f t="shared" si="59"/>
        <v/>
      </c>
      <c r="BR178" s="1" t="str">
        <f t="shared" si="60"/>
        <v/>
      </c>
      <c r="BS178" s="1" t="str">
        <f t="shared" si="61"/>
        <v/>
      </c>
    </row>
    <row r="179" spans="48:71" x14ac:dyDescent="0.3">
      <c r="AV179" t="s">
        <v>926</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MG42</v>
      </c>
      <c r="BP179" s="1" t="str">
        <f t="shared" si="58"/>
        <v/>
      </c>
      <c r="BQ179" s="1" t="str">
        <f t="shared" si="59"/>
        <v/>
      </c>
      <c r="BR179" s="1" t="str">
        <f t="shared" si="60"/>
        <v/>
      </c>
      <c r="BS179" s="1" t="str">
        <f t="shared" si="61"/>
        <v/>
      </c>
    </row>
    <row r="180" spans="48:71" x14ac:dyDescent="0.3">
      <c r="AV180" t="s">
        <v>7594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MG4Mod</v>
      </c>
      <c r="BP180" s="1" t="str">
        <f t="shared" si="58"/>
        <v/>
      </c>
      <c r="BQ180" s="1" t="str">
        <f t="shared" si="59"/>
        <v/>
      </c>
      <c r="BR180" s="1" t="str">
        <f t="shared" si="60"/>
        <v/>
      </c>
      <c r="BS180" s="1" t="str">
        <f t="shared" si="61"/>
        <v/>
      </c>
    </row>
    <row r="181" spans="48:71" x14ac:dyDescent="0.3">
      <c r="AV181" t="s">
        <v>300</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MG4ModGZ</v>
      </c>
      <c r="BP181" s="1" t="str">
        <f t="shared" si="58"/>
        <v/>
      </c>
      <c r="BQ181" s="1" t="str">
        <f t="shared" si="59"/>
        <v/>
      </c>
      <c r="BR181" s="1" t="str">
        <f t="shared" si="60"/>
        <v/>
      </c>
      <c r="BS181" s="1" t="str">
        <f t="shared" si="61"/>
        <v/>
      </c>
    </row>
    <row r="182" spans="48:71" x14ac:dyDescent="0.3">
      <c r="AV182" t="s">
        <v>253</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MG5</v>
      </c>
      <c r="BP182" s="1" t="str">
        <f t="shared" si="58"/>
        <v/>
      </c>
      <c r="BQ182" s="1" t="str">
        <f t="shared" si="59"/>
        <v/>
      </c>
      <c r="BR182" s="1" t="str">
        <f t="shared" si="60"/>
        <v/>
      </c>
      <c r="BS182" s="1" t="str">
        <f t="shared" si="61"/>
        <v/>
      </c>
    </row>
    <row r="183" spans="48:71" x14ac:dyDescent="0.3">
      <c r="AV183" t="s">
        <v>1400</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Micro UziMod</v>
      </c>
      <c r="BP183" s="1" t="str">
        <f t="shared" si="58"/>
        <v/>
      </c>
      <c r="BQ183" s="1" t="str">
        <f t="shared" si="59"/>
        <v/>
      </c>
      <c r="BR183" s="1" t="str">
        <f t="shared" si="60"/>
        <v/>
      </c>
      <c r="BS183" s="1" t="str">
        <f t="shared" si="61"/>
        <v/>
      </c>
    </row>
    <row r="184" spans="48:71" x14ac:dyDescent="0.3">
      <c r="AV184" t="s">
        <v>8158</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Minos</v>
      </c>
      <c r="BP184" s="1" t="str">
        <f t="shared" si="58"/>
        <v/>
      </c>
      <c r="BQ184" s="1" t="str">
        <f t="shared" si="59"/>
        <v/>
      </c>
      <c r="BR184" s="1" t="str">
        <f t="shared" si="60"/>
        <v/>
      </c>
      <c r="BS184" s="1" t="str">
        <f t="shared" si="61"/>
        <v/>
      </c>
    </row>
    <row r="185" spans="48:71" x14ac:dyDescent="0.3">
      <c r="AV185" t="s">
        <v>1178</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Mizukane</v>
      </c>
      <c r="BP185" s="1" t="str">
        <f t="shared" si="58"/>
        <v/>
      </c>
      <c r="BQ185" s="1" t="str">
        <f t="shared" si="59"/>
        <v/>
      </c>
      <c r="BR185" s="1" t="str">
        <f t="shared" si="60"/>
        <v/>
      </c>
      <c r="BS185" s="1" t="str">
        <f t="shared" si="61"/>
        <v/>
      </c>
    </row>
    <row r="186" spans="48:71" x14ac:dyDescent="0.3">
      <c r="AV186" t="s">
        <v>128</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Mk23</v>
      </c>
      <c r="BP186" s="1" t="str">
        <f t="shared" si="58"/>
        <v/>
      </c>
      <c r="BQ186" s="1" t="str">
        <f t="shared" si="59"/>
        <v/>
      </c>
      <c r="BR186" s="1" t="str">
        <f t="shared" si="60"/>
        <v/>
      </c>
      <c r="BS186" s="1" t="str">
        <f t="shared" si="61"/>
        <v/>
      </c>
    </row>
    <row r="187" spans="48:71" x14ac:dyDescent="0.3">
      <c r="AV187" t="s">
        <v>182</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Mk48</v>
      </c>
      <c r="BP187" s="1" t="str">
        <f t="shared" si="58"/>
        <v/>
      </c>
      <c r="BQ187" s="1" t="str">
        <f t="shared" si="59"/>
        <v/>
      </c>
      <c r="BR187" s="1" t="str">
        <f t="shared" si="60"/>
        <v/>
      </c>
      <c r="BS187" s="1" t="str">
        <f t="shared" si="61"/>
        <v/>
      </c>
    </row>
    <row r="188" spans="48:71" x14ac:dyDescent="0.3">
      <c r="AV188" t="s">
        <v>805</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Model L</v>
      </c>
      <c r="BP188" s="1" t="str">
        <f t="shared" si="58"/>
        <v/>
      </c>
      <c r="BQ188" s="1" t="str">
        <f t="shared" si="59"/>
        <v/>
      </c>
      <c r="BR188" s="1" t="str">
        <f t="shared" si="60"/>
        <v/>
      </c>
      <c r="BS188" s="1" t="str">
        <f t="shared" si="61"/>
        <v/>
      </c>
    </row>
    <row r="189" spans="48:71" x14ac:dyDescent="0.3">
      <c r="AV189" t="s">
        <v>728</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MondragonM1908</v>
      </c>
      <c r="BP189" s="1" t="str">
        <f t="shared" si="58"/>
        <v/>
      </c>
      <c r="BQ189" s="1" t="str">
        <f t="shared" si="59"/>
        <v/>
      </c>
      <c r="BR189" s="1" t="str">
        <f t="shared" si="60"/>
        <v/>
      </c>
      <c r="BS189" s="1" t="str">
        <f t="shared" si="61"/>
        <v/>
      </c>
    </row>
    <row r="190" spans="48:71" x14ac:dyDescent="0.3">
      <c r="AV190" t="s">
        <v>1679</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MosinNagant</v>
      </c>
      <c r="BP190" s="1" t="str">
        <f t="shared" si="58"/>
        <v/>
      </c>
      <c r="BQ190" s="1" t="str">
        <f t="shared" si="59"/>
        <v/>
      </c>
      <c r="BR190" s="1" t="str">
        <f t="shared" si="60"/>
        <v/>
      </c>
      <c r="BS190" s="1" t="str">
        <f t="shared" si="61"/>
        <v/>
      </c>
    </row>
    <row r="191" spans="48:71" x14ac:dyDescent="0.3">
      <c r="AV191" t="s">
        <v>7589</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MosinNagantMod</v>
      </c>
      <c r="BP191" s="1" t="str">
        <f t="shared" si="58"/>
        <v/>
      </c>
      <c r="BQ191" s="1" t="str">
        <f t="shared" si="59"/>
        <v/>
      </c>
      <c r="BR191" s="1" t="str">
        <f t="shared" si="60"/>
        <v/>
      </c>
      <c r="BS191" s="1" t="str">
        <f t="shared" si="61"/>
        <v/>
      </c>
    </row>
    <row r="192" spans="48:71" x14ac:dyDescent="0.3">
      <c r="AV192" t="s">
        <v>8119</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MosinNagantModGZ</v>
      </c>
      <c r="BP192" s="1" t="str">
        <f t="shared" si="58"/>
        <v/>
      </c>
      <c r="BQ192" s="1" t="str">
        <f t="shared" si="59"/>
        <v/>
      </c>
      <c r="BR192" s="1" t="str">
        <f t="shared" si="60"/>
        <v/>
      </c>
      <c r="BS192" s="1" t="str">
        <f t="shared" si="61"/>
        <v/>
      </c>
    </row>
    <row r="193" spans="48:71" x14ac:dyDescent="0.3">
      <c r="AV193" t="s">
        <v>8698</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Motoko</v>
      </c>
      <c r="BP193" s="1" t="str">
        <f t="shared" si="58"/>
        <v/>
      </c>
      <c r="BQ193" s="1" t="str">
        <f t="shared" si="59"/>
        <v/>
      </c>
      <c r="BR193" s="1" t="str">
        <f t="shared" si="60"/>
        <v/>
      </c>
      <c r="BS193" s="1" t="str">
        <f t="shared" si="61"/>
        <v/>
      </c>
    </row>
    <row r="194" spans="48:71" x14ac:dyDescent="0.3">
      <c r="AV194" t="s">
        <v>1753</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MP41Mod</v>
      </c>
      <c r="BP194" s="1" t="str">
        <f t="shared" si="58"/>
        <v/>
      </c>
      <c r="BQ194" s="1" t="str">
        <f t="shared" si="59"/>
        <v/>
      </c>
      <c r="BR194" s="1" t="str">
        <f t="shared" si="60"/>
        <v/>
      </c>
      <c r="BS194" s="1" t="str">
        <f t="shared" si="61"/>
        <v/>
      </c>
    </row>
    <row r="195" spans="48:71" x14ac:dyDescent="0.3">
      <c r="AV195" t="s">
        <v>1683</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MP443Mod</v>
      </c>
      <c r="BP195" s="1" t="str">
        <f t="shared" si="58"/>
        <v/>
      </c>
      <c r="BQ195" s="1" t="str">
        <f t="shared" si="59"/>
        <v/>
      </c>
      <c r="BR195" s="1" t="str">
        <f t="shared" si="60"/>
        <v/>
      </c>
      <c r="BS195" s="1" t="str">
        <f t="shared" si="61"/>
        <v/>
      </c>
    </row>
    <row r="196" spans="48:71" x14ac:dyDescent="0.3">
      <c r="AV196" t="s">
        <v>729</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MP446Mod</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1409</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MP5</v>
      </c>
      <c r="BP197" s="1" t="str">
        <f t="shared" si="78"/>
        <v/>
      </c>
      <c r="BQ197" s="1" t="str">
        <f t="shared" si="79"/>
        <v/>
      </c>
      <c r="BR197" s="1" t="str">
        <f t="shared" si="80"/>
        <v/>
      </c>
      <c r="BS197" s="1" t="str">
        <f t="shared" si="81"/>
        <v/>
      </c>
    </row>
    <row r="198" spans="48:71" x14ac:dyDescent="0.3">
      <c r="AV198" t="s">
        <v>7593</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MP5Mod</v>
      </c>
      <c r="BP198" s="1" t="str">
        <f t="shared" si="78"/>
        <v/>
      </c>
      <c r="BQ198" s="1" t="str">
        <f t="shared" si="79"/>
        <v/>
      </c>
      <c r="BR198" s="1" t="str">
        <f t="shared" si="80"/>
        <v/>
      </c>
      <c r="BS198" s="1" t="str">
        <f t="shared" si="81"/>
        <v/>
      </c>
    </row>
    <row r="199" spans="48:71" x14ac:dyDescent="0.3">
      <c r="AV199" t="s">
        <v>82</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MP5ModGZ</v>
      </c>
      <c r="BP199" s="1" t="str">
        <f t="shared" si="78"/>
        <v/>
      </c>
      <c r="BQ199" s="1" t="str">
        <f t="shared" si="79"/>
        <v/>
      </c>
      <c r="BR199" s="1" t="str">
        <f t="shared" si="80"/>
        <v/>
      </c>
      <c r="BS199" s="1" t="str">
        <f t="shared" si="81"/>
        <v/>
      </c>
    </row>
    <row r="200" spans="48:71" x14ac:dyDescent="0.3">
      <c r="AV200" t="s">
        <v>1681</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MP7</v>
      </c>
      <c r="BP200" s="1" t="str">
        <f t="shared" si="78"/>
        <v/>
      </c>
      <c r="BQ200" s="1" t="str">
        <f t="shared" si="79"/>
        <v/>
      </c>
      <c r="BR200" s="1" t="str">
        <f t="shared" si="80"/>
        <v/>
      </c>
      <c r="BS200" s="1" t="str">
        <f t="shared" si="81"/>
        <v/>
      </c>
    </row>
    <row r="201" spans="48:71" x14ac:dyDescent="0.3">
      <c r="AV201" t="s">
        <v>7996</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NTW20Mod</v>
      </c>
      <c r="BP201" s="1" t="str">
        <f t="shared" si="78"/>
        <v/>
      </c>
      <c r="BQ201" s="1" t="str">
        <f t="shared" si="79"/>
        <v/>
      </c>
      <c r="BR201" s="1" t="str">
        <f t="shared" si="80"/>
        <v/>
      </c>
      <c r="BS201" s="1" t="str">
        <f t="shared" si="81"/>
        <v/>
      </c>
    </row>
    <row r="202" spans="48:71" x14ac:dyDescent="0.3">
      <c r="AV202" t="s">
        <v>131</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NTW20ModGZ</v>
      </c>
      <c r="BP202" s="1" t="str">
        <f t="shared" si="78"/>
        <v/>
      </c>
      <c r="BQ202" s="1" t="str">
        <f t="shared" si="79"/>
        <v/>
      </c>
      <c r="BR202" s="1" t="str">
        <f t="shared" si="80"/>
        <v/>
      </c>
      <c r="BS202" s="1" t="str">
        <f t="shared" si="81"/>
        <v/>
      </c>
    </row>
    <row r="203" spans="48:71" x14ac:dyDescent="0.3">
      <c r="AV203" t="s">
        <v>6483</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NZ75</v>
      </c>
      <c r="BP203" s="1" t="str">
        <f t="shared" si="78"/>
        <v/>
      </c>
      <c r="BQ203" s="1" t="str">
        <f t="shared" si="79"/>
        <v/>
      </c>
      <c r="BR203" s="1" t="str">
        <f t="shared" si="80"/>
        <v/>
      </c>
      <c r="BS203" s="1" t="str">
        <f t="shared" si="81"/>
        <v/>
      </c>
    </row>
    <row r="204" spans="48:71" x14ac:dyDescent="0.3">
      <c r="AV204" t="s">
        <v>1693</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OBRMod</v>
      </c>
      <c r="BP204" s="1" t="str">
        <f t="shared" si="78"/>
        <v/>
      </c>
      <c r="BQ204" s="1" t="str">
        <f t="shared" si="79"/>
        <v/>
      </c>
      <c r="BR204" s="1" t="str">
        <f t="shared" si="80"/>
        <v/>
      </c>
      <c r="BS204" s="1" t="str">
        <f t="shared" si="81"/>
        <v/>
      </c>
    </row>
    <row r="205" spans="48:71" x14ac:dyDescent="0.3">
      <c r="AV205" t="s">
        <v>1624</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Ots12</v>
      </c>
      <c r="BP205" s="1" t="str">
        <f t="shared" si="78"/>
        <v/>
      </c>
      <c r="BQ205" s="1" t="str">
        <f t="shared" si="79"/>
        <v/>
      </c>
      <c r="BR205" s="1" t="str">
        <f t="shared" si="80"/>
        <v/>
      </c>
      <c r="BS205" s="1" t="str">
        <f t="shared" si="81"/>
        <v/>
      </c>
    </row>
    <row r="206" spans="48:71" x14ac:dyDescent="0.3">
      <c r="AV206" t="s">
        <v>1694</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OTs14</v>
      </c>
      <c r="BP206" s="1" t="str">
        <f t="shared" si="78"/>
        <v/>
      </c>
      <c r="BQ206" s="1" t="str">
        <f t="shared" si="79"/>
        <v/>
      </c>
      <c r="BR206" s="1" t="str">
        <f t="shared" si="80"/>
        <v/>
      </c>
      <c r="BS206" s="1" t="str">
        <f t="shared" si="81"/>
        <v/>
      </c>
    </row>
    <row r="207" spans="48:71" x14ac:dyDescent="0.3">
      <c r="AV207" t="s">
        <v>71</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Ots44</v>
      </c>
      <c r="BP207" s="1" t="str">
        <f t="shared" si="78"/>
        <v/>
      </c>
      <c r="BQ207" s="1" t="str">
        <f t="shared" si="79"/>
        <v/>
      </c>
      <c r="BR207" s="1" t="str">
        <f t="shared" si="80"/>
        <v/>
      </c>
      <c r="BS207" s="1" t="str">
        <f t="shared" si="81"/>
        <v/>
      </c>
    </row>
    <row r="208" spans="48:71" x14ac:dyDescent="0.3">
      <c r="AV208" t="s">
        <v>197</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P08</v>
      </c>
      <c r="BP208" s="1" t="str">
        <f t="shared" si="78"/>
        <v/>
      </c>
      <c r="BQ208" s="1" t="str">
        <f t="shared" si="79"/>
        <v/>
      </c>
      <c r="BR208" s="1" t="str">
        <f t="shared" si="80"/>
        <v/>
      </c>
      <c r="BS208" s="1" t="str">
        <f t="shared" si="81"/>
        <v/>
      </c>
    </row>
    <row r="209" spans="48:71" x14ac:dyDescent="0.3">
      <c r="AV209" t="s">
        <v>69</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P22</v>
      </c>
      <c r="BP209" s="1" t="str">
        <f t="shared" si="78"/>
        <v/>
      </c>
      <c r="BQ209" s="1" t="str">
        <f t="shared" si="79"/>
        <v/>
      </c>
      <c r="BR209" s="1" t="str">
        <f t="shared" si="80"/>
        <v/>
      </c>
      <c r="BS209" s="1" t="str">
        <f t="shared" si="81"/>
        <v/>
      </c>
    </row>
    <row r="210" spans="48:71" x14ac:dyDescent="0.3">
      <c r="AV210" t="s">
        <v>122</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P38</v>
      </c>
      <c r="BP210" s="1" t="str">
        <f t="shared" si="78"/>
        <v/>
      </c>
      <c r="BQ210" s="1" t="str">
        <f t="shared" si="79"/>
        <v/>
      </c>
      <c r="BR210" s="1" t="str">
        <f t="shared" si="80"/>
        <v/>
      </c>
      <c r="BS210" s="1" t="str">
        <f t="shared" si="81"/>
        <v/>
      </c>
    </row>
    <row r="211" spans="48:71" x14ac:dyDescent="0.3">
      <c r="AV211" t="s">
        <v>190</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P7</v>
      </c>
      <c r="BP211" s="1" t="str">
        <f t="shared" si="78"/>
        <v/>
      </c>
      <c r="BQ211" s="1" t="str">
        <f t="shared" si="79"/>
        <v/>
      </c>
      <c r="BR211" s="1" t="str">
        <f t="shared" si="80"/>
        <v/>
      </c>
      <c r="BS211" s="1" t="str">
        <f t="shared" si="81"/>
        <v/>
      </c>
    </row>
    <row r="212" spans="48:71" x14ac:dyDescent="0.3">
      <c r="AV212" t="s">
        <v>129</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P90</v>
      </c>
      <c r="BP212" s="1" t="str">
        <f t="shared" si="78"/>
        <v/>
      </c>
      <c r="BQ212" s="1" t="str">
        <f t="shared" si="79"/>
        <v/>
      </c>
      <c r="BR212" s="1" t="str">
        <f t="shared" si="80"/>
        <v/>
      </c>
      <c r="BS212" s="1" t="str">
        <f t="shared" si="81"/>
        <v/>
      </c>
    </row>
    <row r="213" spans="48:71" x14ac:dyDescent="0.3">
      <c r="AV213" t="s">
        <v>1653</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P99</v>
      </c>
      <c r="BP213" s="1" t="str">
        <f t="shared" si="78"/>
        <v/>
      </c>
      <c r="BQ213" s="1" t="str">
        <f t="shared" si="79"/>
        <v/>
      </c>
      <c r="BR213" s="1" t="str">
        <f t="shared" si="80"/>
        <v/>
      </c>
      <c r="BS213" s="1" t="str">
        <f t="shared" si="81"/>
        <v/>
      </c>
    </row>
    <row r="214" spans="48:71" x14ac:dyDescent="0.3">
      <c r="AV214" t="s">
        <v>1393</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PA15</v>
      </c>
      <c r="BP214" s="1" t="str">
        <f t="shared" si="78"/>
        <v/>
      </c>
      <c r="BQ214" s="1" t="str">
        <f t="shared" si="79"/>
        <v/>
      </c>
      <c r="BR214" s="1" t="str">
        <f t="shared" si="80"/>
        <v/>
      </c>
      <c r="BS214" s="1" t="str">
        <f t="shared" si="81"/>
        <v/>
      </c>
    </row>
    <row r="215" spans="48:71" x14ac:dyDescent="0.3">
      <c r="AV215" t="s">
        <v>111</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Pekola</v>
      </c>
      <c r="BP215" s="1" t="str">
        <f t="shared" si="78"/>
        <v/>
      </c>
      <c r="BQ215" s="1" t="str">
        <f t="shared" si="79"/>
        <v/>
      </c>
      <c r="BR215" s="1" t="str">
        <f t="shared" si="80"/>
        <v/>
      </c>
      <c r="BS215" s="1" t="str">
        <f t="shared" si="81"/>
        <v/>
      </c>
    </row>
    <row r="216" spans="48:71" x14ac:dyDescent="0.3">
      <c r="AV216" t="s">
        <v>154</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PK</v>
      </c>
      <c r="BP216" s="1" t="str">
        <f t="shared" si="78"/>
        <v/>
      </c>
      <c r="BQ216" s="1" t="str">
        <f t="shared" si="79"/>
        <v/>
      </c>
      <c r="BR216" s="1" t="str">
        <f t="shared" si="80"/>
        <v/>
      </c>
      <c r="BS216" s="1" t="str">
        <f t="shared" si="81"/>
        <v/>
      </c>
    </row>
    <row r="217" spans="48:71" x14ac:dyDescent="0.3">
      <c r="AV217" t="s">
        <v>8375</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PKP</v>
      </c>
      <c r="BP217" s="1" t="str">
        <f t="shared" si="78"/>
        <v/>
      </c>
      <c r="BQ217" s="1" t="str">
        <f t="shared" si="79"/>
        <v/>
      </c>
      <c r="BR217" s="1" t="str">
        <f t="shared" si="80"/>
        <v/>
      </c>
      <c r="BS217" s="1" t="str">
        <f t="shared" si="81"/>
        <v/>
      </c>
    </row>
    <row r="218" spans="48:71" x14ac:dyDescent="0.3">
      <c r="AV218" t="s">
        <v>1684</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PKPGZ</v>
      </c>
      <c r="BP218" s="1" t="str">
        <f t="shared" si="78"/>
        <v/>
      </c>
      <c r="BQ218" s="1" t="str">
        <f t="shared" si="79"/>
        <v/>
      </c>
      <c r="BR218" s="1" t="str">
        <f t="shared" si="80"/>
        <v/>
      </c>
      <c r="BS218" s="1" t="str">
        <f t="shared" si="81"/>
        <v/>
      </c>
    </row>
    <row r="219" spans="48:71" x14ac:dyDescent="0.3">
      <c r="AV219" t="s">
        <v>1133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PP19Mod</v>
      </c>
      <c r="BP219" s="1" t="str">
        <f t="shared" si="78"/>
        <v/>
      </c>
      <c r="BQ219" s="1" t="str">
        <f t="shared" si="79"/>
        <v/>
      </c>
      <c r="BR219" s="1" t="str">
        <f t="shared" si="80"/>
        <v/>
      </c>
      <c r="BS219" s="1" t="str">
        <f t="shared" si="81"/>
        <v/>
      </c>
    </row>
    <row r="220" spans="48:71" x14ac:dyDescent="0.3">
      <c r="AV220" t="s">
        <v>1611</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PP2000</v>
      </c>
      <c r="BP220" s="1" t="str">
        <f t="shared" si="78"/>
        <v/>
      </c>
      <c r="BQ220" s="1" t="str">
        <f t="shared" si="79"/>
        <v/>
      </c>
      <c r="BR220" s="1" t="str">
        <f t="shared" si="80"/>
        <v/>
      </c>
      <c r="BS220" s="1" t="str">
        <f t="shared" si="81"/>
        <v/>
      </c>
    </row>
    <row r="221" spans="48:71" x14ac:dyDescent="0.3">
      <c r="AV221" t="s">
        <v>70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PP90</v>
      </c>
      <c r="BP221" s="1" t="str">
        <f t="shared" si="78"/>
        <v/>
      </c>
      <c r="BQ221" s="1" t="str">
        <f t="shared" si="79"/>
        <v/>
      </c>
      <c r="BR221" s="1" t="str">
        <f t="shared" si="80"/>
        <v/>
      </c>
      <c r="BS221" s="1" t="str">
        <f t="shared" si="81"/>
        <v/>
      </c>
    </row>
    <row r="222" spans="48:71" x14ac:dyDescent="0.3">
      <c r="AV222" t="s">
        <v>6462</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PPK</v>
      </c>
      <c r="BP222" s="1" t="str">
        <f t="shared" si="78"/>
        <v/>
      </c>
      <c r="BQ222" s="1" t="str">
        <f t="shared" si="79"/>
        <v/>
      </c>
      <c r="BR222" s="1" t="str">
        <f t="shared" si="80"/>
        <v/>
      </c>
      <c r="BS222" s="1" t="str">
        <f t="shared" si="81"/>
        <v/>
      </c>
    </row>
    <row r="223" spans="48:71" x14ac:dyDescent="0.3">
      <c r="AV223" t="s">
        <v>7587</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PPKMod</v>
      </c>
      <c r="BP223" s="1" t="str">
        <f t="shared" si="78"/>
        <v/>
      </c>
      <c r="BQ223" s="1" t="str">
        <f t="shared" si="79"/>
        <v/>
      </c>
      <c r="BR223" s="1" t="str">
        <f t="shared" si="80"/>
        <v/>
      </c>
      <c r="BS223" s="1" t="str">
        <f t="shared" si="81"/>
        <v/>
      </c>
    </row>
    <row r="224" spans="48:71" x14ac:dyDescent="0.3">
      <c r="AV224" t="s">
        <v>904</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PPKModGZ</v>
      </c>
      <c r="BP224" s="1" t="str">
        <f t="shared" si="78"/>
        <v/>
      </c>
      <c r="BQ224" s="1" t="str">
        <f t="shared" si="79"/>
        <v/>
      </c>
      <c r="BR224" s="1" t="str">
        <f t="shared" si="80"/>
        <v/>
      </c>
      <c r="BS224" s="1" t="str">
        <f t="shared" si="81"/>
        <v/>
      </c>
    </row>
    <row r="225" spans="48:71" x14ac:dyDescent="0.3">
      <c r="AV225" t="s">
        <v>5720</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PPSh41</v>
      </c>
      <c r="BP225" s="1" t="str">
        <f t="shared" si="78"/>
        <v/>
      </c>
      <c r="BQ225" s="1" t="str">
        <f t="shared" si="79"/>
        <v/>
      </c>
      <c r="BR225" s="1" t="str">
        <f t="shared" si="80"/>
        <v/>
      </c>
      <c r="BS225" s="1" t="str">
        <f t="shared" si="81"/>
        <v/>
      </c>
    </row>
    <row r="226" spans="48:71" x14ac:dyDescent="0.3">
      <c r="AV226" t="s">
        <v>7588</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PPsh41Mod</v>
      </c>
      <c r="BP226" s="1" t="str">
        <f t="shared" si="78"/>
        <v/>
      </c>
      <c r="BQ226" s="1" t="str">
        <f t="shared" si="79"/>
        <v/>
      </c>
      <c r="BR226" s="1" t="str">
        <f t="shared" si="80"/>
        <v/>
      </c>
      <c r="BS226" s="1" t="str">
        <f t="shared" si="81"/>
        <v/>
      </c>
    </row>
    <row r="227" spans="48:71" x14ac:dyDescent="0.3">
      <c r="AV227" t="s">
        <v>91</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PPSh41ModGZ</v>
      </c>
      <c r="BP227" s="1" t="str">
        <f t="shared" si="78"/>
        <v/>
      </c>
      <c r="BQ227" s="1" t="str">
        <f t="shared" si="79"/>
        <v/>
      </c>
      <c r="BR227" s="1" t="str">
        <f t="shared" si="80"/>
        <v/>
      </c>
      <c r="BS227" s="1" t="str">
        <f t="shared" si="81"/>
        <v/>
      </c>
    </row>
    <row r="228" spans="48:71" x14ac:dyDescent="0.3">
      <c r="AV228" t="s">
        <v>186</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PTRD</v>
      </c>
      <c r="BP228" s="1" t="str">
        <f t="shared" si="78"/>
        <v/>
      </c>
      <c r="BQ228" s="1" t="str">
        <f t="shared" si="79"/>
        <v/>
      </c>
      <c r="BR228" s="1" t="str">
        <f t="shared" si="80"/>
        <v/>
      </c>
      <c r="BS228" s="1" t="str">
        <f t="shared" si="81"/>
        <v/>
      </c>
    </row>
    <row r="229" spans="48:71" x14ac:dyDescent="0.3">
      <c r="AV229" t="s">
        <v>8094</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Px4 Storm</v>
      </c>
      <c r="BP229" s="1" t="str">
        <f t="shared" si="78"/>
        <v/>
      </c>
      <c r="BQ229" s="1" t="str">
        <f t="shared" si="79"/>
        <v/>
      </c>
      <c r="BR229" s="1" t="str">
        <f t="shared" si="80"/>
        <v/>
      </c>
      <c r="BS229" s="1" t="str">
        <f t="shared" si="81"/>
        <v/>
      </c>
    </row>
    <row r="230" spans="48:71" x14ac:dyDescent="0.3">
      <c r="AV230" t="s">
        <v>64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Px4 StormMod</v>
      </c>
      <c r="BP230" s="1" t="str">
        <f t="shared" si="78"/>
        <v/>
      </c>
      <c r="BQ230" s="1" t="str">
        <f t="shared" si="79"/>
        <v/>
      </c>
      <c r="BR230" s="1" t="str">
        <f t="shared" si="80"/>
        <v/>
      </c>
      <c r="BS230" s="1" t="str">
        <f t="shared" si="81"/>
        <v/>
      </c>
    </row>
    <row r="231" spans="48:71" x14ac:dyDescent="0.3">
      <c r="AV231" t="s">
        <v>159</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Python</v>
      </c>
      <c r="BP231" s="1" t="str">
        <f t="shared" si="78"/>
        <v/>
      </c>
      <c r="BQ231" s="1" t="str">
        <f t="shared" si="79"/>
        <v/>
      </c>
      <c r="BR231" s="1" t="str">
        <f t="shared" si="80"/>
        <v/>
      </c>
      <c r="BS231" s="1" t="str">
        <f t="shared" si="81"/>
        <v/>
      </c>
    </row>
    <row r="232" spans="48:71" x14ac:dyDescent="0.3">
      <c r="AV232" t="s">
        <v>1654</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PzB39</v>
      </c>
      <c r="BP232" s="1" t="str">
        <f t="shared" si="78"/>
        <v/>
      </c>
      <c r="BQ232" s="1" t="str">
        <f t="shared" si="79"/>
        <v/>
      </c>
      <c r="BR232" s="1" t="str">
        <f t="shared" si="80"/>
        <v/>
      </c>
      <c r="BS232" s="1" t="str">
        <f t="shared" si="81"/>
        <v/>
      </c>
    </row>
    <row r="233" spans="48:71" x14ac:dyDescent="0.3">
      <c r="AV233" t="s">
        <v>8431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QBU88</v>
      </c>
      <c r="BP233" s="1" t="str">
        <f t="shared" si="78"/>
        <v/>
      </c>
      <c r="BQ233" s="1" t="str">
        <f t="shared" si="79"/>
        <v/>
      </c>
      <c r="BR233" s="1" t="str">
        <f t="shared" si="80"/>
        <v/>
      </c>
      <c r="BS233" s="1" t="str">
        <f t="shared" si="81"/>
        <v/>
      </c>
    </row>
    <row r="234" spans="48:71" x14ac:dyDescent="0.3">
      <c r="AV234" t="s">
        <v>229</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Rex Zero 1Mod</v>
      </c>
      <c r="BP234" s="1" t="str">
        <f t="shared" si="78"/>
        <v/>
      </c>
      <c r="BQ234" s="1" t="str">
        <f t="shared" si="79"/>
        <v/>
      </c>
      <c r="BR234" s="1" t="str">
        <f t="shared" si="80"/>
        <v/>
      </c>
      <c r="BS234" s="1" t="str">
        <f t="shared" si="81"/>
        <v/>
      </c>
    </row>
    <row r="235" spans="48:71" x14ac:dyDescent="0.3">
      <c r="AV235" t="s">
        <v>8622</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RFB</v>
      </c>
      <c r="BP235" s="1" t="str">
        <f t="shared" si="78"/>
        <v/>
      </c>
      <c r="BQ235" s="1" t="str">
        <f t="shared" si="79"/>
        <v/>
      </c>
      <c r="BR235" s="1" t="str">
        <f t="shared" si="80"/>
        <v/>
      </c>
      <c r="BS235" s="1" t="str">
        <f t="shared" si="81"/>
        <v/>
      </c>
    </row>
    <row r="236" spans="48:71" x14ac:dyDescent="0.3">
      <c r="AV236" t="s">
        <v>1754</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RFBGZ</v>
      </c>
      <c r="BP236" s="1" t="str">
        <f t="shared" si="78"/>
        <v/>
      </c>
      <c r="BQ236" s="1" t="str">
        <f t="shared" si="79"/>
        <v/>
      </c>
      <c r="BR236" s="1" t="str">
        <f t="shared" si="80"/>
        <v/>
      </c>
      <c r="BS236" s="1" t="str">
        <f t="shared" si="81"/>
        <v/>
      </c>
    </row>
    <row r="237" spans="48:71" x14ac:dyDescent="0.3">
      <c r="AV237" t="s">
        <v>248</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Ribeyrolles1918Mod</v>
      </c>
      <c r="BP237" s="1" t="str">
        <f t="shared" si="78"/>
        <v/>
      </c>
      <c r="BQ237" s="1" t="str">
        <f t="shared" si="79"/>
        <v/>
      </c>
      <c r="BR237" s="1" t="str">
        <f t="shared" si="80"/>
        <v/>
      </c>
      <c r="BS237" s="1" t="str">
        <f t="shared" si="81"/>
        <v/>
      </c>
    </row>
    <row r="238" spans="48:71" x14ac:dyDescent="0.3">
      <c r="AV238" t="s">
        <v>927</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Rico</v>
      </c>
      <c r="BP238" s="1" t="str">
        <f t="shared" si="78"/>
        <v/>
      </c>
      <c r="BQ238" s="1" t="str">
        <f t="shared" si="79"/>
        <v/>
      </c>
      <c r="BR238" s="1" t="str">
        <f t="shared" si="80"/>
        <v/>
      </c>
      <c r="BS238" s="1" t="str">
        <f t="shared" si="81"/>
        <v/>
      </c>
    </row>
    <row r="239" spans="48:71" x14ac:dyDescent="0.3">
      <c r="AV239" t="s">
        <v>825</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RMB93Mod</v>
      </c>
      <c r="BP239" s="1" t="str">
        <f t="shared" si="78"/>
        <v/>
      </c>
      <c r="BQ239" s="1" t="str">
        <f t="shared" si="79"/>
        <v/>
      </c>
      <c r="BR239" s="1" t="str">
        <f t="shared" si="80"/>
        <v/>
      </c>
      <c r="BS239" s="1" t="str">
        <f t="shared" si="81"/>
        <v/>
      </c>
    </row>
    <row r="240" spans="48:71" x14ac:dyDescent="0.3">
      <c r="AV240" t="s">
        <v>8171</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RO635Mod</v>
      </c>
      <c r="BP240" s="1" t="str">
        <f t="shared" si="78"/>
        <v/>
      </c>
      <c r="BQ240" s="1" t="str">
        <f t="shared" si="79"/>
        <v/>
      </c>
      <c r="BR240" s="1" t="str">
        <f t="shared" si="80"/>
        <v/>
      </c>
      <c r="BS240" s="1" t="str">
        <f t="shared" si="81"/>
        <v/>
      </c>
    </row>
    <row r="241" spans="48:71" x14ac:dyDescent="0.3">
      <c r="AV241" t="s">
        <v>110</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RO635ModGZ</v>
      </c>
      <c r="BP241" s="1" t="str">
        <f t="shared" si="78"/>
        <v/>
      </c>
      <c r="BQ241" s="1" t="str">
        <f t="shared" si="79"/>
        <v/>
      </c>
      <c r="BR241" s="1" t="str">
        <f t="shared" si="80"/>
        <v/>
      </c>
      <c r="BS241" s="1" t="str">
        <f t="shared" si="81"/>
        <v/>
      </c>
    </row>
    <row r="242" spans="48:71" x14ac:dyDescent="0.3">
      <c r="AV242" t="s">
        <v>266</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RPD</v>
      </c>
      <c r="BP242" s="1" t="str">
        <f t="shared" si="78"/>
        <v/>
      </c>
      <c r="BQ242" s="1" t="str">
        <f t="shared" si="79"/>
        <v/>
      </c>
      <c r="BR242" s="1" t="str">
        <f t="shared" si="80"/>
        <v/>
      </c>
      <c r="BS242" s="1" t="str">
        <f t="shared" si="81"/>
        <v/>
      </c>
    </row>
    <row r="243" spans="48:71" x14ac:dyDescent="0.3">
      <c r="AV243" t="s">
        <v>8623</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SAAMod</v>
      </c>
      <c r="BP243" s="1" t="str">
        <f t="shared" si="78"/>
        <v/>
      </c>
      <c r="BQ243" s="1" t="str">
        <f t="shared" si="79"/>
        <v/>
      </c>
      <c r="BR243" s="1" t="str">
        <f t="shared" si="80"/>
        <v/>
      </c>
      <c r="BS243" s="1" t="str">
        <f t="shared" si="81"/>
        <v/>
      </c>
    </row>
    <row r="244" spans="48:71" x14ac:dyDescent="0.3">
      <c r="AV244" t="s">
        <v>1634</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SAAModGZ</v>
      </c>
      <c r="BP244" s="1" t="str">
        <f t="shared" si="78"/>
        <v/>
      </c>
      <c r="BQ244" s="1" t="str">
        <f t="shared" si="79"/>
        <v/>
      </c>
      <c r="BR244" s="1" t="str">
        <f t="shared" si="80"/>
        <v/>
      </c>
      <c r="BS244" s="1" t="str">
        <f t="shared" si="81"/>
        <v/>
      </c>
    </row>
    <row r="245" spans="48:71" x14ac:dyDescent="0.3">
      <c r="AV245" t="s">
        <v>7019</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Saiga12</v>
      </c>
      <c r="BP245" s="1" t="str">
        <f t="shared" si="78"/>
        <v/>
      </c>
      <c r="BQ245" s="1" t="str">
        <f t="shared" si="79"/>
        <v/>
      </c>
      <c r="BR245" s="1" t="str">
        <f t="shared" si="80"/>
        <v/>
      </c>
      <c r="BS245" s="1" t="str">
        <f t="shared" si="81"/>
        <v/>
      </c>
    </row>
    <row r="246" spans="48:71" x14ac:dyDescent="0.3">
      <c r="AV246" t="s">
        <v>235</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Saki</v>
      </c>
      <c r="BP246" s="1" t="str">
        <f t="shared" si="78"/>
        <v/>
      </c>
      <c r="BQ246" s="1" t="str">
        <f t="shared" si="79"/>
        <v/>
      </c>
      <c r="BR246" s="1" t="str">
        <f t="shared" si="80"/>
        <v/>
      </c>
      <c r="BS246" s="1" t="str">
        <f t="shared" si="81"/>
        <v/>
      </c>
    </row>
    <row r="247" spans="48:71" x14ac:dyDescent="0.3">
      <c r="AV247" t="s">
        <v>6893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Sakura</v>
      </c>
      <c r="BP247" s="1" t="str">
        <f t="shared" si="78"/>
        <v/>
      </c>
      <c r="BQ247" s="1" t="str">
        <f t="shared" si="79"/>
        <v/>
      </c>
      <c r="BR247" s="1" t="str">
        <f t="shared" si="80"/>
        <v/>
      </c>
      <c r="BS247" s="1" t="str">
        <f t="shared" si="81"/>
        <v/>
      </c>
    </row>
    <row r="248" spans="48:71" x14ac:dyDescent="0.3">
      <c r="AV248" t="s">
        <v>6901</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SCAR-H</v>
      </c>
      <c r="BP248" s="1" t="str">
        <f t="shared" si="78"/>
        <v/>
      </c>
      <c r="BQ248" s="1" t="str">
        <f t="shared" si="79"/>
        <v/>
      </c>
      <c r="BR248" s="1" t="str">
        <f t="shared" si="80"/>
        <v/>
      </c>
      <c r="BS248" s="1" t="str">
        <f t="shared" si="81"/>
        <v/>
      </c>
    </row>
    <row r="249" spans="48:71" x14ac:dyDescent="0.3">
      <c r="AV249" t="s">
        <v>750</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SCAR-L</v>
      </c>
      <c r="BP249" s="1" t="str">
        <f t="shared" si="78"/>
        <v/>
      </c>
      <c r="BQ249" s="1" t="str">
        <f t="shared" si="79"/>
        <v/>
      </c>
      <c r="BR249" s="1" t="str">
        <f t="shared" si="80"/>
        <v/>
      </c>
      <c r="BS249" s="1" t="str">
        <f t="shared" si="81"/>
        <v/>
      </c>
    </row>
    <row r="250" spans="48:71" x14ac:dyDescent="0.3">
      <c r="AV250" t="s">
        <v>731</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SCW</v>
      </c>
      <c r="BP250" s="1" t="str">
        <f t="shared" si="78"/>
        <v/>
      </c>
      <c r="BQ250" s="1" t="str">
        <f t="shared" si="79"/>
        <v/>
      </c>
      <c r="BR250" s="1" t="str">
        <f t="shared" si="80"/>
        <v/>
      </c>
      <c r="BS250" s="1" t="str">
        <f t="shared" si="81"/>
        <v/>
      </c>
    </row>
    <row r="251" spans="48:71" x14ac:dyDescent="0.3">
      <c r="AV251" t="s">
        <v>749</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Sei</v>
      </c>
      <c r="BP251" s="1" t="str">
        <f t="shared" si="78"/>
        <v/>
      </c>
      <c r="BQ251" s="1" t="str">
        <f t="shared" si="79"/>
        <v/>
      </c>
      <c r="BR251" s="1" t="str">
        <f t="shared" si="80"/>
        <v/>
      </c>
      <c r="BS251" s="1" t="str">
        <f t="shared" si="81"/>
        <v/>
      </c>
    </row>
    <row r="252" spans="48:71" x14ac:dyDescent="0.3">
      <c r="AV252" t="s">
        <v>144</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Serdyukov</v>
      </c>
      <c r="BP252" s="1" t="str">
        <f t="shared" si="78"/>
        <v/>
      </c>
      <c r="BQ252" s="1" t="str">
        <f t="shared" si="79"/>
        <v/>
      </c>
      <c r="BR252" s="1" t="str">
        <f t="shared" si="80"/>
        <v/>
      </c>
      <c r="BS252" s="1" t="str">
        <f t="shared" si="81"/>
        <v/>
      </c>
    </row>
    <row r="253" spans="48:71" x14ac:dyDescent="0.3">
      <c r="AV253" t="s">
        <v>744</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Shipka</v>
      </c>
      <c r="BP253" s="1" t="str">
        <f t="shared" si="78"/>
        <v/>
      </c>
      <c r="BQ253" s="1" t="str">
        <f t="shared" si="79"/>
        <v/>
      </c>
      <c r="BR253" s="1" t="str">
        <f t="shared" si="80"/>
        <v/>
      </c>
      <c r="BS253" s="1" t="str">
        <f t="shared" si="81"/>
        <v/>
      </c>
    </row>
    <row r="254" spans="48:71" x14ac:dyDescent="0.3">
      <c r="AV254" t="s">
        <v>81</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SIG510</v>
      </c>
      <c r="BP254" s="1" t="str">
        <f t="shared" si="78"/>
        <v/>
      </c>
      <c r="BQ254" s="1" t="str">
        <f t="shared" si="79"/>
        <v/>
      </c>
      <c r="BR254" s="1" t="str">
        <f t="shared" si="80"/>
        <v/>
      </c>
      <c r="BS254" s="1" t="str">
        <f t="shared" si="81"/>
        <v/>
      </c>
    </row>
    <row r="255" spans="48:71" x14ac:dyDescent="0.3">
      <c r="AV255" t="s">
        <v>794</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Skorpion</v>
      </c>
      <c r="BP255" s="1" t="str">
        <f t="shared" si="78"/>
        <v/>
      </c>
      <c r="BQ255" s="1" t="str">
        <f t="shared" si="79"/>
        <v/>
      </c>
      <c r="BR255" s="1" t="str">
        <f t="shared" si="80"/>
        <v/>
      </c>
      <c r="BS255" s="1" t="str">
        <f t="shared" si="81"/>
        <v/>
      </c>
    </row>
    <row r="256" spans="48:71" x14ac:dyDescent="0.3">
      <c r="AV256" t="s">
        <v>8489</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SL8</v>
      </c>
      <c r="BP256" s="1" t="str">
        <f t="shared" si="78"/>
        <v/>
      </c>
      <c r="BQ256" s="1" t="str">
        <f t="shared" si="79"/>
        <v/>
      </c>
      <c r="BR256" s="1" t="str">
        <f t="shared" si="80"/>
        <v/>
      </c>
      <c r="BS256" s="1" t="str">
        <f t="shared" si="81"/>
        <v/>
      </c>
    </row>
    <row r="257" spans="48:71" x14ac:dyDescent="0.3">
      <c r="AV257" t="s">
        <v>116</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SPAS12Mod</v>
      </c>
      <c r="BP257" s="1" t="str">
        <f t="shared" si="78"/>
        <v/>
      </c>
      <c r="BQ257" s="1" t="str">
        <f t="shared" si="79"/>
        <v/>
      </c>
      <c r="BR257" s="1" t="str">
        <f t="shared" si="80"/>
        <v/>
      </c>
      <c r="BS257" s="1" t="str">
        <f t="shared" si="81"/>
        <v/>
      </c>
    </row>
    <row r="258" spans="48:71" x14ac:dyDescent="0.3">
      <c r="AV258" t="s">
        <v>87</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Spectre M4</v>
      </c>
      <c r="BP258" s="1" t="str">
        <f t="shared" si="78"/>
        <v/>
      </c>
      <c r="BQ258" s="1" t="str">
        <f t="shared" si="79"/>
        <v/>
      </c>
      <c r="BR258" s="1" t="str">
        <f t="shared" si="80"/>
        <v/>
      </c>
      <c r="BS258" s="1" t="str">
        <f t="shared" si="81"/>
        <v/>
      </c>
    </row>
    <row r="259" spans="48:71" x14ac:dyDescent="0.3">
      <c r="AV259" t="s">
        <v>1626</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Springfield</v>
      </c>
      <c r="BP259" s="1" t="str">
        <f t="shared" si="78"/>
        <v/>
      </c>
      <c r="BQ259" s="1" t="str">
        <f t="shared" si="79"/>
        <v/>
      </c>
      <c r="BR259" s="1" t="str">
        <f t="shared" si="80"/>
        <v/>
      </c>
      <c r="BS259" s="1" t="str">
        <f t="shared" si="81"/>
        <v/>
      </c>
    </row>
    <row r="260" spans="48:71" x14ac:dyDescent="0.3">
      <c r="AV260" t="s">
        <v>8446</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SR3MP</v>
      </c>
      <c r="BP260" s="1" t="str">
        <f t="shared" si="83"/>
        <v/>
      </c>
      <c r="BQ260" s="1" t="str">
        <f t="shared" si="83"/>
        <v/>
      </c>
      <c r="BR260" s="1" t="str">
        <f t="shared" si="83"/>
        <v/>
      </c>
      <c r="BS260" s="1" t="str">
        <f t="shared" si="83"/>
        <v/>
      </c>
    </row>
    <row r="261" spans="48:71" x14ac:dyDescent="0.3">
      <c r="AV261" t="s">
        <v>100</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SR3MPGZ</v>
      </c>
      <c r="BP261" s="1" t="str">
        <f t="shared" si="83"/>
        <v/>
      </c>
      <c r="BQ261" s="1" t="str">
        <f t="shared" si="83"/>
        <v/>
      </c>
      <c r="BR261" s="1" t="str">
        <f t="shared" si="83"/>
        <v/>
      </c>
      <c r="BS261" s="1" t="str">
        <f t="shared" si="83"/>
        <v/>
      </c>
    </row>
    <row r="262" spans="48:71" x14ac:dyDescent="0.3">
      <c r="AV262" t="s">
        <v>1682</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ST AR-15</v>
      </c>
      <c r="BP262" s="1" t="str">
        <f t="shared" si="83"/>
        <v/>
      </c>
      <c r="BQ262" s="1" t="str">
        <f t="shared" si="83"/>
        <v/>
      </c>
      <c r="BR262" s="1" t="str">
        <f t="shared" si="83"/>
        <v/>
      </c>
      <c r="BS262" s="1" t="str">
        <f t="shared" si="83"/>
        <v/>
      </c>
    </row>
    <row r="263" spans="48:71" x14ac:dyDescent="0.3">
      <c r="AV263" t="s">
        <v>7590</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ST AR15Mod</v>
      </c>
      <c r="BP263" s="1" t="str">
        <f t="shared" si="83"/>
        <v/>
      </c>
      <c r="BQ263" s="1" t="str">
        <f t="shared" si="83"/>
        <v/>
      </c>
      <c r="BR263" s="1" t="str">
        <f t="shared" si="83"/>
        <v/>
      </c>
      <c r="BS263" s="1" t="str">
        <f t="shared" si="83"/>
        <v/>
      </c>
    </row>
    <row r="264" spans="48:71" x14ac:dyDescent="0.3">
      <c r="AV264" t="s">
        <v>67</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ST AR15ModGZ</v>
      </c>
      <c r="BP264" s="1" t="str">
        <f t="shared" si="83"/>
        <v/>
      </c>
      <c r="BQ264" s="1" t="str">
        <f t="shared" si="83"/>
        <v/>
      </c>
      <c r="BR264" s="1" t="str">
        <f t="shared" si="83"/>
        <v/>
      </c>
      <c r="BS264" s="1" t="str">
        <f t="shared" si="83"/>
        <v/>
      </c>
    </row>
    <row r="265" spans="48:71" x14ac:dyDescent="0.3">
      <c r="AV265" t="s">
        <v>739</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Stechkin</v>
      </c>
      <c r="BP265" s="1" t="str">
        <f t="shared" si="83"/>
        <v/>
      </c>
      <c r="BQ265" s="1" t="str">
        <f t="shared" si="83"/>
        <v/>
      </c>
      <c r="BR265" s="1" t="str">
        <f t="shared" si="83"/>
        <v/>
      </c>
      <c r="BS265" s="1" t="str">
        <f t="shared" si="83"/>
        <v/>
      </c>
    </row>
    <row r="266" spans="48:71" x14ac:dyDescent="0.3">
      <c r="AV266" t="s">
        <v>7591</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StechkinMod</v>
      </c>
      <c r="BP266" s="1" t="str">
        <f t="shared" si="83"/>
        <v/>
      </c>
      <c r="BQ266" s="1" t="str">
        <f t="shared" si="83"/>
        <v/>
      </c>
      <c r="BR266" s="1" t="str">
        <f t="shared" si="83"/>
        <v/>
      </c>
      <c r="BS266" s="1" t="str">
        <f t="shared" si="83"/>
        <v/>
      </c>
    </row>
    <row r="267" spans="48:71" x14ac:dyDescent="0.3">
      <c r="AV267" t="s">
        <v>736</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StechkinModGZ</v>
      </c>
      <c r="BP267" s="1" t="str">
        <f t="shared" si="83"/>
        <v/>
      </c>
      <c r="BQ267" s="1" t="str">
        <f t="shared" si="83"/>
        <v/>
      </c>
      <c r="BR267" s="1" t="str">
        <f t="shared" si="83"/>
        <v/>
      </c>
      <c r="BS267" s="1" t="str">
        <f t="shared" si="83"/>
        <v/>
      </c>
    </row>
    <row r="268" spans="48:71" x14ac:dyDescent="0.3">
      <c r="AV268" t="s">
        <v>828</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Stella</v>
      </c>
      <c r="BP268" s="1" t="str">
        <f t="shared" si="83"/>
        <v/>
      </c>
      <c r="BQ268" s="1" t="str">
        <f t="shared" si="83"/>
        <v/>
      </c>
      <c r="BR268" s="1" t="str">
        <f t="shared" si="83"/>
        <v/>
      </c>
      <c r="BS268" s="1" t="str">
        <f t="shared" si="83"/>
        <v/>
      </c>
    </row>
    <row r="269" spans="48:71" x14ac:dyDescent="0.3">
      <c r="AV269" t="s">
        <v>8433</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STEN MkIIMod</v>
      </c>
      <c r="BP269" s="1" t="str">
        <f t="shared" si="83"/>
        <v/>
      </c>
      <c r="BQ269" s="1" t="str">
        <f t="shared" si="83"/>
        <v/>
      </c>
      <c r="BR269" s="1" t="str">
        <f t="shared" si="83"/>
        <v/>
      </c>
      <c r="BS269" s="1" t="str">
        <f t="shared" si="83"/>
        <v/>
      </c>
    </row>
    <row r="270" spans="48:71" x14ac:dyDescent="0.3">
      <c r="AV270" t="s">
        <v>725</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STEN MkIIModGZ</v>
      </c>
      <c r="BP270" s="1" t="str">
        <f t="shared" si="83"/>
        <v/>
      </c>
      <c r="BQ270" s="1" t="str">
        <f t="shared" si="83"/>
        <v/>
      </c>
      <c r="BR270" s="1" t="str">
        <f t="shared" si="83"/>
        <v/>
      </c>
      <c r="BS270" s="1" t="str">
        <f t="shared" si="83"/>
        <v/>
      </c>
    </row>
    <row r="271" spans="48:71" x14ac:dyDescent="0.3">
      <c r="AV271" t="s">
        <v>8445</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Stg44Mod</v>
      </c>
      <c r="BP271" s="1" t="str">
        <f t="shared" si="83"/>
        <v/>
      </c>
      <c r="BQ271" s="1" t="str">
        <f t="shared" si="83"/>
        <v/>
      </c>
      <c r="BR271" s="1" t="str">
        <f t="shared" si="83"/>
        <v/>
      </c>
      <c r="BS271" s="1" t="str">
        <f t="shared" si="83"/>
        <v/>
      </c>
    </row>
    <row r="272" spans="48:71" x14ac:dyDescent="0.3">
      <c r="AV272" t="s">
        <v>127</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StG44ModGZ</v>
      </c>
      <c r="BP272" s="1" t="str">
        <f t="shared" si="83"/>
        <v/>
      </c>
      <c r="BQ272" s="1" t="str">
        <f t="shared" si="83"/>
        <v/>
      </c>
      <c r="BR272" s="1" t="str">
        <f t="shared" si="83"/>
        <v/>
      </c>
      <c r="BS272" s="1" t="str">
        <f t="shared" si="83"/>
        <v/>
      </c>
    </row>
    <row r="273" spans="48:71" x14ac:dyDescent="0.3">
      <c r="AV273" t="s">
        <v>6508</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Suomi</v>
      </c>
      <c r="BP273" s="1" t="str">
        <f t="shared" si="83"/>
        <v/>
      </c>
      <c r="BQ273" s="1" t="str">
        <f t="shared" si="83"/>
        <v/>
      </c>
      <c r="BR273" s="1" t="str">
        <f t="shared" si="83"/>
        <v/>
      </c>
      <c r="BS273" s="1" t="str">
        <f t="shared" si="83"/>
        <v/>
      </c>
    </row>
    <row r="274" spans="48:71" x14ac:dyDescent="0.3">
      <c r="AV274" t="s">
        <v>832</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SuomiMod</v>
      </c>
      <c r="BP274" s="1" t="str">
        <f t="shared" si="83"/>
        <v/>
      </c>
      <c r="BQ274" s="1" t="str">
        <f t="shared" si="83"/>
        <v/>
      </c>
      <c r="BR274" s="1" t="str">
        <f t="shared" si="83"/>
        <v/>
      </c>
      <c r="BS274" s="1" t="str">
        <f t="shared" si="83"/>
        <v/>
      </c>
    </row>
    <row r="275" spans="48:71" x14ac:dyDescent="0.3">
      <c r="AV275" t="s">
        <v>1680</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Super SASSMod</v>
      </c>
      <c r="BP275" s="1" t="str">
        <f t="shared" si="83"/>
        <v/>
      </c>
      <c r="BQ275" s="1" t="str">
        <f t="shared" si="83"/>
        <v/>
      </c>
      <c r="BR275" s="1" t="str">
        <f t="shared" si="83"/>
        <v/>
      </c>
      <c r="BS275" s="1" t="str">
        <f t="shared" si="83"/>
        <v/>
      </c>
    </row>
    <row r="276" spans="48:71" x14ac:dyDescent="0.3">
      <c r="AV276" t="s">
        <v>8376</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SV98Mod</v>
      </c>
      <c r="BP276" s="1" t="str">
        <f t="shared" si="85"/>
        <v/>
      </c>
      <c r="BQ276" s="1" t="str">
        <f t="shared" si="85"/>
        <v/>
      </c>
      <c r="BR276" s="1" t="str">
        <f t="shared" si="85"/>
        <v/>
      </c>
      <c r="BS276" s="1" t="str">
        <f t="shared" si="85"/>
        <v/>
      </c>
    </row>
    <row r="277" spans="48:71" x14ac:dyDescent="0.3">
      <c r="AV277" t="s">
        <v>92</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SV98ModGZ</v>
      </c>
      <c r="BP277" s="1" t="str">
        <f t="shared" si="85"/>
        <v/>
      </c>
      <c r="BQ277" s="1" t="str">
        <f t="shared" si="85"/>
        <v/>
      </c>
      <c r="BR277" s="1" t="str">
        <f t="shared" si="85"/>
        <v/>
      </c>
      <c r="BS277" s="1" t="str">
        <f t="shared" si="85"/>
        <v/>
      </c>
    </row>
    <row r="278" spans="48:71" x14ac:dyDescent="0.3">
      <c r="AV278" t="s">
        <v>1612</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SVD</v>
      </c>
      <c r="BP278" s="1" t="str">
        <f t="shared" si="85"/>
        <v/>
      </c>
      <c r="BQ278" s="1" t="str">
        <f t="shared" si="85"/>
        <v/>
      </c>
      <c r="BR278" s="1" t="str">
        <f t="shared" si="85"/>
        <v/>
      </c>
      <c r="BS278" s="1" t="str">
        <f t="shared" si="85"/>
        <v/>
      </c>
    </row>
    <row r="279" spans="48:71" x14ac:dyDescent="0.3">
      <c r="AV279" t="s">
        <v>181</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SVT38</v>
      </c>
      <c r="BP279" s="1" t="str">
        <f t="shared" si="85"/>
        <v/>
      </c>
      <c r="BQ279" s="1" t="str">
        <f t="shared" si="85"/>
        <v/>
      </c>
      <c r="BR279" s="1" t="str">
        <f t="shared" si="85"/>
        <v/>
      </c>
      <c r="BS279" s="1" t="str">
        <f t="shared" si="85"/>
        <v/>
      </c>
    </row>
    <row r="280" spans="48:71" x14ac:dyDescent="0.3">
      <c r="AV280" t="s">
        <v>1237</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T77</v>
      </c>
      <c r="BP280" s="1" t="str">
        <f t="shared" si="85"/>
        <v/>
      </c>
      <c r="BQ280" s="1" t="str">
        <f t="shared" si="85"/>
        <v/>
      </c>
      <c r="BR280" s="1" t="str">
        <f t="shared" si="85"/>
        <v/>
      </c>
      <c r="BS280" s="1" t="str">
        <f t="shared" si="85"/>
        <v/>
      </c>
    </row>
    <row r="281" spans="48:71" x14ac:dyDescent="0.3">
      <c r="AV281" t="s">
        <v>6970</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TAC50</v>
      </c>
      <c r="BP281" s="1" t="str">
        <f t="shared" si="85"/>
        <v/>
      </c>
      <c r="BQ281" s="1" t="str">
        <f t="shared" si="85"/>
        <v/>
      </c>
      <c r="BR281" s="1" t="str">
        <f t="shared" si="85"/>
        <v/>
      </c>
      <c r="BS281" s="1" t="str">
        <f t="shared" si="85"/>
        <v/>
      </c>
    </row>
    <row r="282" spans="48:71" x14ac:dyDescent="0.3">
      <c r="AV282" t="s">
        <v>738</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Tae</v>
      </c>
      <c r="BP282" s="1" t="str">
        <f t="shared" si="85"/>
        <v/>
      </c>
      <c r="BQ282" s="1" t="str">
        <f t="shared" si="85"/>
        <v/>
      </c>
      <c r="BR282" s="1" t="str">
        <f t="shared" si="85"/>
        <v/>
      </c>
      <c r="BS282" s="1" t="str">
        <f t="shared" si="85"/>
        <v/>
      </c>
    </row>
    <row r="283" spans="48:71" x14ac:dyDescent="0.3">
      <c r="AV283" t="s">
        <v>76</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TAR21</v>
      </c>
      <c r="BP283" s="1" t="str">
        <f t="shared" si="85"/>
        <v/>
      </c>
      <c r="BQ283" s="1" t="str">
        <f t="shared" si="85"/>
        <v/>
      </c>
      <c r="BR283" s="1" t="str">
        <f t="shared" si="85"/>
        <v/>
      </c>
      <c r="BS283" s="1" t="str">
        <f t="shared" si="85"/>
        <v/>
      </c>
    </row>
    <row r="284" spans="48:71" x14ac:dyDescent="0.3">
      <c r="AV284" t="s">
        <v>8751</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Thompson</v>
      </c>
      <c r="BP284" s="1" t="str">
        <f t="shared" si="85"/>
        <v/>
      </c>
      <c r="BQ284" s="1" t="str">
        <f t="shared" si="85"/>
        <v/>
      </c>
      <c r="BR284" s="1" t="str">
        <f t="shared" si="85"/>
        <v/>
      </c>
      <c r="BS284" s="1" t="str">
        <f t="shared" si="85"/>
        <v/>
      </c>
    </row>
    <row r="285" spans="48:71" x14ac:dyDescent="0.3">
      <c r="AV285" t="s">
        <v>8751</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ThompsonGZ</v>
      </c>
      <c r="BP285" s="1" t="str">
        <f t="shared" si="85"/>
        <v/>
      </c>
      <c r="BQ285" s="1" t="str">
        <f t="shared" si="85"/>
        <v/>
      </c>
      <c r="BR285" s="1" t="str">
        <f t="shared" si="85"/>
        <v/>
      </c>
      <c r="BS285" s="1" t="str">
        <f t="shared" si="85"/>
        <v/>
      </c>
    </row>
    <row r="286" spans="48:71" x14ac:dyDescent="0.3">
      <c r="AV286" t="s">
        <v>5492</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ThompsonGZ</v>
      </c>
      <c r="BP286" s="1" t="str">
        <f t="shared" si="85"/>
        <v/>
      </c>
      <c r="BQ286" s="1" t="str">
        <f t="shared" si="85"/>
        <v/>
      </c>
      <c r="BR286" s="1" t="str">
        <f t="shared" si="85"/>
        <v/>
      </c>
      <c r="BS286" s="1" t="str">
        <f t="shared" si="85"/>
        <v/>
      </c>
    </row>
    <row r="287" spans="48:71" x14ac:dyDescent="0.3">
      <c r="AV287" t="s">
        <v>156</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Thunder</v>
      </c>
      <c r="BP287" s="1" t="str">
        <f t="shared" si="85"/>
        <v/>
      </c>
      <c r="BQ287" s="1" t="str">
        <f t="shared" si="85"/>
        <v/>
      </c>
      <c r="BR287" s="1" t="str">
        <f t="shared" si="85"/>
        <v/>
      </c>
      <c r="BS287" s="1" t="str">
        <f t="shared" si="85"/>
        <v/>
      </c>
    </row>
    <row r="288" spans="48:71" x14ac:dyDescent="0.3">
      <c r="AV288" t="s">
        <v>66</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TMP</v>
      </c>
      <c r="BP288" s="1" t="str">
        <f t="shared" si="85"/>
        <v/>
      </c>
      <c r="BQ288" s="1" t="str">
        <f t="shared" si="85"/>
        <v/>
      </c>
      <c r="BR288" s="1" t="str">
        <f t="shared" si="85"/>
        <v/>
      </c>
      <c r="BS288" s="1" t="str">
        <f t="shared" si="85"/>
        <v/>
      </c>
    </row>
    <row r="289" spans="48:71" x14ac:dyDescent="0.3">
      <c r="AV289" t="s">
        <v>249</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Tokarev</v>
      </c>
      <c r="BP289" s="1" t="str">
        <f t="shared" si="85"/>
        <v/>
      </c>
      <c r="BQ289" s="1" t="str">
        <f t="shared" si="85"/>
        <v/>
      </c>
      <c r="BR289" s="1" t="str">
        <f t="shared" si="85"/>
        <v/>
      </c>
      <c r="BS289" s="1" t="str">
        <f t="shared" si="85"/>
        <v/>
      </c>
    </row>
    <row r="290" spans="48:71" x14ac:dyDescent="0.3">
      <c r="AV290" t="s">
        <v>242</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Triela</v>
      </c>
      <c r="BP290" s="1" t="str">
        <f t="shared" si="85"/>
        <v/>
      </c>
      <c r="BQ290" s="1" t="str">
        <f t="shared" si="85"/>
        <v/>
      </c>
      <c r="BR290" s="1" t="str">
        <f t="shared" si="85"/>
        <v/>
      </c>
      <c r="BS290" s="1" t="str">
        <f t="shared" si="85"/>
        <v/>
      </c>
    </row>
    <row r="291" spans="48:71" x14ac:dyDescent="0.3">
      <c r="AV291" t="s">
        <v>829</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Type 4</v>
      </c>
      <c r="BP291" s="1" t="str">
        <f t="shared" si="85"/>
        <v/>
      </c>
      <c r="BQ291" s="1" t="str">
        <f t="shared" si="85"/>
        <v/>
      </c>
      <c r="BR291" s="1" t="str">
        <f t="shared" si="85"/>
        <v/>
      </c>
      <c r="BS291" s="1" t="str">
        <f t="shared" si="85"/>
        <v/>
      </c>
    </row>
    <row r="292" spans="48:71" x14ac:dyDescent="0.3">
      <c r="AV292" t="s">
        <v>1603</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Type 56 RMod</v>
      </c>
      <c r="BP292" s="1" t="str">
        <f t="shared" si="87"/>
        <v/>
      </c>
      <c r="BQ292" s="1" t="str">
        <f t="shared" si="87"/>
        <v/>
      </c>
      <c r="BR292" s="1" t="str">
        <f t="shared" si="87"/>
        <v/>
      </c>
      <c r="BS292" s="1" t="str">
        <f t="shared" si="87"/>
        <v/>
      </c>
    </row>
    <row r="293" spans="48:71" x14ac:dyDescent="0.3">
      <c r="AV293" t="s">
        <v>238</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Type 81 R</v>
      </c>
      <c r="BP293" s="1" t="str">
        <f t="shared" si="87"/>
        <v/>
      </c>
      <c r="BQ293" s="1" t="str">
        <f t="shared" si="87"/>
        <v/>
      </c>
      <c r="BR293" s="1" t="str">
        <f t="shared" si="87"/>
        <v/>
      </c>
      <c r="BS293" s="1" t="str">
        <f t="shared" si="87"/>
        <v/>
      </c>
    </row>
    <row r="294" spans="48:71" x14ac:dyDescent="0.3">
      <c r="AV294" t="s">
        <v>6758</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Type03</v>
      </c>
      <c r="BP294" s="1" t="str">
        <f t="shared" si="87"/>
        <v/>
      </c>
      <c r="BQ294" s="1" t="str">
        <f t="shared" si="87"/>
        <v/>
      </c>
      <c r="BR294" s="1" t="str">
        <f t="shared" si="87"/>
        <v/>
      </c>
      <c r="BS294" s="1" t="str">
        <f t="shared" si="87"/>
        <v/>
      </c>
    </row>
    <row r="295" spans="48:71" x14ac:dyDescent="0.3">
      <c r="AV295" t="s">
        <v>7821</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Type56-1mod</v>
      </c>
      <c r="BP295" s="1" t="str">
        <f t="shared" si="87"/>
        <v/>
      </c>
      <c r="BQ295" s="1" t="str">
        <f t="shared" si="87"/>
        <v/>
      </c>
      <c r="BR295" s="1" t="str">
        <f t="shared" si="87"/>
        <v/>
      </c>
      <c r="BS295" s="1" t="str">
        <f t="shared" si="87"/>
        <v/>
      </c>
    </row>
    <row r="296" spans="48:71" x14ac:dyDescent="0.3">
      <c r="AV296" t="s">
        <v>136</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Type56-1modGZ</v>
      </c>
      <c r="BP296" s="1" t="str">
        <f t="shared" si="87"/>
        <v/>
      </c>
      <c r="BQ296" s="1" t="str">
        <f t="shared" si="87"/>
        <v/>
      </c>
      <c r="BR296" s="1" t="str">
        <f t="shared" si="87"/>
        <v/>
      </c>
      <c r="BS296" s="1" t="str">
        <f t="shared" si="87"/>
        <v/>
      </c>
    </row>
    <row r="297" spans="48:71" x14ac:dyDescent="0.3">
      <c r="AV297" t="s">
        <v>118</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Type63</v>
      </c>
      <c r="BP297" s="1" t="str">
        <f t="shared" si="87"/>
        <v/>
      </c>
      <c r="BQ297" s="1" t="str">
        <f t="shared" si="87"/>
        <v/>
      </c>
      <c r="BR297" s="1" t="str">
        <f t="shared" si="87"/>
        <v/>
      </c>
      <c r="BS297" s="1" t="str">
        <f t="shared" si="87"/>
        <v/>
      </c>
    </row>
    <row r="298" spans="48:71" x14ac:dyDescent="0.3">
      <c r="AV298" t="s">
        <v>740</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Type64</v>
      </c>
      <c r="BP298" s="1" t="str">
        <f t="shared" si="87"/>
        <v/>
      </c>
      <c r="BQ298" s="1" t="str">
        <f t="shared" si="87"/>
        <v/>
      </c>
      <c r="BR298" s="1" t="str">
        <f t="shared" si="87"/>
        <v/>
      </c>
      <c r="BS298" s="1" t="str">
        <f t="shared" si="87"/>
        <v/>
      </c>
    </row>
    <row r="299" spans="48:71" x14ac:dyDescent="0.3">
      <c r="AV299" t="s">
        <v>7592</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Type64Mod</v>
      </c>
      <c r="BP299" s="1" t="str">
        <f t="shared" si="87"/>
        <v/>
      </c>
      <c r="BQ299" s="1" t="str">
        <f t="shared" si="87"/>
        <v/>
      </c>
      <c r="BR299" s="1" t="str">
        <f t="shared" si="87"/>
        <v/>
      </c>
      <c r="BS299" s="1" t="str">
        <f t="shared" si="87"/>
        <v/>
      </c>
    </row>
    <row r="300" spans="48:71" x14ac:dyDescent="0.3">
      <c r="AV300" t="s">
        <v>8213</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Type64ModGZ</v>
      </c>
      <c r="BP300" s="1" t="str">
        <f t="shared" si="87"/>
        <v/>
      </c>
      <c r="BQ300" s="1" t="str">
        <f t="shared" si="87"/>
        <v/>
      </c>
      <c r="BR300" s="1" t="str">
        <f t="shared" si="87"/>
        <v/>
      </c>
      <c r="BS300" s="1" t="str">
        <f t="shared" si="87"/>
        <v/>
      </c>
    </row>
    <row r="301" spans="48:71" x14ac:dyDescent="0.3">
      <c r="AV301" t="s">
        <v>8214</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Type79</v>
      </c>
      <c r="BP301" s="1" t="str">
        <f t="shared" si="87"/>
        <v/>
      </c>
      <c r="BQ301" s="1" t="str">
        <f t="shared" si="87"/>
        <v/>
      </c>
      <c r="BR301" s="1" t="str">
        <f t="shared" si="87"/>
        <v/>
      </c>
      <c r="BS301" s="1" t="str">
        <f t="shared" si="87"/>
        <v/>
      </c>
    </row>
    <row r="302" spans="48:71" x14ac:dyDescent="0.3">
      <c r="AV302" t="s">
        <v>833</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Type79Mod</v>
      </c>
      <c r="BP302" s="1" t="str">
        <f t="shared" si="87"/>
        <v/>
      </c>
      <c r="BQ302" s="1" t="str">
        <f t="shared" si="87"/>
        <v/>
      </c>
      <c r="BR302" s="1" t="str">
        <f t="shared" si="87"/>
        <v/>
      </c>
      <c r="BS302" s="1" t="str">
        <f t="shared" si="87"/>
        <v/>
      </c>
    </row>
    <row r="303" spans="48:71" x14ac:dyDescent="0.3">
      <c r="AV303" t="s">
        <v>8785</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Type80Mod</v>
      </c>
      <c r="BP303" s="1" t="str">
        <f t="shared" si="87"/>
        <v/>
      </c>
      <c r="BQ303" s="1" t="str">
        <f t="shared" si="87"/>
        <v/>
      </c>
      <c r="BR303" s="1" t="str">
        <f t="shared" si="87"/>
        <v/>
      </c>
      <c r="BS303" s="1" t="str">
        <f t="shared" si="87"/>
        <v/>
      </c>
    </row>
    <row r="304" spans="48:71" x14ac:dyDescent="0.3">
      <c r="AV304" t="s">
        <v>119</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Type80ModGZ</v>
      </c>
      <c r="BP304" s="1" t="str">
        <f t="shared" si="87"/>
        <v/>
      </c>
      <c r="BQ304" s="1" t="str">
        <f t="shared" si="87"/>
        <v/>
      </c>
      <c r="BR304" s="1" t="str">
        <f t="shared" si="87"/>
        <v/>
      </c>
      <c r="BS304" s="1" t="str">
        <f t="shared" si="87"/>
        <v/>
      </c>
    </row>
    <row r="305" spans="48:71" x14ac:dyDescent="0.3">
      <c r="AV305" t="s">
        <v>838</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Type88</v>
      </c>
      <c r="BP305" s="1" t="str">
        <f t="shared" si="87"/>
        <v/>
      </c>
      <c r="BQ305" s="1" t="str">
        <f t="shared" si="87"/>
        <v/>
      </c>
      <c r="BR305" s="1" t="str">
        <f t="shared" si="87"/>
        <v/>
      </c>
      <c r="BS305" s="1" t="str">
        <f t="shared" si="87"/>
        <v/>
      </c>
    </row>
    <row r="306" spans="48:71" x14ac:dyDescent="0.3">
      <c r="AV306" t="s">
        <v>7773</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Type88Mod</v>
      </c>
      <c r="BP306" s="1" t="str">
        <f t="shared" si="87"/>
        <v/>
      </c>
      <c r="BQ306" s="1" t="str">
        <f t="shared" si="87"/>
        <v/>
      </c>
      <c r="BR306" s="1" t="str">
        <f t="shared" si="87"/>
        <v/>
      </c>
      <c r="BS306" s="1" t="str">
        <f t="shared" si="87"/>
        <v/>
      </c>
    </row>
    <row r="307" spans="48:71" x14ac:dyDescent="0.3">
      <c r="AV307" t="s">
        <v>6754</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Type88ModGZ</v>
      </c>
      <c r="BP307" s="1" t="str">
        <f t="shared" si="87"/>
        <v/>
      </c>
      <c r="BQ307" s="1" t="str">
        <f t="shared" si="87"/>
        <v/>
      </c>
      <c r="BR307" s="1" t="str">
        <f t="shared" si="87"/>
        <v/>
      </c>
      <c r="BS307" s="1" t="str">
        <f t="shared" si="87"/>
        <v/>
      </c>
    </row>
    <row r="308" spans="48:71" x14ac:dyDescent="0.3">
      <c r="AV308" t="s">
        <v>8752</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Type92mod</v>
      </c>
      <c r="BP308" s="1" t="str">
        <f t="shared" si="89"/>
        <v/>
      </c>
      <c r="BQ308" s="1" t="str">
        <f t="shared" si="89"/>
        <v/>
      </c>
      <c r="BR308" s="1" t="str">
        <f t="shared" si="89"/>
        <v/>
      </c>
      <c r="BS308" s="1" t="str">
        <f t="shared" si="89"/>
        <v/>
      </c>
    </row>
    <row r="309" spans="48:71" x14ac:dyDescent="0.3">
      <c r="AV309" t="s">
        <v>8752</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Type92modGZ</v>
      </c>
      <c r="BP309" s="1" t="str">
        <f t="shared" si="89"/>
        <v/>
      </c>
      <c r="BQ309" s="1" t="str">
        <f t="shared" si="89"/>
        <v/>
      </c>
      <c r="BR309" s="1" t="str">
        <f t="shared" si="89"/>
        <v/>
      </c>
      <c r="BS309" s="1" t="str">
        <f t="shared" si="89"/>
        <v/>
      </c>
    </row>
    <row r="310" spans="48:71" x14ac:dyDescent="0.3">
      <c r="AV310" t="s">
        <v>711</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Type92modGZ</v>
      </c>
      <c r="BP310" s="1" t="str">
        <f t="shared" si="89"/>
        <v/>
      </c>
      <c r="BQ310" s="1" t="str">
        <f t="shared" si="89"/>
        <v/>
      </c>
      <c r="BR310" s="1" t="str">
        <f t="shared" si="89"/>
        <v/>
      </c>
      <c r="BS310" s="1" t="str">
        <f t="shared" si="89"/>
        <v/>
      </c>
    </row>
    <row r="311" spans="48:71" x14ac:dyDescent="0.3">
      <c r="AV311" t="s">
        <v>733</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Type95/97</v>
      </c>
      <c r="BP311" s="1" t="str">
        <f t="shared" si="89"/>
        <v/>
      </c>
      <c r="BQ311" s="1" t="str">
        <f t="shared" si="89"/>
        <v/>
      </c>
      <c r="BR311" s="1" t="str">
        <f t="shared" si="89"/>
        <v/>
      </c>
      <c r="BS311" s="1" t="str">
        <f t="shared" si="89"/>
        <v/>
      </c>
    </row>
    <row r="312" spans="48:71" x14ac:dyDescent="0.3">
      <c r="AV312" t="s">
        <v>7997</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Type97SMod</v>
      </c>
      <c r="BP312" s="1" t="str">
        <f t="shared" si="89"/>
        <v/>
      </c>
      <c r="BQ312" s="1" t="str">
        <f t="shared" si="89"/>
        <v/>
      </c>
      <c r="BR312" s="1" t="str">
        <f t="shared" si="89"/>
        <v/>
      </c>
      <c r="BS312" s="1" t="str">
        <f t="shared" si="89"/>
        <v/>
      </c>
    </row>
    <row r="313" spans="48:71" x14ac:dyDescent="0.3">
      <c r="AV313" t="s">
        <v>1651</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Type97SModGZ</v>
      </c>
      <c r="BP313" s="1" t="str">
        <f t="shared" si="89"/>
        <v/>
      </c>
      <c r="BQ313" s="1" t="str">
        <f t="shared" si="89"/>
        <v/>
      </c>
      <c r="BR313" s="1" t="str">
        <f t="shared" si="89"/>
        <v/>
      </c>
      <c r="BS313" s="1" t="str">
        <f t="shared" si="89"/>
        <v/>
      </c>
    </row>
    <row r="314" spans="48:71" x14ac:dyDescent="0.3">
      <c r="AV314" t="s">
        <v>730</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UKM2000</v>
      </c>
      <c r="BP314" s="1" t="str">
        <f t="shared" si="89"/>
        <v/>
      </c>
      <c r="BQ314" s="1" t="str">
        <f t="shared" si="89"/>
        <v/>
      </c>
      <c r="BR314" s="1" t="str">
        <f t="shared" si="89"/>
        <v/>
      </c>
      <c r="BS314" s="1" t="str">
        <f t="shared" si="89"/>
        <v/>
      </c>
    </row>
    <row r="315" spans="48:71" x14ac:dyDescent="0.3">
      <c r="AV315" t="s">
        <v>264</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UMP</v>
      </c>
      <c r="BP315" s="1" t="str">
        <f t="shared" si="89"/>
        <v/>
      </c>
      <c r="BQ315" s="1" t="str">
        <f t="shared" si="89"/>
        <v/>
      </c>
      <c r="BR315" s="1" t="str">
        <f t="shared" si="89"/>
        <v/>
      </c>
      <c r="BS315" s="1" t="str">
        <f t="shared" si="89"/>
        <v/>
      </c>
    </row>
    <row r="316" spans="48:71" x14ac:dyDescent="0.3">
      <c r="AV316" t="s">
        <v>7631</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UMP45Mod</v>
      </c>
      <c r="BP316" s="1" t="str">
        <f t="shared" si="89"/>
        <v/>
      </c>
      <c r="BQ316" s="1" t="str">
        <f t="shared" si="89"/>
        <v/>
      </c>
      <c r="BR316" s="1" t="str">
        <f t="shared" si="89"/>
        <v/>
      </c>
      <c r="BS316" s="1" t="str">
        <f t="shared" si="89"/>
        <v/>
      </c>
    </row>
    <row r="317" spans="48:71" x14ac:dyDescent="0.3">
      <c r="AV317" t="s">
        <v>263</v>
      </c>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UMP45ModGZ</v>
      </c>
      <c r="BP317" s="1" t="str">
        <f t="shared" si="89"/>
        <v/>
      </c>
      <c r="BQ317" s="1" t="str">
        <f t="shared" si="89"/>
        <v/>
      </c>
      <c r="BR317" s="1" t="str">
        <f t="shared" si="89"/>
        <v/>
      </c>
      <c r="BS317" s="1" t="str">
        <f t="shared" si="89"/>
        <v/>
      </c>
    </row>
    <row r="318" spans="48:71" x14ac:dyDescent="0.3">
      <c r="AV318" t="s">
        <v>7632</v>
      </c>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UMP9Mod</v>
      </c>
      <c r="BP318" s="1" t="str">
        <f t="shared" si="89"/>
        <v/>
      </c>
      <c r="BQ318" s="1" t="str">
        <f t="shared" si="89"/>
        <v/>
      </c>
      <c r="BR318" s="1" t="str">
        <f t="shared" si="89"/>
        <v/>
      </c>
      <c r="BS318" s="1" t="str">
        <f t="shared" si="89"/>
        <v/>
      </c>
    </row>
    <row r="319" spans="48:71" x14ac:dyDescent="0.3">
      <c r="AV319" t="s">
        <v>1639</v>
      </c>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UMP9ModGZ</v>
      </c>
      <c r="BP319" s="1" t="str">
        <f t="shared" si="89"/>
        <v/>
      </c>
      <c r="BQ319" s="1" t="str">
        <f t="shared" si="89"/>
        <v/>
      </c>
      <c r="BR319" s="1" t="str">
        <f t="shared" si="89"/>
        <v/>
      </c>
      <c r="BS319" s="1" t="str">
        <f t="shared" si="89"/>
        <v/>
      </c>
    </row>
    <row r="320" spans="48:71" x14ac:dyDescent="0.3">
      <c r="AV320" t="s">
        <v>1193</v>
      </c>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USAS12</v>
      </c>
      <c r="BP320" s="1" t="str">
        <f t="shared" si="89"/>
        <v/>
      </c>
      <c r="BQ320" s="1" t="str">
        <f t="shared" si="89"/>
        <v/>
      </c>
      <c r="BR320" s="1" t="str">
        <f t="shared" si="89"/>
        <v/>
      </c>
      <c r="BS320" s="1" t="str">
        <f t="shared" si="89"/>
        <v/>
      </c>
    </row>
    <row r="321" spans="48:71" x14ac:dyDescent="0.3">
      <c r="AV321" t="s">
        <v>79</v>
      </c>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USPCompact</v>
      </c>
      <c r="BP321" s="1" t="str">
        <f t="shared" si="89"/>
        <v/>
      </c>
      <c r="BQ321" s="1" t="str">
        <f t="shared" si="89"/>
        <v/>
      </c>
      <c r="BR321" s="1" t="str">
        <f t="shared" si="89"/>
        <v/>
      </c>
      <c r="BS321" s="1" t="str">
        <f t="shared" si="89"/>
        <v/>
      </c>
    </row>
    <row r="322" spans="48:71" x14ac:dyDescent="0.3">
      <c r="AV322" t="s">
        <v>97</v>
      </c>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Vector</v>
      </c>
      <c r="BP322" s="1" t="str">
        <f t="shared" si="89"/>
        <v/>
      </c>
      <c r="BQ322" s="1" t="str">
        <f t="shared" si="89"/>
        <v/>
      </c>
      <c r="BR322" s="1" t="str">
        <f t="shared" si="89"/>
        <v/>
      </c>
      <c r="BS322" s="1" t="str">
        <f t="shared" si="89"/>
        <v/>
      </c>
    </row>
    <row r="323" spans="48:71" x14ac:dyDescent="0.3">
      <c r="AV323" t="s">
        <v>1668</v>
      </c>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VM59</v>
      </c>
      <c r="BP323" s="1" t="str">
        <f t="shared" si="89"/>
        <v/>
      </c>
      <c r="BQ323" s="1" t="str">
        <f t="shared" si="89"/>
        <v/>
      </c>
      <c r="BR323" s="1" t="str">
        <f t="shared" si="89"/>
        <v/>
      </c>
      <c r="BS323" s="1" t="str">
        <f t="shared" si="89"/>
        <v/>
      </c>
    </row>
    <row r="324" spans="48:71" x14ac:dyDescent="0.3">
      <c r="AV324" t="s">
        <v>95</v>
      </c>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VSK94</v>
      </c>
      <c r="BP324" s="1" t="str">
        <f t="shared" si="91"/>
        <v/>
      </c>
      <c r="BQ324" s="1" t="str">
        <f t="shared" si="91"/>
        <v/>
      </c>
      <c r="BR324" s="1" t="str">
        <f t="shared" si="91"/>
        <v/>
      </c>
      <c r="BS324" s="1" t="str">
        <f t="shared" si="91"/>
        <v/>
      </c>
    </row>
    <row r="325" spans="48:71" x14ac:dyDescent="0.3">
      <c r="AV325" t="s">
        <v>8484</v>
      </c>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WA2000</v>
      </c>
      <c r="BP325" s="1" t="str">
        <f t="shared" si="91"/>
        <v/>
      </c>
      <c r="BQ325" s="1" t="str">
        <f t="shared" si="91"/>
        <v/>
      </c>
      <c r="BR325" s="1" t="str">
        <f t="shared" si="91"/>
        <v/>
      </c>
      <c r="BS325" s="1" t="str">
        <f t="shared" si="91"/>
        <v/>
      </c>
    </row>
    <row r="326" spans="48:71" x14ac:dyDescent="0.3">
      <c r="AV326" t="s">
        <v>792</v>
      </c>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WA2000GZ</v>
      </c>
      <c r="BP326" s="1" t="str">
        <f t="shared" si="91"/>
        <v/>
      </c>
      <c r="BQ326" s="1" t="str">
        <f t="shared" si="91"/>
        <v/>
      </c>
      <c r="BR326" s="1" t="str">
        <f t="shared" si="91"/>
        <v/>
      </c>
      <c r="BS326" s="1" t="str">
        <f t="shared" si="91"/>
        <v/>
      </c>
    </row>
    <row r="327" spans="48:71" x14ac:dyDescent="0.3">
      <c r="AV327" t="s">
        <v>834</v>
      </c>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Webley</v>
      </c>
      <c r="BP327" s="1" t="str">
        <f t="shared" si="91"/>
        <v/>
      </c>
      <c r="BQ327" s="1" t="str">
        <f t="shared" si="91"/>
        <v/>
      </c>
      <c r="BR327" s="1" t="str">
        <f t="shared" si="91"/>
        <v/>
      </c>
      <c r="BS327" s="1" t="str">
        <f t="shared" si="91"/>
        <v/>
      </c>
    </row>
    <row r="328" spans="48:71" x14ac:dyDescent="0.3">
      <c r="AV328" t="s">
        <v>8432</v>
      </c>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Welrod MkIIMod</v>
      </c>
      <c r="BP328" s="1" t="str">
        <f t="shared" si="91"/>
        <v/>
      </c>
      <c r="BQ328" s="1" t="str">
        <f t="shared" si="91"/>
        <v/>
      </c>
      <c r="BR328" s="1" t="str">
        <f t="shared" si="91"/>
        <v/>
      </c>
      <c r="BS328" s="1" t="str">
        <f t="shared" si="91"/>
        <v/>
      </c>
    </row>
    <row r="329" spans="48:71" x14ac:dyDescent="0.3">
      <c r="AV329" t="s">
        <v>928</v>
      </c>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Welrod MkIIModGZ</v>
      </c>
      <c r="BP329" s="1" t="str">
        <f t="shared" si="91"/>
        <v/>
      </c>
      <c r="BQ329" s="1" t="str">
        <f t="shared" si="91"/>
        <v/>
      </c>
      <c r="BR329" s="1" t="str">
        <f t="shared" si="91"/>
        <v/>
      </c>
      <c r="BS329" s="1" t="str">
        <f t="shared" si="91"/>
        <v/>
      </c>
    </row>
    <row r="330" spans="48:71" x14ac:dyDescent="0.3">
      <c r="AV330" t="s">
        <v>5735</v>
      </c>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XM3Mod</v>
      </c>
      <c r="BP330" s="1" t="str">
        <f t="shared" si="91"/>
        <v/>
      </c>
      <c r="BQ330" s="1" t="str">
        <f t="shared" si="91"/>
        <v/>
      </c>
      <c r="BR330" s="1" t="str">
        <f t="shared" si="91"/>
        <v/>
      </c>
      <c r="BS330" s="1" t="str">
        <f t="shared" si="91"/>
        <v/>
      </c>
    </row>
    <row r="331" spans="48:71" x14ac:dyDescent="0.3">
      <c r="AV331" t="s">
        <v>1690</v>
      </c>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XM8Mod</v>
      </c>
      <c r="BP331" s="1" t="str">
        <f t="shared" si="91"/>
        <v/>
      </c>
      <c r="BQ331" s="1" t="str">
        <f t="shared" si="91"/>
        <v/>
      </c>
      <c r="BR331" s="1" t="str">
        <f t="shared" si="91"/>
        <v/>
      </c>
      <c r="BS331" s="1" t="str">
        <f t="shared" si="91"/>
        <v/>
      </c>
    </row>
    <row r="332" spans="48:71" x14ac:dyDescent="0.3">
      <c r="AV332" t="s">
        <v>7011</v>
      </c>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Yurine</v>
      </c>
      <c r="BP332" s="1" t="str">
        <f t="shared" si="91"/>
        <v/>
      </c>
      <c r="BQ332" s="1" t="str">
        <f t="shared" si="91"/>
        <v/>
      </c>
      <c r="BR332" s="1" t="str">
        <f t="shared" si="91"/>
        <v/>
      </c>
      <c r="BS332" s="1" t="str">
        <f t="shared" si="91"/>
        <v/>
      </c>
    </row>
    <row r="333" spans="48:71" x14ac:dyDescent="0.3">
      <c r="AV333" t="s">
        <v>1622</v>
      </c>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Yuugiri</v>
      </c>
      <c r="BP333" s="1" t="str">
        <f t="shared" si="91"/>
        <v/>
      </c>
      <c r="BQ333" s="1" t="str">
        <f t="shared" si="91"/>
        <v/>
      </c>
      <c r="BR333" s="1" t="str">
        <f t="shared" si="91"/>
        <v/>
      </c>
      <c r="BS333" s="1" t="str">
        <f t="shared" si="91"/>
        <v/>
      </c>
    </row>
    <row r="334" spans="48:71" x14ac:dyDescent="0.3">
      <c r="AV334" t="s">
        <v>8624</v>
      </c>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Z62</v>
      </c>
      <c r="BP334" s="1" t="str">
        <f t="shared" si="93"/>
        <v/>
      </c>
      <c r="BQ334" s="1" t="str">
        <f t="shared" si="93"/>
        <v/>
      </c>
      <c r="BR334" s="1" t="str">
        <f t="shared" si="93"/>
        <v/>
      </c>
      <c r="BS334" s="1" t="str">
        <f t="shared" si="93"/>
        <v/>
      </c>
    </row>
    <row r="335" spans="48:71" x14ac:dyDescent="0.3">
      <c r="AV335" t="s">
        <v>1667</v>
      </c>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ZasM21Mod</v>
      </c>
      <c r="BP335" s="1" t="str">
        <f t="shared" si="95"/>
        <v/>
      </c>
      <c r="BQ335" s="1" t="str">
        <f t="shared" si="95"/>
        <v/>
      </c>
      <c r="BR335" s="1" t="str">
        <f t="shared" si="95"/>
        <v/>
      </c>
      <c r="BS335" s="1" t="str">
        <f t="shared" si="95"/>
        <v/>
      </c>
    </row>
    <row r="336" spans="48:71" x14ac:dyDescent="0.3">
      <c r="AV336" t="s">
        <v>8726</v>
      </c>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ZB26</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ZB26GZ</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36">
    <sortCondition ref="AV2:AV336"/>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2025-04-19T17:31:03Z</dcterms:modified>
</cp:coreProperties>
</file>