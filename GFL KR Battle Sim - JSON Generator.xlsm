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790F92DB-518E-4537-A28D-BA3DE93A1A6A}" xr6:coauthVersionLast="36" xr6:coauthVersionMax="36" xr10:uidLastSave="{00000000-0000-0000-0000-000000000000}"/>
  <bookViews>
    <workbookView xWindow="0" yWindow="0" windowWidth="24000" windowHeight="922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Equip Data" sheetId="11" state="hidden" r:id="rId10"/>
    <sheet name="Fairy Data" sheetId="16" state="hidden" r:id="rId11"/>
    <sheet name="Talent Data" sheetId="17" state="hidden" r:id="rId12"/>
    <sheet name="Exp Tables" sheetId="5" state="hidden" r:id="rId13"/>
    <sheet name="Misc Inputs" sheetId="18" state="hidden" r:id="rId14"/>
    <sheet name="Dropdowns" sheetId="2" state="hidden" r:id="rId15"/>
  </sheets>
  <definedNames>
    <definedName name="_xlnm._FilterDatabase" localSheetId="8" hidden="1">'Doll Data'!$A$1:$K$398</definedName>
    <definedName name="_xlnm._FilterDatabase" localSheetId="9" hidden="1">'Equip Data'!$A$1:$V$202</definedName>
    <definedName name="_xlnm._FilterDatabase" localSheetId="10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8" l="1"/>
  <c r="F12" i="18" s="1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9" i="18" l="1"/>
  <c r="C2" i="20" s="1"/>
  <c r="C2" i="24" l="1"/>
  <c r="B4" i="20"/>
  <c r="B3" i="20"/>
  <c r="B2" i="20"/>
  <c r="B18" i="1"/>
  <c r="B19" i="1"/>
  <c r="B17" i="1" l="1"/>
  <c r="B14" i="1"/>
  <c r="B13" i="1"/>
  <c r="E15" i="18" l="1"/>
  <c r="F15" i="18" s="1"/>
  <c r="E14" i="18"/>
  <c r="F14" i="18" s="1"/>
  <c r="E13" i="18"/>
  <c r="F13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<sst xmlns="http://schemas.openxmlformats.org/spreadsheetml/2006/main" count="4995" uniqueCount="1126">
  <si>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</si>
  <si>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</si>
  <si>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</si>
  <si>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</si>
  <si>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</si>
  <si>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</si>
  <si>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</si>
  <si>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</si>
  <si>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</si>
  <si>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</si>
  <si>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</si>
  <si>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</si>
  <si>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</si>
  <si>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</si>
  <si>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</si>
  <si>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</si>
  <si>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</si>
  <si>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</si>
  <si>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</si>
  <si>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</si>
  <si>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</si>
  <si>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</si>
  <si>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</si>
  <si>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</si>
  <si>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</si>
  <si>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</si>
  <si>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</si>
  <si>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</si>
  <si>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</si>
  <si>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</si>
  <si>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</si>
  <si>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</si>
  <si>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</si>
  <si>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</si>
  <si>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</si>
  <si>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</si>
  <si>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</si>
  <si>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</si>
  <si>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</si>
  <si>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</si>
  <si>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</si>
  <si>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</si>
  <si>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</si>
  <si>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</si>
  <si>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</si>
  <si>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</si>
  <si>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</si>
  <si>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</si>
  <si>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</si>
  <si>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</si>
  <si>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</si>
  <si>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</si>
  <si>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</si>
  <si>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</si>
  <si>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</si>
  <si>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</si>
  <si>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</si>
  <si>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</si>
  <si>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</si>
  <si>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</si>
  <si>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</si>
  <si>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</si>
  <si>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</si>
  <si>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</si>
  <si>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</si>
  <si>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</si>
  <si>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</si>
  <si>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</si>
  <si>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</si>
  <si>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</si>
  <si>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</si>
  <si>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</si>
  <si>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</si>
  <si>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</si>
  <si>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</si>
  <si>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</si>
  <si>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</si>
  <si>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</si>
  <si>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</si>
  <si>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</si>
  <si>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</si>
  <si>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</si>
  <si>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</si>
  <si>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</si>
  <si>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</si>
  <si>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</si>
  <si>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</si>
  <si>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</si>
  <si>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</si>
  <si>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</si>
  <si>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</si>
  <si>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</si>
  <si>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</si>
  <si>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</si>
  <si>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</si>
  <si>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</si>
  <si>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</si>
  <si>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</si>
  <si>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</si>
  <si>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</si>
  <si>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</si>
  <si>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</si>
  <si>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</si>
  <si>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</si>
  <si>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</si>
  <si>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</si>
  <si>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</si>
  <si>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</si>
  <si>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</si>
  <si>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</si>
  <si>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</si>
  <si>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</si>
  <si>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</si>
  <si>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</si>
  <si>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</si>
  <si>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</si>
  <si>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</si>
  <si>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</si>
  <si>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</si>
  <si>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</si>
  <si>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</si>
  <si>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</si>
  <si>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</si>
  <si>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</si>
  <si>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</si>
  <si>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</si>
  <si>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</si>
  <si>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</si>
  <si>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</si>
  <si>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</si>
  <si>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</si>
  <si>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</si>
  <si>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</si>
  <si>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</si>
  <si>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</si>
  <si>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</si>
  <si>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</si>
  <si>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</si>
  <si>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</si>
  <si>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</si>
  <si>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</si>
  <si>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</si>
  <si>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</si>
  <si>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</si>
  <si>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</si>
  <si>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</si>
  <si>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</si>
  <si>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</si>
  <si>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</si>
  <si>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</si>
  <si>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</si>
  <si>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</si>
  <si>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</si>
  <si>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</si>
  <si>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</si>
  <si>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</si>
  <si>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</si>
  <si>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</si>
  <si>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</si>
  <si>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</si>
  <si>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</si>
  <si>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</si>
  <si>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</si>
  <si>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</si>
  <si>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</si>
  <si>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</si>
  <si>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</si>
  <si>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</si>
  <si>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</si>
  <si>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</si>
  <si>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</si>
  <si>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</si>
  <si>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</si>
  <si>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</si>
  <si>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</si>
  <si>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</si>
  <si>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</si>
  <si>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</si>
  <si>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</si>
  <si>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</si>
  <si>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</si>
  <si>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</si>
  <si>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</si>
  <si>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</si>
  <si>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</si>
  <si>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</si>
  <si>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</si>
  <si>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</si>
  <si>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</si>
  <si>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</si>
  <si>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</si>
  <si>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</si>
  <si>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</si>
  <si>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</si>
  <si>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</si>
  <si>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</si>
  <si>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</si>
  <si>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</si>
  <si>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</si>
  <si>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</si>
  <si>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</si>
  <si>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</si>
  <si>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</si>
  <si>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</si>
  <si>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</si>
  <si>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</si>
  <si>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</si>
  <si>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</si>
  <si>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</si>
  <si>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</si>
  <si>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</si>
  <si>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</si>
  <si>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</si>
  <si>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</si>
  <si>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</si>
  <si>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</si>
  <si>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</si>
  <si>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</si>
  <si>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</si>
  <si>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</si>
  <si>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</si>
  <si>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</si>
  <si>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</si>
  <si>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</si>
  <si>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</si>
  <si>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</si>
  <si>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</si>
  <si>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</si>
  <si>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</si>
  <si>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</si>
  <si>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</si>
  <si>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</si>
  <si>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</si>
  <si>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</si>
  <si>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</si>
  <si>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</si>
  <si>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</si>
  <si>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</si>
  <si>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</si>
  <si>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</si>
  <si>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</si>
  <si>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</si>
  <si>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</si>
  <si>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</si>
  <si>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</si>
  <si>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</si>
  <si>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</si>
  <si>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</si>
  <si>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</si>
  <si>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</si>
  <si>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</si>
  <si>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</si>
  <si>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</si>
  <si>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</si>
  <si>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</si>
  <si>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</si>
  <si>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</si>
  <si>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</si>
  <si>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</si>
  <si>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</si>
  <si>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</si>
  <si>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</si>
  <si>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</si>
  <si>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</si>
  <si>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</si>
  <si>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</si>
  <si>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</si>
  <si>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</si>
  <si>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</si>
  <si>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</si>
  <si>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</si>
  <si>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</si>
  <si>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</si>
  <si>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</si>
  <si>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</si>
  <si>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</si>
  <si>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</si>
  <si>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</si>
  <si>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</si>
  <si>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</si>
  <si>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</si>
  <si>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</si>
  <si>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</si>
  <si>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</si>
  <si>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</si>
  <si>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</si>
  <si>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</si>
  <si>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</si>
  <si>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</si>
  <si>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</si>
  <si>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</si>
  <si>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</si>
  <si>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</si>
  <si>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</si>
  <si>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</si>
  <si>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</si>
  <si>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</si>
  <si>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</si>
  <si>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</si>
  <si>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</si>
  <si>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</si>
  <si>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</si>
  <si>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</si>
  <si>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</si>
  <si>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</si>
  <si>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</si>
  <si>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</si>
  <si>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</si>
  <si>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</si>
  <si>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</si>
  <si>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</si>
  <si>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</si>
  <si>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</si>
  <si>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</si>
  <si>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</si>
  <si>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</si>
  <si>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</si>
  <si>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</si>
  <si>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</si>
  <si>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</si>
  <si>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</si>
  <si>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</si>
  <si>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</si>
  <si>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</si>
  <si>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</si>
  <si>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</si>
  <si>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</si>
  <si>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</si>
  <si>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</si>
  <si>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</si>
  <si>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</si>
  <si>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</si>
  <si>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</si>
  <si>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</si>
  <si>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</si>
  <si>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</si>
  <si>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</si>
  <si>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</si>
  <si>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</si>
  <si>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</si>
  <si>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</si>
  <si>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</si>
  <si>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</si>
  <si>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</si>
  <si>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</si>
  <si>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</si>
  <si>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</si>
  <si>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</si>
  <si>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</si>
  <si>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</si>
  <si>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</si>
  <si>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</si>
  <si>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</si>
  <si>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</si>
  <si>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</si>
  <si>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</si>
  <si>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</si>
  <si>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</si>
  <si>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</si>
  <si>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</si>
  <si>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</si>
  <si>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</si>
  <si>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</si>
  <si>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</si>
  <si>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</si>
  <si>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</si>
  <si>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</si>
  <si>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</si>
  <si>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</si>
  <si>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</si>
  <si>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</si>
  <si>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</si>
  <si>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</si>
  <si>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</si>
  <si>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</si>
  <si>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</si>
  <si>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</si>
  <si>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</si>
  <si>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</si>
  <si>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</si>
  <si>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</si>
  <si>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</si>
  <si>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</si>
  <si>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</si>
  <si>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</si>
  <si>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</si>
  <si>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</si>
  <si>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</si>
  <si>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</si>
  <si>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</si>
  <si>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</si>
  <si>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</si>
  <si>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</si>
  <si>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</si>
  <si>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</si>
  <si>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</si>
  <si>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</si>
  <si>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</si>
  <si>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</si>
  <si>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</si>
  <si>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</si>
  <si>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</si>
  <si>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</si>
  <si>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</si>
  <si>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</si>
  <si>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</si>
  <si>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</si>
  <si>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</si>
  <si>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</si>
  <si>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</si>
  <si>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</si>
  <si>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</si>
  <si>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</si>
  <si>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</si>
  <si>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</si>
  <si>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</si>
  <si>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</si>
  <si>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</si>
  <si>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</si>
  <si>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</si>
  <si>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</si>
  <si>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</si>
  <si>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</si>
  <si>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</si>
  <si>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</si>
  <si>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</si>
  <si>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</si>
  <si>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</si>
  <si>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</si>
  <si>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</si>
  <si>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</si>
  <si>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</si>
  <si>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</si>
  <si>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</si>
  <si>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</si>
  <si>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</si>
  <si>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</si>
  <si>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</si>
  <si>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</si>
  <si>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</si>
  <si>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</si>
  <si>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</si>
  <si>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</si>
  <si>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</si>
  <si>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</si>
  <si>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</si>
  <si>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</si>
  <si>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</si>
  <si>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</si>
  <si>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</si>
  <si>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</si>
  <si>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</si>
  <si>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</si>
  <si>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</si>
  <si>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</si>
  <si>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</si>
  <si>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</si>
  <si>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</si>
  <si>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</si>
  <si>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</si>
  <si>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</si>
  <si>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</si>
  <si>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</si>
  <si>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</si>
  <si>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</si>
  <si>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</si>
  <si>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</si>
  <si>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</si>
  <si>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</si>
  <si>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</si>
  <si>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</si>
  <si>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</si>
  <si>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</si>
  <si>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</si>
  <si>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</si>
  <si>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</si>
  <si>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</si>
  <si>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</si>
  <si>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</si>
  <si>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</si>
  <si>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</si>
  <si>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</si>
  <si>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</si>
  <si>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</si>
  <si>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</si>
  <si>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</si>
  <si>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</si>
  <si>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</si>
  <si>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</si>
  <si>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</si>
  <si>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</si>
  <si>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</si>
  <si>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</si>
  <si>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</si>
  <si>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</si>
  <si>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</si>
  <si>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</si>
  <si>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</si>
  <si>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</si>
  <si>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</si>
  <si>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</si>
  <si>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</si>
  <si>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</si>
  <si>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</si>
  <si>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</si>
  <si>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</si>
  <si>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</si>
  <si>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</si>
  <si>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</si>
  <si>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</si>
  <si>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</si>
  <si>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</si>
  <si>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</si>
  <si>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</si>
  <si>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</si>
  <si>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</si>
  <si>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</si>
  <si>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</si>
  <si>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</si>
  <si>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</si>
  <si>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</si>
  <si>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</si>
  <si>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</si>
  <si>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</si>
  <si>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</si>
  <si>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</si>
  <si>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</si>
  <si>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</si>
  <si>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</si>
  <si>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</si>
  <si>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</si>
  <si>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</si>
  <si>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</si>
  <si>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</si>
  <si>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</si>
  <si>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</si>
  <si>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</si>
  <si>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</si>
  <si>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</si>
  <si>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</si>
  <si>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</si>
  <si>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</si>
  <si>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</si>
  <si>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</si>
  <si>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</si>
  <si>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</si>
  <si>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</si>
  <si>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</si>
  <si>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</si>
  <si>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</si>
  <si>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</si>
  <si>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</si>
  <si>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</si>
  <si>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</si>
  <si>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</si>
  <si>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</si>
  <si>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</si>
  <si>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</si>
  <si>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</si>
  <si>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</si>
  <si>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</si>
  <si>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</si>
  <si>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</si>
  <si>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</si>
  <si>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</si>
  <si>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</si>
  <si>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</si>
  <si>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</si>
  <si>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</si>
  <si>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</si>
  <si>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</si>
  <si>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</si>
  <si>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</si>
  <si>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</si>
  <si>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</si>
  <si>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</si>
  <si>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</si>
  <si>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</si>
  <si>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</si>
  <si>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</si>
  <si>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</si>
  <si>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</si>
  <si>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</si>
  <si>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</si>
  <si>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</si>
  <si>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</si>
  <si>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</si>
  <si>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</si>
  <si>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</si>
  <si>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</si>
  <si>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</si>
  <si>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</si>
  <si>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</si>
  <si>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</si>
  <si>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</si>
  <si>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</si>
  <si>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</si>
  <si>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</si>
  <si>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</si>
  <si>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</si>
  <si>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</si>
  <si>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</si>
  <si>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</si>
  <si>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</si>
  <si>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</si>
  <si>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</si>
  <si>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</si>
  <si>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</si>
  <si>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</si>
  <si>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</si>
  <si>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</si>
  <si>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</si>
  <si>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</si>
  <si>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</si>
  <si>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</si>
  <si>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</si>
  <si>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</si>
  <si>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</si>
  <si>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</si>
  <si>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</si>
  <si>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</si>
  <si>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</si>
  <si>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</si>
  <si>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</si>
  <si>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</si>
  <si>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</si>
  <si>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</si>
  <si>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</si>
  <si>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</si>
  <si>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</si>
  <si>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</si>
  <si>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</si>
  <si>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</si>
  <si>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</si>
  <si>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</si>
  <si>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</si>
  <si>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</si>
  <si>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</si>
  <si>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</si>
  <si>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</si>
  <si>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</si>
  <si>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</si>
  <si>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</si>
  <si>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</si>
  <si>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</si>
  <si>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</si>
  <si>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</si>
  <si>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</si>
  <si>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</si>
  <si>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</si>
  <si>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</si>
  <si>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</si>
  <si>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</si>
  <si>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</si>
  <si>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</si>
  <si>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</si>
  <si>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</si>
  <si>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</si>
  <si>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</si>
  <si>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</si>
  <si>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</si>
  <si>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</si>
  <si>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</si>
  <si>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</si>
  <si>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</si>
  <si>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</si>
  <si>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</si>
  <si>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</si>
  <si>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</si>
  <si>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</si>
  <si>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</si>
  <si>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</si>
  <si>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</si>
  <si>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</si>
  <si>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</si>
  <si>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</si>
  <si>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</si>
  <si>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</si>
  <si>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</si>
  <si>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</si>
  <si>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</si>
  <si>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</si>
  <si>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</si>
  <si>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</si>
  <si>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</si>
  <si>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</si>
  <si>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</si>
  <si>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</si>
  <si>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</si>
  <si>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</si>
  <si>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</si>
  <si>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</si>
  <si>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</si>
  <si>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</si>
  <si>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</si>
  <si>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</si>
  <si>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</si>
  <si>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</si>
  <si>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</si>
  <si>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</si>
  <si>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</si>
  <si>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</si>
  <si>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</si>
  <si>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</si>
  <si>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</si>
  <si>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</si>
  <si>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</si>
  <si>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</si>
  <si>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</si>
  <si>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</si>
  <si>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</si>
  <si>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</si>
  <si>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</si>
  <si>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</si>
  <si>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</si>
  <si>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</si>
  <si>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</si>
  <si>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</si>
  <si>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</si>
  <si>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</si>
  <si>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</si>
  <si>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</si>
  <si>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</si>
  <si>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</si>
  <si>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</si>
  <si>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</si>
  <si>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</si>
  <si>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</si>
  <si>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</si>
  <si>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</si>
  <si>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</si>
  <si>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</si>
  <si>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</si>
  <si>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</si>
  <si>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</si>
  <si>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</si>
  <si>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</si>
  <si>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</si>
  <si>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</si>
  <si>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</si>
  <si>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</si>
  <si>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</si>
  <si>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</si>
  <si>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</si>
  <si>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</si>
  <si>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</si>
  <si>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</si>
  <si>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</si>
  <si>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</si>
  <si>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</si>
  <si>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</si>
  <si>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</si>
  <si>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</si>
  <si>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</si>
  <si>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</si>
  <si>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</si>
  <si>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</si>
  <si>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</si>
  <si>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</si>
  <si>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</si>
  <si>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</si>
  <si>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</si>
  <si>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</si>
  <si>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</si>
  <si>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</si>
  <si>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</si>
  <si>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</si>
  <si>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</si>
  <si>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</si>
  <si>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</si>
  <si>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</si>
  <si>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</si>
  <si>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</si>
  <si>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</si>
  <si>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</si>
  <si>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</si>
  <si>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</si>
  <si>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</si>
  <si>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</si>
  <si>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</si>
  <si>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</si>
  <si>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</si>
  <si>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</si>
  <si>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</si>
  <si>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</si>
  <si>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</si>
  <si>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</si>
  <si>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</si>
  <si>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</si>
  <si>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</si>
  <si>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</si>
  <si>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</si>
  <si>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</si>
  <si>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</si>
  <si>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</si>
  <si>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</si>
  <si>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</si>
  <si>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</si>
  <si>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</si>
  <si>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</si>
  <si>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</si>
  <si>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</si>
  <si>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</si>
  <si>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</si>
  <si>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</si>
  <si>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</si>
  <si>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</si>
  <si>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</si>
  <si>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</si>
  <si>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</si>
  <si>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</si>
  <si>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</si>
  <si>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</si>
  <si>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</si>
  <si>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</si>
  <si>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</si>
  <si>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</si>
  <si>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</si>
  <si>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</si>
  <si>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</si>
  <si>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</si>
  <si>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</si>
  <si>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</si>
  <si>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</si>
  <si>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</si>
  <si>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</si>
  <si>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</si>
  <si>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</si>
  <si>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</si>
  <si>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</si>
  <si>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</si>
  <si>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</si>
  <si>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</si>
  <si>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</si>
  <si>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</si>
  <si>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</si>
  <si>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</si>
  <si>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</si>
  <si>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</si>
  <si>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</si>
  <si>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</si>
  <si>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</si>
  <si>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</si>
  <si>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</si>
  <si>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</si>
  <si>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</si>
  <si>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</si>
  <si>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</si>
  <si>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</si>
  <si>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</si>
  <si>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</si>
  <si>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</si>
  <si>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</si>
  <si>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</si>
  <si>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</si>
  <si>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</si>
  <si>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</si>
  <si>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</si>
  <si>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</si>
  <si>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</si>
  <si>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</si>
  <si>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</si>
  <si>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</si>
  <si>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</si>
  <si>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</si>
  <si>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</si>
  <si>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</si>
  <si>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</si>
  <si>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</si>
  <si>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</si>
  <si>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</si>
  <si>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</si>
  <si>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</si>
  <si>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</si>
  <si>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</si>
  <si>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</si>
  <si>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</si>
  <si>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</si>
  <si>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</si>
  <si>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</si>
  <si>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</si>
  <si>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</si>
  <si>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</si>
  <si>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</si>
  <si>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</si>
  <si>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</si>
  <si>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</si>
  <si>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</si>
  <si>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</si>
  <si>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</si>
  <si>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</si>
  <si>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</si>
  <si>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</si>
  <si>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</si>
  <si>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</si>
  <si>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</si>
  <si>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</si>
  <si>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</si>
  <si>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</si>
  <si>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</si>
  <si>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</si>
  <si>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</si>
  <si>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</si>
  <si>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</si>
  <si>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</si>
  <si>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</si>
  <si>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</si>
  <si>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</si>
  <si>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</si>
  <si>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</si>
  <si>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</si>
  <si>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</si>
  <si>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</si>
  <si>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</si>
  <si>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</si>
  <si>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</si>
  <si>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</si>
  <si>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</si>
  <si>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</si>
  <si>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</si>
  <si>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</si>
  <si>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</si>
  <si>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</si>
  <si>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</si>
  <si>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</si>
  <si>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</si>
  <si>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</si>
  <si>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</si>
  <si>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</si>
  <si>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</si>
  <si>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</si>
  <si>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</si>
  <si>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</si>
  <si>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</si>
  <si>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</si>
  <si>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</si>
  <si>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</si>
  <si>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</si>
  <si>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</si>
  <si>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</si>
  <si>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</si>
  <si>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</si>
  <si>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</si>
  <si>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</si>
  <si>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</si>
  <si>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</si>
  <si>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</si>
  <si>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</si>
  <si>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</si>
  <si>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</si>
  <si>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</si>
  <si>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</si>
  <si>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</si>
  <si>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</si>
  <si>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</si>
  <si>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</si>
  <si>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</si>
  <si>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</si>
  <si>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</si>
  <si>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</si>
  <si>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</si>
  <si>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</si>
  <si>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</si>
  <si>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</si>
  <si>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</si>
  <si>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</si>
  <si>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</si>
  <si>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</si>
  <si>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</si>
  <si>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</si>
  <si>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</si>
  <si>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</si>
  <si>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</si>
  <si>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</si>
  <si>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</si>
  <si>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</si>
  <si>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</si>
  <si>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</si>
  <si>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</si>
  <si>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</si>
  <si>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</si>
  <si>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</si>
  <si>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</si>
  <si>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</si>
  <si>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</si>
  <si>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</si>
  <si>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</si>
  <si>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</si>
  <si>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</si>
  <si>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</si>
  <si>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</si>
  <si>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</si>
  <si>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</si>
  <si>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</si>
  <si>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</si>
  <si>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</si>
  <si>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</si>
  <si>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</si>
  <si>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</si>
  <si>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</si>
  <si>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</si>
  <si>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</si>
  <si>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</si>
  <si>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</si>
  <si>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</si>
  <si>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</si>
  <si>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</si>
  <si>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</si>
  <si>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</si>
  <si>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</si>
  <si>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</si>
  <si>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</si>
  <si>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</si>
  <si>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</si>
  <si>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</si>
  <si>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</si>
  <si>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</si>
  <si>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</si>
  <si>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</si>
  <si>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</si>
  <si>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</si>
  <si>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</si>
  <si>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</si>
  <si>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</si>
  <si>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</si>
  <si>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</si>
  <si>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</si>
  <si>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</si>
  <si>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</si>
  <si>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</si>
  <si>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</si>
  <si>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</si>
  <si>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</si>
  <si>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</si>
  <si>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</si>
  <si>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</si>
  <si>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</si>
  <si>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</si>
  <si>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</si>
  <si>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</si>
  <si>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</si>
  <si>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</si>
  <si>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</si>
  <si>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</si>
  <si>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</si>
  <si>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</si>
  <si>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</si>
  <si>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</si>
  <si>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</si>
  <si>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</si>
  <si>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</si>
  <si>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</si>
  <si>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</si>
  <si>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</si>
  <si>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</si>
  <si>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</si>
  <si>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</si>
  <si>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</si>
  <si>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</si>
  <si>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</si>
  <si>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</si>
  <si>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</si>
  <si>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</si>
  <si>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</si>
  <si>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</si>
  <si>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</si>
  <si>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</si>
  <si>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</si>
  <si>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</si>
  <si>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</si>
  <si>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</si>
  <si>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</si>
  <si>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</si>
  <si>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</si>
  <si>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</si>
  <si>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</si>
  <si>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</si>
  <si>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</si>
  <si>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</si>
  <si>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</si>
  <si>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</si>
  <si>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</si>
  <si>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</si>
  <si>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</si>
  <si>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</si>
  <si>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Defense Buff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</si>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</sst>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3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894</v>
      </c>
    </row>
    <row r="2" spans="1:5" x14ac:dyDescent="0.25">
      <c r="A2" s="60" t="s">
        <v>1034</v>
      </c>
    </row>
    <row r="3" spans="1:5" x14ac:dyDescent="0.25">
      <c r="A3" s="60" t="s">
        <v>1035</v>
      </c>
    </row>
    <row r="4" spans="1:5" x14ac:dyDescent="0.25">
      <c r="A4" s="60" t="s">
        <v>1036</v>
      </c>
    </row>
    <row r="5" spans="1:5" x14ac:dyDescent="0.25">
      <c r="A5" s="60" t="s">
        <v>895</v>
      </c>
    </row>
    <row r="7" spans="1:5" x14ac:dyDescent="0.25">
      <c r="A7" s="104" t="s">
        <v>893</v>
      </c>
      <c r="B7" s="119">
        <v>562858</v>
      </c>
      <c r="D7" s="104" t="s">
        <v>921</v>
      </c>
      <c r="E7" s="119">
        <v>363053</v>
      </c>
    </row>
    <row r="8" spans="1:5" x14ac:dyDescent="0.25">
      <c r="A8" s="123" t="s">
        <v>1039</v>
      </c>
      <c r="B8" s="47" t="s">
        <v>1040</v>
      </c>
      <c r="D8" s="123" t="s">
        <v>1023</v>
      </c>
      <c r="E8" s="47">
        <v>260000</v>
      </c>
    </row>
    <row r="9" spans="1:5" x14ac:dyDescent="0.25">
      <c r="A9" s="123" t="s">
        <v>1022</v>
      </c>
      <c r="B9" s="47" t="s">
        <v>1037</v>
      </c>
      <c r="D9" s="123" t="s">
        <v>1024</v>
      </c>
      <c r="E9" s="47" t="b">
        <v>0</v>
      </c>
    </row>
    <row r="10" spans="1:5" x14ac:dyDescent="0.25">
      <c r="A10" s="123" t="s">
        <v>906</v>
      </c>
      <c r="B10" s="47">
        <v>8</v>
      </c>
      <c r="D10" s="123" t="s">
        <v>1025</v>
      </c>
      <c r="E10" s="47" t="b">
        <v>0</v>
      </c>
    </row>
    <row r="12" spans="1:5" x14ac:dyDescent="0.25">
      <c r="A12" s="106" t="s">
        <v>1041</v>
      </c>
      <c r="B12" s="107"/>
    </row>
    <row r="13" spans="1:5" x14ac:dyDescent="0.25">
      <c r="A13" s="109" t="s">
        <v>902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903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1077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1078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904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907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922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1042</v>
      </c>
      <c r="L21" s="103" t="s">
        <v>1043</v>
      </c>
    </row>
    <row r="22" spans="1:25" x14ac:dyDescent="0.25">
      <c r="A22" s="101"/>
      <c r="B22" s="161" t="s">
        <v>682</v>
      </c>
      <c r="C22" s="161"/>
      <c r="D22" s="161"/>
      <c r="E22" s="161"/>
      <c r="F22" s="161"/>
      <c r="G22" s="161"/>
      <c r="H22" s="161"/>
      <c r="I22" s="161"/>
      <c r="J22" s="162"/>
      <c r="L22" s="163" t="s">
        <v>815</v>
      </c>
      <c r="M22" s="161"/>
      <c r="N22" s="161"/>
      <c r="O22" s="162"/>
      <c r="P22" s="161" t="s">
        <v>816</v>
      </c>
      <c r="Q22" s="161"/>
      <c r="R22" s="161"/>
      <c r="S22" s="162"/>
      <c r="T22" s="161" t="s">
        <v>817</v>
      </c>
      <c r="U22" s="161"/>
      <c r="V22" s="161"/>
      <c r="W22" s="162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813</v>
      </c>
      <c r="M23" s="63" t="s">
        <v>8</v>
      </c>
      <c r="N23" s="63" t="s">
        <v>18</v>
      </c>
      <c r="O23" s="64" t="s">
        <v>814</v>
      </c>
      <c r="P23" s="63" t="s">
        <v>813</v>
      </c>
      <c r="Q23" s="63" t="s">
        <v>8</v>
      </c>
      <c r="R23" s="63" t="s">
        <v>18</v>
      </c>
      <c r="S23" s="64" t="s">
        <v>814</v>
      </c>
      <c r="T23" s="63" t="s">
        <v>813</v>
      </c>
      <c r="U23" s="63" t="s">
        <v>8</v>
      </c>
      <c r="V23" s="63" t="s">
        <v>18</v>
      </c>
      <c r="W23" s="64" t="s">
        <v>814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826</v>
      </c>
      <c r="M24" s="44" t="s">
        <v>628</v>
      </c>
      <c r="N24" s="44">
        <v>10</v>
      </c>
      <c r="O24" s="54">
        <v>1</v>
      </c>
      <c r="P24" s="52" t="s">
        <v>836</v>
      </c>
      <c r="Q24" s="44" t="s">
        <v>644</v>
      </c>
      <c r="R24" s="44">
        <v>10</v>
      </c>
      <c r="S24" s="54">
        <v>1</v>
      </c>
      <c r="T24" s="52" t="s">
        <v>861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826</v>
      </c>
      <c r="M25" s="44" t="s">
        <v>628</v>
      </c>
      <c r="N25" s="44">
        <v>10</v>
      </c>
      <c r="O25" s="54">
        <v>1</v>
      </c>
      <c r="P25" s="52" t="s">
        <v>836</v>
      </c>
      <c r="Q25" s="44" t="s">
        <v>644</v>
      </c>
      <c r="R25" s="44">
        <v>10</v>
      </c>
      <c r="S25" s="54">
        <v>1</v>
      </c>
      <c r="T25" s="52" t="s">
        <v>862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876</v>
      </c>
      <c r="M26" s="44" t="s">
        <v>628</v>
      </c>
      <c r="N26" s="44">
        <v>10</v>
      </c>
      <c r="O26" s="54">
        <v>1</v>
      </c>
      <c r="P26" s="52" t="s">
        <v>836</v>
      </c>
      <c r="Q26" s="44" t="s">
        <v>644</v>
      </c>
      <c r="R26" s="44">
        <v>10</v>
      </c>
      <c r="S26" s="54">
        <v>1</v>
      </c>
      <c r="T26" s="52" t="s">
        <v>862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876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851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1008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876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812</v>
      </c>
      <c r="U28" s="46" t="s">
        <v>848</v>
      </c>
      <c r="V28" s="46">
        <v>10</v>
      </c>
      <c r="W28" s="55">
        <v>1</v>
      </c>
    </row>
    <row r="30" spans="1:25" x14ac:dyDescent="0.25">
      <c r="A30" s="103" t="s">
        <v>1075</v>
      </c>
      <c r="L30" s="103" t="s">
        <v>1044</v>
      </c>
    </row>
    <row r="31" spans="1:25" x14ac:dyDescent="0.25">
      <c r="A31" s="131"/>
      <c r="B31" s="129"/>
      <c r="C31" s="130"/>
      <c r="D31" s="163" t="s">
        <v>1076</v>
      </c>
      <c r="E31" s="161"/>
      <c r="F31" s="161"/>
      <c r="G31" s="162"/>
      <c r="H31" s="163" t="s">
        <v>1074</v>
      </c>
      <c r="I31" s="161"/>
      <c r="J31" s="162"/>
      <c r="L31" s="101"/>
      <c r="M31" s="163" t="s">
        <v>887</v>
      </c>
      <c r="N31" s="161"/>
      <c r="O31" s="161"/>
      <c r="P31" s="161"/>
      <c r="Q31" s="162"/>
    </row>
    <row r="32" spans="1:25" x14ac:dyDescent="0.25">
      <c r="A32" s="62" t="s">
        <v>1033</v>
      </c>
      <c r="B32" s="62" t="s">
        <v>1047</v>
      </c>
      <c r="C32" s="64" t="s">
        <v>8</v>
      </c>
      <c r="D32" s="63" t="s">
        <v>1057</v>
      </c>
      <c r="E32" s="63" t="s">
        <v>1056</v>
      </c>
      <c r="F32" s="63" t="s">
        <v>1058</v>
      </c>
      <c r="G32" s="64" t="s">
        <v>1059</v>
      </c>
      <c r="H32" s="63">
        <v>1</v>
      </c>
      <c r="I32" s="63">
        <v>2</v>
      </c>
      <c r="J32" s="64">
        <v>3</v>
      </c>
      <c r="L32" s="50" t="s">
        <v>891</v>
      </c>
      <c r="M32" s="62" t="s">
        <v>8</v>
      </c>
      <c r="N32" s="63" t="s">
        <v>385</v>
      </c>
      <c r="O32" s="63" t="s">
        <v>18</v>
      </c>
      <c r="P32" s="63" t="s">
        <v>892</v>
      </c>
      <c r="Q32" s="64" t="s">
        <v>689</v>
      </c>
    </row>
    <row r="33" spans="1:17" x14ac:dyDescent="0.25">
      <c r="A33" s="52"/>
      <c r="B33" s="132">
        <v>1</v>
      </c>
      <c r="C33" s="133" t="s">
        <v>1048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755</v>
      </c>
      <c r="N33" s="46">
        <v>5</v>
      </c>
      <c r="O33" s="46">
        <v>100</v>
      </c>
      <c r="P33" s="46">
        <v>10</v>
      </c>
      <c r="Q33" s="47" t="s">
        <v>778</v>
      </c>
    </row>
    <row r="34" spans="1:17" x14ac:dyDescent="0.25">
      <c r="A34" s="52"/>
      <c r="B34" s="132">
        <v>2</v>
      </c>
      <c r="C34" s="133" t="s">
        <v>1049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1050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1029</v>
      </c>
    </row>
    <row r="36" spans="1:17" x14ac:dyDescent="0.25">
      <c r="A36" s="52"/>
      <c r="B36" s="132">
        <v>4</v>
      </c>
      <c r="C36" s="133" t="s">
        <v>1051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1052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1053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1054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1032</v>
      </c>
      <c r="D41" s="118"/>
    </row>
    <row r="42" spans="1:17" x14ac:dyDescent="0.25">
      <c r="A42" s="48" t="s">
        <v>1033</v>
      </c>
      <c r="B42" s="166" t="s">
        <v>8</v>
      </c>
      <c r="C42" s="167"/>
      <c r="D42" s="51" t="s">
        <v>892</v>
      </c>
    </row>
    <row r="43" spans="1:17" x14ac:dyDescent="0.25">
      <c r="A43" s="113" t="s">
        <v>1030</v>
      </c>
      <c r="B43" s="171" t="s">
        <v>901</v>
      </c>
      <c r="C43" s="172"/>
      <c r="D43" s="113">
        <v>10</v>
      </c>
    </row>
    <row r="44" spans="1:17" x14ac:dyDescent="0.25">
      <c r="A44" s="114"/>
      <c r="B44" s="173" t="s">
        <v>896</v>
      </c>
      <c r="C44" s="174"/>
      <c r="D44" s="114">
        <v>10</v>
      </c>
    </row>
    <row r="45" spans="1:17" x14ac:dyDescent="0.25">
      <c r="A45" s="114"/>
      <c r="B45" s="173" t="s">
        <v>897</v>
      </c>
      <c r="C45" s="174"/>
      <c r="D45" s="114">
        <v>10</v>
      </c>
    </row>
    <row r="46" spans="1:17" x14ac:dyDescent="0.25">
      <c r="A46" s="114"/>
      <c r="B46" s="158" t="s">
        <v>1085</v>
      </c>
      <c r="C46" s="159"/>
      <c r="D46" s="114">
        <v>10</v>
      </c>
    </row>
    <row r="47" spans="1:17" x14ac:dyDescent="0.25">
      <c r="A47" s="114"/>
      <c r="B47" s="173" t="s">
        <v>930</v>
      </c>
      <c r="C47" s="174"/>
      <c r="D47" s="114">
        <v>10</v>
      </c>
    </row>
    <row r="48" spans="1:17" x14ac:dyDescent="0.25">
      <c r="A48" s="114"/>
      <c r="B48" s="173" t="s">
        <v>931</v>
      </c>
      <c r="C48" s="174"/>
      <c r="D48" s="114">
        <v>10</v>
      </c>
    </row>
    <row r="49" spans="1:4" x14ac:dyDescent="0.25">
      <c r="A49" s="115"/>
      <c r="B49" s="164" t="s">
        <v>932</v>
      </c>
      <c r="C49" s="165"/>
      <c r="D49" s="115">
        <v>10</v>
      </c>
    </row>
    <row r="51" spans="1:4" x14ac:dyDescent="0.25">
      <c r="A51" s="103" t="s">
        <v>1031</v>
      </c>
    </row>
    <row r="52" spans="1:4" x14ac:dyDescent="0.25">
      <c r="A52" s="48" t="s">
        <v>1033</v>
      </c>
      <c r="B52" s="166" t="s">
        <v>8</v>
      </c>
      <c r="C52" s="166"/>
      <c r="D52" s="167"/>
    </row>
    <row r="53" spans="1:4" x14ac:dyDescent="0.25">
      <c r="A53" s="102"/>
      <c r="B53" s="168" t="s">
        <v>1038</v>
      </c>
      <c r="C53" s="169"/>
      <c r="D53" s="170"/>
    </row>
  </sheetData>
  <mergeCells count="16">
    <mergeCell ref="B49:C49"/>
    <mergeCell ref="B42:C42"/>
    <mergeCell ref="B53:D53"/>
    <mergeCell ref="B52:D52"/>
    <mergeCell ref="B43:C43"/>
    <mergeCell ref="B44:C44"/>
    <mergeCell ref="B45:C45"/>
    <mergeCell ref="B47:C47"/>
    <mergeCell ref="B48:C48"/>
    <mergeCell ref="P22:S22"/>
    <mergeCell ref="T22:W22"/>
    <mergeCell ref="L22:O22"/>
    <mergeCell ref="M31:Q31"/>
    <mergeCell ref="B22:J22"/>
    <mergeCell ref="D31:G31"/>
    <mergeCell ref="H31:J31"/>
  </mergeCells>
  <dataValidations count="17">
    <dataValidation type="list" allowBlank="1" showInputMessage="1" showErrorMessage="1" sqref="D24:D28" xr:uid="{21AD88A9-B2AA-4C84-BC3A-E37C26248E03}">
      <formula1>DollNames</formula1>
    </dataValidation>
    <dataValidation type="whole" allowBlank="1" showInputMessage="1" showErrorMessage="1" sqref="E24:E28" xr:uid="{A91EA898-ED4C-49B1-B25F-5832A65425CB}">
      <formula1>1</formula1>
      <formula2>120</formula2>
    </dataValidation>
    <dataValidation type="list" allowBlank="1" showInputMessage="1" showErrorMessage="1" sqref="F24:F28 N33" xr:uid="{5328149F-3F1C-4230-85F4-CE5052AD7E13}">
      <formula1>"1,2,3,4,5"</formula1>
    </dataValidation>
    <dataValidation type="list" allowBlank="1" showInputMessage="1" showErrorMessage="1" sqref="G24:G28 P33 D43:D49 H33:J39" xr:uid="{3743B600-B2C7-4E16-92AE-52222B4EB2DD}">
      <formula1>"1,2,3,4,5,6,7,8,9,10"</formula1>
    </dataValidation>
    <dataValidation type="list" allowBlank="1" showInputMessage="1" showErrorMessage="1" sqref="I24:I28" xr:uid="{8861D545-850B-46AB-8C70-664D2558EF64}">
      <formula1>"0,1,2,3,4"</formula1>
    </dataValidation>
    <dataValidation type="whole" allowBlank="1" showInputMessage="1" showErrorMessage="1" sqref="J24:J28" xr:uid="{EDEC6BC1-C6A5-4F2F-AAA4-5311B2B58A29}">
      <formula1>0</formula1>
      <formula2>200</formula2>
    </dataValidation>
    <dataValidation type="list" allowBlank="1" showInputMessage="1" showErrorMessage="1" sqref="M24:M28 Q24:Q28 U24:U28" xr:uid="{F1365919-E36B-4E8B-B848-7876F1474CA2}">
      <formula1>DollEq</formula1>
    </dataValidation>
    <dataValidation type="list" allowBlank="1" showInputMessage="1" showErrorMessage="1" sqref="H24:H28 N24:N28 R24:R28 V24:V28" xr:uid="{7F119D50-6243-4326-9DB5-89EF8CAB5FBF}">
      <formula1>"0,1,2,3,4,5,6,7,8,9,10"</formula1>
    </dataValidation>
    <dataValidation type="custom" allowBlank="1" showInputMessage="1" showErrorMessage="1" sqref="A43:A49" xr:uid="{D84C28A2-AF5E-465C-9AC5-BDA27B74DA10}">
      <formula1>COUNTA($A$43:$A$49)&lt;=1</formula1>
    </dataValidation>
    <dataValidation type="whole" allowBlank="1" showInputMessage="1" showErrorMessage="1" sqref="O33" xr:uid="{9D68526B-4976-49F8-9D3A-8045E8E154EC}">
      <formula1>1</formula1>
      <formula2>100</formula2>
    </dataValidation>
    <dataValidation type="custom" allowBlank="1" showInputMessage="1" showErrorMessage="1" sqref="L36:N38" xr:uid="{8BD1B429-50DC-4CFE-9F94-B9181AFDB81D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91A11830-032B-4F14-850F-E71CB4CE3879}">
      <formula1>"Yellow,Red,Blue,White"</formula1>
    </dataValidation>
    <dataValidation type="list" allowBlank="1" showInputMessage="1" showErrorMessage="1" sqref="E9:E10" xr:uid="{95E07AA9-0A34-47CC-AAAF-FDBCE1FE9B61}">
      <formula1>"TRUE,FALSE"</formula1>
    </dataValidation>
    <dataValidation type="list" allowBlank="1" showInputMessage="1" showErrorMessage="1" sqref="B8" xr:uid="{262497FC-5EB0-426A-909B-ACC7DD53C62B}">
      <formula1>"Day,Night"</formula1>
    </dataValidation>
    <dataValidation type="whole" allowBlank="1" showInputMessage="1" showErrorMessage="1" sqref="B10" xr:uid="{89D84C23-43E3-4925-A864-E606989CC5F3}">
      <formula1>1</formula1>
      <formula2>99</formula2>
    </dataValidation>
    <dataValidation type="whole" operator="greaterThan" allowBlank="1" showInputMessage="1" showErrorMessage="1" sqref="E7:E8" xr:uid="{5B8D6E76-6639-4597-BC16-91FF3408AE4E}">
      <formula1>0</formula1>
    </dataValidation>
    <dataValidation type="whole" operator="greaterThanOrEqual" allowBlank="1" showInputMessage="1" showErrorMessage="1" sqref="D33:G39" xr:uid="{7A4D5620-C6F3-48FA-8ED0-C1233ED4B5C1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5506503-903D-48DD-AD84-B2180011AFF3}">
          <x14:formula1>
            <xm:f>Dropdowns!$B$2:$B$7</xm:f>
          </x14:formula1>
          <xm:sqref>C24:C28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B24:B28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M33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Q33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1060</v>
      </c>
      <c r="C1" s="112" t="s">
        <v>1061</v>
      </c>
      <c r="D1" s="112" t="s">
        <v>1062</v>
      </c>
      <c r="E1" s="112" t="s">
        <v>297</v>
      </c>
      <c r="F1" s="112" t="s">
        <v>1063</v>
      </c>
      <c r="G1" s="112" t="s">
        <v>34</v>
      </c>
      <c r="H1" s="112" t="s">
        <v>1064</v>
      </c>
      <c r="I1" s="112" t="s">
        <v>35</v>
      </c>
      <c r="J1" s="112" t="s">
        <v>36</v>
      </c>
      <c r="K1" s="112" t="s">
        <v>1065</v>
      </c>
      <c r="L1" s="112" t="s">
        <v>1066</v>
      </c>
      <c r="M1" s="112" t="s">
        <v>1067</v>
      </c>
      <c r="N1" s="112" t="s">
        <v>1068</v>
      </c>
      <c r="O1" s="112" t="s">
        <v>1069</v>
      </c>
      <c r="P1" s="112" t="s">
        <v>1070</v>
      </c>
      <c r="Q1" s="112" t="s">
        <v>38</v>
      </c>
      <c r="R1" s="112" t="s">
        <v>1071</v>
      </c>
      <c r="S1" s="112" t="s">
        <v>41</v>
      </c>
      <c r="T1" s="112" t="s">
        <v>42</v>
      </c>
      <c r="U1" s="112" t="s">
        <v>1072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912</v>
      </c>
      <c r="B1" s="43" t="s">
        <v>908</v>
      </c>
      <c r="C1" s="43" t="s">
        <v>913</v>
      </c>
    </row>
    <row r="2" spans="1:3" x14ac:dyDescent="0.25">
      <c r="A2" t="s">
        <v>910</v>
      </c>
      <c r="B2" s="1">
        <f>IF(DayNight="Day",25,25)</f>
        <v>25</v>
      </c>
      <c r="C2" s="9" t="str">
        <f>IF(Main!A53="X",'Misc Inputs'!$C$19,CHAR(34)&amp;"fairy_skill_on_enemy"&amp;CHAR(34)&amp;": "&amp;CHAR(34)&amp;"[]"&amp;CHAR(34)&amp;",")</f>
        <v>"fairy_skill_on_enemy": "[]",</v>
      </c>
    </row>
    <row r="3" spans="1:3" x14ac:dyDescent="0.25">
      <c r="A3" t="s">
        <v>909</v>
      </c>
      <c r="B3" s="1">
        <f>IF(DayNight="Day",29,33)</f>
        <v>29</v>
      </c>
      <c r="C3" s="9" t="str">
        <f>IFERROR(INDEX('Misc Inputs'!$F$9:$F$15,MATCH("X",Main!$A$43:$A$49,0)),CHAR(34)&amp;A3&amp;CHAR(34)&amp;":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911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912</v>
      </c>
      <c r="B1" s="43" t="s">
        <v>908</v>
      </c>
      <c r="C1" s="43" t="s">
        <v>913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1019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1017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1018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1020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1021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1026</v>
      </c>
      <c r="Q1" s="10" t="s">
        <v>1027</v>
      </c>
      <c r="Y1" s="10" t="s">
        <v>1028</v>
      </c>
      <c r="Z1" s="10"/>
      <c r="AH1" s="10" t="s">
        <v>1073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1057</v>
      </c>
      <c r="AJ2" s="127" t="s">
        <v>1059</v>
      </c>
      <c r="AK2" s="127" t="s">
        <v>1058</v>
      </c>
      <c r="AL2" s="128" t="s">
        <v>1056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1048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1049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1050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1051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1052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1053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1054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886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2"/>
  <sheetViews>
    <sheetView workbookViewId="0">
      <pane ySplit="1" topLeftCell="A320" activePane="bottomLeft" state="frozen"/>
      <selection activeCell="C4" sqref="C4"/>
      <selection pane="bottomLeft" activeCell="B330" sqref="B330:B333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994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937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938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1014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939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1005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935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936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874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934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1007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940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1006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941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942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943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944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949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951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952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953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954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955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956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957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958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959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960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961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962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963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964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1015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966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967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968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969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970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971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972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975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976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977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978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979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980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981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982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983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984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985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1088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1091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1089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1090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986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987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988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989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990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991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839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824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933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859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867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1008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995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828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1009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996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1010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997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1011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1012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998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863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860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1013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1004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999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1000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1001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992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842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830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853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993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1002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1003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2"/>
  <sheetViews>
    <sheetView workbookViewId="0">
      <pane ySplit="1" topLeftCell="A176" activePane="bottomLeft" state="frozen"/>
      <selection activeCell="B191" sqref="B191"/>
      <selection pane="bottomLeft" activeCell="B191" sqref="B191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812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843</v>
      </c>
      <c r="C38" s="1" t="s">
        <v>812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877</v>
      </c>
      <c r="C39" s="1" t="s">
        <v>812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848</v>
      </c>
      <c r="C40" s="1" t="s">
        <v>812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818</v>
      </c>
      <c r="C59" s="1" t="s">
        <v>812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819</v>
      </c>
      <c r="C60" s="1" t="s">
        <v>812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820</v>
      </c>
      <c r="C61" s="1" t="s">
        <v>812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847</v>
      </c>
      <c r="C62" s="1" t="s">
        <v>812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852</v>
      </c>
      <c r="C67" s="1" t="s">
        <v>812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849</v>
      </c>
      <c r="C68" s="1" t="s">
        <v>812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831</v>
      </c>
      <c r="C69" s="1" t="s">
        <v>812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812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812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812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812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812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860</v>
      </c>
      <c r="C75" s="1" t="s">
        <v>812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1010</v>
      </c>
      <c r="C76" s="1" t="s">
        <v>812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812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812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812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812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1009</v>
      </c>
      <c r="C81" s="1" t="s">
        <v>812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812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933</v>
      </c>
      <c r="C83" s="1" t="s">
        <v>812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812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812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832</v>
      </c>
      <c r="C86" s="1" t="s">
        <v>812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833</v>
      </c>
      <c r="C87" s="1" t="s">
        <v>812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821</v>
      </c>
      <c r="C88" s="1" t="s">
        <v>812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812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863</v>
      </c>
      <c r="C90" s="1" t="s">
        <v>812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1011</v>
      </c>
      <c r="C91" s="1" t="s">
        <v>812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812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812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854</v>
      </c>
      <c r="C94" s="1" t="s">
        <v>812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995</v>
      </c>
      <c r="C95" s="1" t="s">
        <v>812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812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1012</v>
      </c>
      <c r="C97" s="1" t="s">
        <v>812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812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812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812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812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812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997</v>
      </c>
      <c r="C103" s="1" t="s">
        <v>812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879</v>
      </c>
      <c r="C104" s="1" t="s">
        <v>812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880</v>
      </c>
      <c r="C105" s="1" t="s">
        <v>812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882</v>
      </c>
      <c r="C106" s="1" t="s">
        <v>812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883</v>
      </c>
      <c r="C107" s="1" t="s">
        <v>812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1016</v>
      </c>
      <c r="C108" s="1" t="s">
        <v>812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878</v>
      </c>
      <c r="C109" s="1" t="s">
        <v>812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881</v>
      </c>
      <c r="C110" s="1" t="s">
        <v>812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884</v>
      </c>
      <c r="C111" s="1" t="s">
        <v>812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855</v>
      </c>
      <c r="C112" s="1" t="s">
        <v>812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837</v>
      </c>
      <c r="C113" s="1" t="s">
        <v>812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850</v>
      </c>
      <c r="C114" s="1" t="s">
        <v>812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856</v>
      </c>
      <c r="C115" s="1" t="s">
        <v>812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857</v>
      </c>
      <c r="C116" s="1" t="s">
        <v>812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812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840</v>
      </c>
      <c r="C118" s="1" t="s">
        <v>812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864</v>
      </c>
      <c r="C119" s="1" t="s">
        <v>812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865</v>
      </c>
      <c r="C120" s="1" t="s">
        <v>812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812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812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812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1008</v>
      </c>
      <c r="C124" s="1" t="s">
        <v>812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1013</v>
      </c>
      <c r="C125" s="1" t="s">
        <v>812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812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822</v>
      </c>
      <c r="C127" s="1" t="s">
        <v>812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823</v>
      </c>
      <c r="C128" s="1" t="s">
        <v>812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812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866</v>
      </c>
      <c r="C130" s="1" t="s">
        <v>812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812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858</v>
      </c>
      <c r="C132" s="1" t="s">
        <v>812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828</v>
      </c>
      <c r="C133" s="1" t="s">
        <v>812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867</v>
      </c>
      <c r="C134" s="1" t="s">
        <v>812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874</v>
      </c>
      <c r="C135" s="1" t="s">
        <v>812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812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812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859</v>
      </c>
      <c r="C138" s="1" t="s">
        <v>812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812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845</v>
      </c>
      <c r="C140" s="1" t="s">
        <v>812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841</v>
      </c>
      <c r="C141" s="1" t="s">
        <v>812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812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1003</v>
      </c>
      <c r="C143" s="1" t="s">
        <v>812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830</v>
      </c>
      <c r="C144" s="1" t="s">
        <v>812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812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812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812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812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838</v>
      </c>
      <c r="C149" s="1" t="s">
        <v>812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812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812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868</v>
      </c>
      <c r="C152" s="1" t="s">
        <v>812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812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812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869</v>
      </c>
      <c r="C155" s="1" t="s">
        <v>812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870</v>
      </c>
      <c r="C156" s="1" t="s">
        <v>812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999</v>
      </c>
      <c r="C157" s="1" t="s">
        <v>812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1000</v>
      </c>
      <c r="C158" s="1" t="s">
        <v>812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992</v>
      </c>
      <c r="C159" s="1" t="s">
        <v>812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853</v>
      </c>
      <c r="C160" s="1" t="s">
        <v>812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871</v>
      </c>
      <c r="C161" s="1" t="s">
        <v>812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812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872</v>
      </c>
      <c r="C163" s="1" t="s">
        <v>812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812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812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1119</v>
      </c>
      <c r="C166" s="1" t="s">
        <v>812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1117</v>
      </c>
      <c r="C167" s="1" t="s">
        <v>812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1118</v>
      </c>
      <c r="C168" s="1" t="s">
        <v>812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1120</v>
      </c>
      <c r="C169" s="1" t="s">
        <v>812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1121</v>
      </c>
      <c r="C170" s="1" t="s">
        <v>812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1122</v>
      </c>
      <c r="C171" s="1" t="s">
        <v>812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998</v>
      </c>
      <c r="C172" s="1" t="s">
        <v>812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842</v>
      </c>
      <c r="C173" s="1" t="s">
        <v>812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1001</v>
      </c>
      <c r="C174" s="1" t="s">
        <v>812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825</v>
      </c>
      <c r="C175" s="1" t="s">
        <v>812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812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873</v>
      </c>
      <c r="C177" s="1" t="s">
        <v>812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60" t="s">
        <v>623</v>
      </c>
    </row>
    <row r="178" spans="1:23" x14ac:dyDescent="0.25">
      <c r="A178" s="1">
        <v>211</v>
      </c>
      <c r="B178" t="s">
        <v>835</v>
      </c>
      <c r="C178" s="1" t="s">
        <v>812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60" t="s">
        <v>624</v>
      </c>
    </row>
    <row r="179" spans="1:23" x14ac:dyDescent="0.25">
      <c r="A179" s="1">
        <v>212</v>
      </c>
      <c r="B179" t="s">
        <v>996</v>
      </c>
      <c r="C179" s="1" t="s">
        <v>812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60" t="s">
        <v>1080</v>
      </c>
    </row>
    <row r="180" spans="1:23" x14ac:dyDescent="0.25">
      <c r="A180" s="1">
        <v>213</v>
      </c>
      <c r="B180" t="s">
        <v>1004</v>
      </c>
      <c r="C180" s="1" t="s">
        <v>812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60" t="s">
        <v>1081</v>
      </c>
    </row>
    <row r="181" spans="1:23" x14ac:dyDescent="0.25">
      <c r="A181" s="1">
        <v>214</v>
      </c>
      <c r="B181" t="s">
        <v>993</v>
      </c>
      <c r="C181" s="1" t="s">
        <v>812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60" t="s">
        <v>1082</v>
      </c>
    </row>
    <row r="182" spans="1:23" x14ac:dyDescent="0.25">
      <c r="A182" s="1">
        <v>215</v>
      </c>
      <c r="B182" t="s">
        <v>1002</v>
      </c>
      <c r="C182" s="1" t="s">
        <v>812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60" t="s">
        <v>1083</v>
      </c>
    </row>
    <row r="183" spans="1:23" x14ac:dyDescent="0.25">
      <c r="A183" s="1">
        <v>216</v>
      </c>
      <c r="B183" t="s">
        <v>952</v>
      </c>
      <c r="C183" s="1" t="s">
        <v>812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60" t="s">
        <v>1084</v>
      </c>
    </row>
    <row r="184" spans="1:23" x14ac:dyDescent="0.25">
      <c r="A184" s="1">
        <v>217</v>
      </c>
      <c r="B184" t="s">
        <v>103</v>
      </c>
      <c r="C184" s="1" t="s">
        <v>812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60" t="s">
        <v>1079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60" t="s">
        <v>1094</v>
      </c>
      <c r="W185">
        <v>0</v>
      </c>
    </row>
    <row r="186" spans="1:23" x14ac:dyDescent="0.25">
      <c r="A186" s="1">
        <v>219</v>
      </c>
      <c r="B186" t="s">
        <v>1104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60" t="s">
        <v>1087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60" t="s">
        <v>1095</v>
      </c>
      <c r="W187">
        <v>0</v>
      </c>
    </row>
    <row r="188" spans="1:23" x14ac:dyDescent="0.25">
      <c r="A188" s="1">
        <v>222</v>
      </c>
      <c r="B188" t="s">
        <v>1123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60" t="s">
        <v>432</v>
      </c>
      <c r="W188">
        <v>0</v>
      </c>
    </row>
    <row r="189" spans="1:23" x14ac:dyDescent="0.25">
      <c r="A189" s="1">
        <v>223</v>
      </c>
      <c r="B189" t="s">
        <v>1124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60" t="s">
        <v>432</v>
      </c>
      <c r="W189">
        <v>0</v>
      </c>
    </row>
    <row r="190" spans="1:23" x14ac:dyDescent="0.25">
      <c r="A190" s="1">
        <v>224</v>
      </c>
      <c r="B190" t="s">
        <v>1125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1096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60" t="s">
        <v>432</v>
      </c>
      <c r="W190">
        <v>0</v>
      </c>
    </row>
    <row r="191" spans="1:23" x14ac:dyDescent="0.25">
      <c r="A191" s="1">
        <v>225</v>
      </c>
      <c r="B191" t="s">
        <v>1115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60" t="s">
        <v>432</v>
      </c>
      <c r="W191">
        <v>0</v>
      </c>
    </row>
    <row r="192" spans="1:23" x14ac:dyDescent="0.25">
      <c r="A192" s="1">
        <v>226</v>
      </c>
      <c r="B192" t="s">
        <v>1114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1097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60" t="s">
        <v>432</v>
      </c>
      <c r="W192">
        <v>0</v>
      </c>
    </row>
    <row r="193" spans="1:23" x14ac:dyDescent="0.25">
      <c r="A193" s="1">
        <v>227</v>
      </c>
      <c r="B193" t="s">
        <v>1113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1098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60" t="s">
        <v>432</v>
      </c>
      <c r="W193">
        <v>0</v>
      </c>
    </row>
    <row r="194" spans="1:23" x14ac:dyDescent="0.25">
      <c r="A194" s="1">
        <v>228</v>
      </c>
      <c r="B194" t="s">
        <v>1112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1099</v>
      </c>
      <c r="K194" s="1" t="s">
        <v>432</v>
      </c>
      <c r="L194" s="1" t="s">
        <v>432</v>
      </c>
      <c r="M194" s="1" t="s">
        <v>1100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60" t="s">
        <v>432</v>
      </c>
      <c r="W194">
        <v>0</v>
      </c>
    </row>
    <row r="195" spans="1:23" x14ac:dyDescent="0.25">
      <c r="A195" s="1">
        <v>229</v>
      </c>
      <c r="B195" t="s">
        <v>1111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1099</v>
      </c>
      <c r="K195" s="1" t="s">
        <v>432</v>
      </c>
      <c r="L195" s="1" t="s">
        <v>432</v>
      </c>
      <c r="M195" s="1" t="s">
        <v>1101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60" t="s">
        <v>432</v>
      </c>
      <c r="W195">
        <v>0</v>
      </c>
    </row>
    <row r="196" spans="1:23" x14ac:dyDescent="0.25">
      <c r="A196" s="1">
        <v>230</v>
      </c>
      <c r="B196" t="s">
        <v>1110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1093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60" t="s">
        <v>432</v>
      </c>
      <c r="W196">
        <v>0</v>
      </c>
    </row>
    <row r="197" spans="1:23" x14ac:dyDescent="0.25">
      <c r="A197" s="1">
        <v>231</v>
      </c>
      <c r="B197" t="s">
        <v>1109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1092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60" t="s">
        <v>432</v>
      </c>
      <c r="W197">
        <v>0</v>
      </c>
    </row>
    <row r="198" spans="1:23" x14ac:dyDescent="0.25">
      <c r="A198" s="1">
        <v>232</v>
      </c>
      <c r="B198" t="s">
        <v>1108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1102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60" t="s">
        <v>432</v>
      </c>
      <c r="W198">
        <v>0</v>
      </c>
    </row>
    <row r="199" spans="1:23" x14ac:dyDescent="0.25">
      <c r="A199" s="1">
        <v>233</v>
      </c>
      <c r="B199" t="s">
        <v>1107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1102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60" t="s">
        <v>432</v>
      </c>
      <c r="W199">
        <v>0</v>
      </c>
    </row>
    <row r="200" spans="1:23" x14ac:dyDescent="0.25">
      <c r="A200" s="1">
        <v>234</v>
      </c>
      <c r="B200" t="s">
        <v>1106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1102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60" t="s">
        <v>432</v>
      </c>
      <c r="W200">
        <v>0</v>
      </c>
    </row>
    <row r="201" spans="1:23" x14ac:dyDescent="0.25">
      <c r="A201" s="1">
        <v>235</v>
      </c>
      <c r="B201" t="s">
        <v>1105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60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60" t="s">
        <v>1103</v>
      </c>
      <c r="W202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690</v>
      </c>
      <c r="E1" s="117" t="s">
        <v>741</v>
      </c>
      <c r="F1" s="117" t="s">
        <v>742</v>
      </c>
      <c r="G1" s="117" t="s">
        <v>743</v>
      </c>
      <c r="H1" s="117" t="s">
        <v>744</v>
      </c>
      <c r="I1" s="117" t="s">
        <v>745</v>
      </c>
      <c r="J1" s="117" t="s">
        <v>415</v>
      </c>
      <c r="K1" s="117" t="s">
        <v>692</v>
      </c>
    </row>
    <row r="2" spans="1:11" x14ac:dyDescent="0.25">
      <c r="A2" s="1">
        <v>1</v>
      </c>
      <c r="B2" t="s">
        <v>756</v>
      </c>
      <c r="C2" s="1">
        <v>2</v>
      </c>
      <c r="D2" t="s">
        <v>693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746</v>
      </c>
      <c r="C3" s="1">
        <v>2</v>
      </c>
      <c r="D3" t="s">
        <v>694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748</v>
      </c>
      <c r="C5" s="1">
        <v>3</v>
      </c>
      <c r="D5" t="s">
        <v>696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749</v>
      </c>
      <c r="C6" s="1">
        <v>5</v>
      </c>
      <c r="D6" t="s">
        <v>697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750</v>
      </c>
      <c r="C7" s="1">
        <v>3</v>
      </c>
      <c r="D7" t="s">
        <v>698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751</v>
      </c>
      <c r="C8" s="1">
        <v>4</v>
      </c>
      <c r="D8" t="s">
        <v>699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752</v>
      </c>
      <c r="C9" s="1">
        <v>4</v>
      </c>
      <c r="D9" t="s">
        <v>700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753</v>
      </c>
      <c r="C10" s="1">
        <v>4</v>
      </c>
      <c r="D10" t="s">
        <v>701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754</v>
      </c>
      <c r="C11" s="1">
        <v>5</v>
      </c>
      <c r="D11" t="s">
        <v>702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755</v>
      </c>
      <c r="C12" s="1">
        <v>5</v>
      </c>
      <c r="D12" t="s">
        <v>703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704</v>
      </c>
      <c r="C13" s="1">
        <v>6</v>
      </c>
      <c r="D13" t="s">
        <v>705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757</v>
      </c>
      <c r="C14" s="1">
        <v>6</v>
      </c>
      <c r="D14" t="s">
        <v>706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758</v>
      </c>
      <c r="C15" s="1">
        <v>6</v>
      </c>
      <c r="D15" t="s">
        <v>707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759</v>
      </c>
      <c r="C16" s="1">
        <v>1</v>
      </c>
      <c r="D16" t="s">
        <v>708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760</v>
      </c>
      <c r="C17" s="1">
        <v>1</v>
      </c>
      <c r="D17" t="s">
        <v>709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761</v>
      </c>
      <c r="C18" s="1">
        <v>1</v>
      </c>
      <c r="D18" t="s">
        <v>710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763</v>
      </c>
      <c r="C20" s="1">
        <v>2</v>
      </c>
      <c r="D20" t="s">
        <v>712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764</v>
      </c>
      <c r="C21" s="1">
        <v>2</v>
      </c>
      <c r="D21" t="s">
        <v>713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714</v>
      </c>
      <c r="C22" s="1">
        <v>6</v>
      </c>
      <c r="D22" t="s">
        <v>715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765</v>
      </c>
      <c r="C23" s="1">
        <v>6</v>
      </c>
      <c r="D23" t="s">
        <v>716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766</v>
      </c>
      <c r="C24" s="1">
        <v>6</v>
      </c>
      <c r="D24" t="s">
        <v>717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767</v>
      </c>
      <c r="C25" s="1">
        <v>3</v>
      </c>
      <c r="D25" t="s">
        <v>718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768</v>
      </c>
      <c r="C26" s="1">
        <v>3</v>
      </c>
      <c r="D26" t="s">
        <v>719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769</v>
      </c>
      <c r="C27" s="1">
        <v>1</v>
      </c>
      <c r="D27" t="s">
        <v>720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770</v>
      </c>
      <c r="C28" s="1">
        <v>6</v>
      </c>
      <c r="D28" t="s">
        <v>721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771</v>
      </c>
      <c r="C29" s="1">
        <v>6</v>
      </c>
      <c r="D29" t="s">
        <v>722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772</v>
      </c>
      <c r="C30" s="1">
        <v>2</v>
      </c>
      <c r="D30" t="s">
        <v>723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724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725</v>
      </c>
      <c r="C32" s="1">
        <v>6</v>
      </c>
      <c r="D32" t="s">
        <v>726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727</v>
      </c>
      <c r="C33" s="1">
        <v>3</v>
      </c>
      <c r="D33" t="s">
        <v>728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773</v>
      </c>
      <c r="C34" s="1">
        <v>6</v>
      </c>
      <c r="D34" t="s">
        <v>729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775</v>
      </c>
      <c r="C35" s="1">
        <v>2</v>
      </c>
      <c r="D35" t="s">
        <v>730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774</v>
      </c>
      <c r="C36" s="1">
        <v>2</v>
      </c>
      <c r="D36" t="s">
        <v>731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732</v>
      </c>
      <c r="C37" s="1">
        <v>2</v>
      </c>
      <c r="D37" t="s">
        <v>733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810</v>
      </c>
      <c r="C1" s="43" t="s">
        <v>811</v>
      </c>
    </row>
    <row r="2" spans="1:3" x14ac:dyDescent="0.25">
      <c r="A2" t="s">
        <v>776</v>
      </c>
      <c r="B2" s="1">
        <v>910101</v>
      </c>
      <c r="C2" t="s">
        <v>777</v>
      </c>
    </row>
    <row r="3" spans="1:3" x14ac:dyDescent="0.25">
      <c r="A3" t="s">
        <v>778</v>
      </c>
      <c r="B3" s="1">
        <v>910102</v>
      </c>
      <c r="C3" t="s">
        <v>779</v>
      </c>
    </row>
    <row r="4" spans="1:3" x14ac:dyDescent="0.25">
      <c r="A4" t="s">
        <v>780</v>
      </c>
      <c r="B4" s="1">
        <v>910103</v>
      </c>
      <c r="C4" t="s">
        <v>781</v>
      </c>
    </row>
    <row r="5" spans="1:3" x14ac:dyDescent="0.25">
      <c r="A5" t="s">
        <v>782</v>
      </c>
      <c r="B5" s="1">
        <v>910104</v>
      </c>
      <c r="C5" t="s">
        <v>783</v>
      </c>
    </row>
    <row r="6" spans="1:3" x14ac:dyDescent="0.25">
      <c r="A6" t="s">
        <v>784</v>
      </c>
      <c r="B6" s="1">
        <v>910105</v>
      </c>
      <c r="C6" t="s">
        <v>785</v>
      </c>
    </row>
    <row r="7" spans="1:3" x14ac:dyDescent="0.25">
      <c r="A7" t="s">
        <v>786</v>
      </c>
      <c r="B7" s="1">
        <v>910106</v>
      </c>
      <c r="C7" t="s">
        <v>787</v>
      </c>
    </row>
    <row r="8" spans="1:3" x14ac:dyDescent="0.25">
      <c r="A8" t="s">
        <v>788</v>
      </c>
      <c r="B8" s="1">
        <v>910107</v>
      </c>
      <c r="C8" t="s">
        <v>789</v>
      </c>
    </row>
    <row r="9" spans="1:3" x14ac:dyDescent="0.25">
      <c r="A9" t="s">
        <v>790</v>
      </c>
      <c r="B9" s="1">
        <v>910108</v>
      </c>
      <c r="C9" t="s">
        <v>791</v>
      </c>
    </row>
    <row r="10" spans="1:3" x14ac:dyDescent="0.25">
      <c r="A10" t="s">
        <v>792</v>
      </c>
      <c r="B10" s="1">
        <v>910109</v>
      </c>
      <c r="C10" t="s">
        <v>793</v>
      </c>
    </row>
    <row r="11" spans="1:3" x14ac:dyDescent="0.25">
      <c r="A11" t="s">
        <v>794</v>
      </c>
      <c r="B11" s="1">
        <v>910110</v>
      </c>
      <c r="C11" t="s">
        <v>795</v>
      </c>
    </row>
    <row r="12" spans="1:3" x14ac:dyDescent="0.25">
      <c r="A12" t="s">
        <v>796</v>
      </c>
      <c r="B12" s="1">
        <v>910111</v>
      </c>
      <c r="C12" t="s">
        <v>797</v>
      </c>
    </row>
    <row r="13" spans="1:3" x14ac:dyDescent="0.25">
      <c r="A13" t="s">
        <v>798</v>
      </c>
      <c r="B13" s="1">
        <v>910112</v>
      </c>
      <c r="C13" t="s">
        <v>799</v>
      </c>
    </row>
    <row r="14" spans="1:3" x14ac:dyDescent="0.25">
      <c r="A14" t="s">
        <v>800</v>
      </c>
      <c r="B14" s="1">
        <v>910113</v>
      </c>
      <c r="C14" t="s">
        <v>801</v>
      </c>
    </row>
    <row r="15" spans="1:3" x14ac:dyDescent="0.25">
      <c r="A15" t="s">
        <v>802</v>
      </c>
      <c r="B15" s="1">
        <v>910114</v>
      </c>
      <c r="C15" t="s">
        <v>803</v>
      </c>
    </row>
    <row r="16" spans="1:3" x14ac:dyDescent="0.25">
      <c r="A16" t="s">
        <v>804</v>
      </c>
      <c r="B16" s="1">
        <v>910115</v>
      </c>
      <c r="C16" t="s">
        <v>805</v>
      </c>
    </row>
    <row r="17" spans="1:3" x14ac:dyDescent="0.25">
      <c r="A17" t="s">
        <v>806</v>
      </c>
      <c r="B17" s="1">
        <v>910116</v>
      </c>
      <c r="C17" t="s">
        <v>807</v>
      </c>
    </row>
    <row r="18" spans="1:3" x14ac:dyDescent="0.25">
      <c r="A18" t="s">
        <v>808</v>
      </c>
      <c r="B18" s="1">
        <v>910117</v>
      </c>
      <c r="C18" t="s">
        <v>809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5" t="s">
        <v>888</v>
      </c>
      <c r="B1" s="175"/>
      <c r="C1" s="175"/>
      <c r="E1" s="175" t="s">
        <v>889</v>
      </c>
      <c r="F1" s="175"/>
      <c r="G1" s="175"/>
      <c r="I1" s="175" t="s">
        <v>1055</v>
      </c>
      <c r="J1" s="175"/>
      <c r="K1" s="175"/>
      <c r="M1" s="176" t="s">
        <v>890</v>
      </c>
      <c r="N1" s="176"/>
      <c r="O1" s="176"/>
      <c r="P1" s="176"/>
      <c r="Q1" s="176"/>
      <c r="R1" s="17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885</v>
      </c>
      <c r="N2" s="51">
        <v>2</v>
      </c>
      <c r="O2" s="51">
        <v>3</v>
      </c>
      <c r="P2" s="51">
        <v>4</v>
      </c>
      <c r="Q2" s="51">
        <v>5</v>
      </c>
      <c r="R2" s="51" t="s">
        <v>812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905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9"/>
  <sheetViews>
    <sheetView workbookViewId="0">
      <selection activeCell="B12" sqref="B12"/>
    </sheetView>
  </sheetViews>
  <sheetFormatPr defaultRowHeight="15" x14ac:dyDescent="0.25"/>
  <sheetData>
    <row r="2" spans="2:6" x14ac:dyDescent="0.25">
      <c r="B2" s="10" t="s">
        <v>916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917</v>
      </c>
    </row>
    <row r="8" spans="2:6" x14ac:dyDescent="0.25">
      <c r="B8" s="1" t="s">
        <v>918</v>
      </c>
      <c r="C8" s="1" t="s">
        <v>919</v>
      </c>
      <c r="D8" s="1" t="s">
        <v>914</v>
      </c>
      <c r="E8" s="1" t="s">
        <v>915</v>
      </c>
      <c r="F8" s="1" t="s">
        <v>923</v>
      </c>
    </row>
    <row r="9" spans="2:6" x14ac:dyDescent="0.25">
      <c r="B9" s="1">
        <v>9</v>
      </c>
      <c r="C9" s="9" t="s">
        <v>901</v>
      </c>
      <c r="D9" s="9" t="s">
        <v>925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5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896</v>
      </c>
      <c r="D10" s="9" t="s">
        <v>926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897</v>
      </c>
      <c r="D11" s="9" t="s">
        <v>927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6</v>
      </c>
      <c r="C12" s="9" t="s">
        <v>1085</v>
      </c>
      <c r="D12" s="9" t="s">
        <v>1086</v>
      </c>
      <c r="E12" s="9" t="str">
        <f>CLEAN(TRIM(SUBSTITUTE(D12,B12&amp;10,B12&amp;Main!D46)))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F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6" x14ac:dyDescent="0.25">
      <c r="B13" s="1">
        <v>17</v>
      </c>
      <c r="C13" s="9" t="s">
        <v>898</v>
      </c>
      <c r="D13" s="9" t="s">
        <v>928</v>
      </c>
      <c r="E13" s="9" t="str">
        <f>CLEAN(TRIM(SUBSTITUTE(D13,B13&amp;10,B13&amp;Main!D47)))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4" spans="2:6" x14ac:dyDescent="0.25">
      <c r="B14" s="1">
        <v>17</v>
      </c>
      <c r="C14" s="9" t="s">
        <v>899</v>
      </c>
      <c r="D14" s="9" t="s">
        <v>924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5" spans="2:6" x14ac:dyDescent="0.25">
      <c r="B15" s="1">
        <v>17</v>
      </c>
      <c r="C15" s="9" t="s">
        <v>900</v>
      </c>
      <c r="D15" s="9" t="s">
        <v>929</v>
      </c>
      <c r="E15" s="9" t="str">
        <f>CLEAN(TRIM(SUBSTITUTE(D15,B15&amp;10,B15&amp;Main!D49)))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7" spans="2:3" x14ac:dyDescent="0.25">
      <c r="B17" s="111" t="s">
        <v>920</v>
      </c>
    </row>
    <row r="18" spans="2:3" x14ac:dyDescent="0.25">
      <c r="B18" s="1" t="s">
        <v>1045</v>
      </c>
      <c r="C18" s="1" t="s">
        <v>923</v>
      </c>
    </row>
    <row r="19" spans="2:3" x14ac:dyDescent="0.25">
      <c r="B19" t="s">
        <v>1046</v>
      </c>
      <c r="C19" t="str">
        <f t="shared" ref="C19" si="1">SUBSTITUTE(B19,"start_turn\"&amp;CHAR(34)&amp;":\"&amp;CHAR(34)&amp;1,"start_turn\"&amp;CHAR(34)&amp;":\"&amp;CHAR(34)&amp;TurnNum)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1"/>
  <sheetViews>
    <sheetView topLeftCell="AB1" workbookViewId="0">
      <pane ySplit="1" topLeftCell="A2" activePane="bottomLeft" state="frozen"/>
      <selection activeCell="B191" sqref="B191"/>
      <selection pane="bottomLeft" activeCell="B191" sqref="B191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826</v>
      </c>
      <c r="AI1" s="43" t="s">
        <v>827</v>
      </c>
      <c r="AJ1" s="43" t="s">
        <v>829</v>
      </c>
      <c r="AK1" s="43" t="s">
        <v>876</v>
      </c>
      <c r="AL1" s="43" t="s">
        <v>834</v>
      </c>
      <c r="AM1" s="43" t="s">
        <v>836</v>
      </c>
      <c r="AN1" s="43" t="s">
        <v>9</v>
      </c>
      <c r="AO1" s="43" t="s">
        <v>846</v>
      </c>
      <c r="AP1" s="43" t="s">
        <v>875</v>
      </c>
      <c r="AQ1" s="43" t="s">
        <v>851</v>
      </c>
      <c r="AR1" s="43" t="s">
        <v>747</v>
      </c>
      <c r="AS1" s="43" t="s">
        <v>861</v>
      </c>
      <c r="AT1" s="43" t="s">
        <v>862</v>
      </c>
      <c r="AU1" s="43" t="s">
        <v>1116</v>
      </c>
      <c r="AV1" s="43" t="s">
        <v>812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867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978</v>
      </c>
      <c r="K2" s="9" t="s">
        <v>874</v>
      </c>
      <c r="L2" s="9" t="s">
        <v>992</v>
      </c>
      <c r="M2" s="9" t="s">
        <v>105</v>
      </c>
      <c r="N2" s="9" t="s">
        <v>958</v>
      </c>
      <c r="O2" s="9" t="s">
        <v>1010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1007</v>
      </c>
      <c r="V2" s="9" t="s">
        <v>999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952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1110</v>
      </c>
      <c r="AV2" t="s">
        <v>874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982</v>
      </c>
      <c r="F3" s="9" t="s">
        <v>264</v>
      </c>
      <c r="G3" s="9" t="s">
        <v>1004</v>
      </c>
      <c r="H3" s="9" t="s">
        <v>77</v>
      </c>
      <c r="I3" s="9" t="s">
        <v>334</v>
      </c>
      <c r="J3" s="9" t="s">
        <v>946</v>
      </c>
      <c r="K3" s="9" t="s">
        <v>839</v>
      </c>
      <c r="M3" s="9" t="s">
        <v>102</v>
      </c>
      <c r="N3" s="9" t="s">
        <v>272</v>
      </c>
      <c r="O3" s="9" t="s">
        <v>306</v>
      </c>
      <c r="P3" s="9" t="s">
        <v>988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950</v>
      </c>
      <c r="Y3" s="9" t="s">
        <v>217</v>
      </c>
      <c r="Z3" s="9" t="s">
        <v>345</v>
      </c>
      <c r="AC3" s="9" t="s">
        <v>196</v>
      </c>
      <c r="AD3" s="9" t="s">
        <v>976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1109</v>
      </c>
      <c r="AV3" t="s">
        <v>831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863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1108</v>
      </c>
      <c r="AV4" t="s">
        <v>841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1003</v>
      </c>
      <c r="F5" s="9" t="s">
        <v>204</v>
      </c>
      <c r="H5" s="9" t="s">
        <v>91</v>
      </c>
      <c r="I5" s="9" t="s">
        <v>211</v>
      </c>
      <c r="J5" s="9" t="s">
        <v>993</v>
      </c>
      <c r="K5" s="9" t="s">
        <v>965</v>
      </c>
      <c r="M5" s="9" t="s">
        <v>348</v>
      </c>
      <c r="N5" s="9" t="s">
        <v>970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824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1107</v>
      </c>
      <c r="AV5" t="s">
        <v>1121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1091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842</v>
      </c>
      <c r="AE6" s="9" t="s">
        <v>292</v>
      </c>
      <c r="AP6" t="s">
        <v>674</v>
      </c>
      <c r="AQ6" t="s">
        <v>656</v>
      </c>
      <c r="AU6" t="s">
        <v>1106</v>
      </c>
      <c r="AV6" t="s">
        <v>1120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944</v>
      </c>
      <c r="X7" s="9" t="s">
        <v>127</v>
      </c>
      <c r="Y7" s="9" t="s">
        <v>1006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1115</v>
      </c>
      <c r="AV7" t="s">
        <v>1122</v>
      </c>
    </row>
    <row r="8" spans="1:51" x14ac:dyDescent="0.25">
      <c r="A8" s="9"/>
      <c r="C8" s="9" t="s">
        <v>69</v>
      </c>
      <c r="D8" s="9" t="s">
        <v>63</v>
      </c>
      <c r="E8" s="9" t="s">
        <v>933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936</v>
      </c>
      <c r="P8" s="9" t="s">
        <v>319</v>
      </c>
      <c r="S8" s="9" t="s">
        <v>120</v>
      </c>
      <c r="T8" s="9" t="s">
        <v>276</v>
      </c>
      <c r="U8" s="9" t="s">
        <v>956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830</v>
      </c>
      <c r="AE8" s="9" t="s">
        <v>202</v>
      </c>
      <c r="AP8" t="s">
        <v>676</v>
      </c>
      <c r="AQ8" t="s">
        <v>658</v>
      </c>
      <c r="AU8" t="s">
        <v>1105</v>
      </c>
      <c r="AV8" t="s">
        <v>1117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951</v>
      </c>
      <c r="J9" s="9" t="s">
        <v>332</v>
      </c>
      <c r="K9" s="9" t="s">
        <v>1008</v>
      </c>
      <c r="N9" s="9" t="s">
        <v>95</v>
      </c>
      <c r="O9" s="9" t="s">
        <v>967</v>
      </c>
      <c r="P9" s="9" t="s">
        <v>966</v>
      </c>
      <c r="S9" s="9" t="s">
        <v>279</v>
      </c>
      <c r="T9" s="9" t="s">
        <v>985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971</v>
      </c>
      <c r="AD9" s="9" t="s">
        <v>193</v>
      </c>
      <c r="AE9" s="9" t="s">
        <v>973</v>
      </c>
      <c r="AP9" t="s">
        <v>677</v>
      </c>
      <c r="AQ9" t="s">
        <v>659</v>
      </c>
      <c r="AU9" t="s">
        <v>1123</v>
      </c>
      <c r="AV9" t="s">
        <v>1119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953</v>
      </c>
      <c r="G10" s="9"/>
      <c r="H10" s="9" t="s">
        <v>140</v>
      </c>
      <c r="I10" s="9" t="s">
        <v>90</v>
      </c>
      <c r="J10" s="9" t="s">
        <v>828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U10" t="s">
        <v>1124</v>
      </c>
      <c r="AV10" t="s">
        <v>1118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980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974</v>
      </c>
      <c r="AL11" s="40"/>
      <c r="AU11" t="s">
        <v>1125</v>
      </c>
      <c r="AV11" t="s">
        <v>818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961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998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L12" s="40"/>
      <c r="AU12" t="s">
        <v>1112</v>
      </c>
      <c r="AV12" t="s">
        <v>819</v>
      </c>
    </row>
    <row r="13" spans="1:51" x14ac:dyDescent="0.25">
      <c r="A13" s="9"/>
      <c r="C13" s="9"/>
      <c r="D13" s="9" t="s">
        <v>218</v>
      </c>
      <c r="E13" s="9" t="s">
        <v>960</v>
      </c>
      <c r="F13" s="9" t="s">
        <v>986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934</v>
      </c>
      <c r="AD13" s="9" t="s">
        <v>220</v>
      </c>
      <c r="AE13" s="9" t="s">
        <v>219</v>
      </c>
      <c r="AL13" s="40"/>
      <c r="AU13" t="s">
        <v>1111</v>
      </c>
      <c r="AV13" t="s">
        <v>820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981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1011</v>
      </c>
      <c r="U14" s="9" t="s">
        <v>150</v>
      </c>
      <c r="Y14" s="9" t="s">
        <v>969</v>
      </c>
      <c r="Z14" s="9" t="s">
        <v>943</v>
      </c>
      <c r="AD14" s="9" t="s">
        <v>975</v>
      </c>
      <c r="AE14" s="9" t="s">
        <v>198</v>
      </c>
      <c r="AL14" s="40"/>
      <c r="AM14" s="40"/>
      <c r="AU14" t="s">
        <v>1114</v>
      </c>
      <c r="AV14" t="s">
        <v>857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964</v>
      </c>
      <c r="T15" s="9" t="s">
        <v>108</v>
      </c>
      <c r="U15" s="9" t="s">
        <v>164</v>
      </c>
      <c r="Y15" s="9" t="s">
        <v>935</v>
      </c>
      <c r="Z15" s="9" t="s">
        <v>1090</v>
      </c>
      <c r="AE15" s="9" t="s">
        <v>991</v>
      </c>
      <c r="AL15" s="40"/>
      <c r="AM15" s="40"/>
      <c r="AP15" s="40"/>
      <c r="AU15" t="s">
        <v>1113</v>
      </c>
      <c r="AV15" t="s">
        <v>217</v>
      </c>
    </row>
    <row r="16" spans="1:51" x14ac:dyDescent="0.25">
      <c r="A16" s="9"/>
      <c r="C16" s="9"/>
      <c r="D16" s="9" t="s">
        <v>972</v>
      </c>
      <c r="E16" s="9" t="s">
        <v>144</v>
      </c>
      <c r="F16" s="9" t="s">
        <v>262</v>
      </c>
      <c r="G16" s="9"/>
      <c r="I16" s="9" t="s">
        <v>994</v>
      </c>
      <c r="J16" s="9" t="s">
        <v>83</v>
      </c>
      <c r="K16" s="9" t="s">
        <v>940</v>
      </c>
      <c r="N16" s="9" t="s">
        <v>166</v>
      </c>
      <c r="O16" s="9" t="s">
        <v>1000</v>
      </c>
      <c r="P16" s="9" t="s">
        <v>250</v>
      </c>
      <c r="S16" s="9" t="s">
        <v>224</v>
      </c>
      <c r="T16" s="9" t="s">
        <v>109</v>
      </c>
      <c r="U16" s="9" t="s">
        <v>1012</v>
      </c>
      <c r="Y16" s="9" t="s">
        <v>269</v>
      </c>
      <c r="Z16" s="9" t="s">
        <v>1002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977</v>
      </c>
      <c r="J17" s="9" t="s">
        <v>1088</v>
      </c>
      <c r="K17" s="9" t="s">
        <v>1001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957</v>
      </c>
      <c r="AE17" s="9" t="s">
        <v>853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954</v>
      </c>
      <c r="K18" s="9" t="s">
        <v>182</v>
      </c>
      <c r="N18" s="9" t="s">
        <v>284</v>
      </c>
      <c r="O18" s="9" t="s">
        <v>99</v>
      </c>
      <c r="P18" s="9" t="s">
        <v>987</v>
      </c>
      <c r="S18" s="9" t="s">
        <v>949</v>
      </c>
      <c r="T18" s="9" t="s">
        <v>948</v>
      </c>
      <c r="U18" s="9" t="s">
        <v>990</v>
      </c>
      <c r="AV18" t="s">
        <v>74</v>
      </c>
    </row>
    <row r="19" spans="1:48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1009</v>
      </c>
      <c r="T19" s="9" t="s">
        <v>309</v>
      </c>
      <c r="U19" s="9" t="s">
        <v>301</v>
      </c>
      <c r="AV19" t="s">
        <v>877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995</v>
      </c>
      <c r="K20" s="9" t="s">
        <v>157</v>
      </c>
      <c r="N20" s="9" t="s">
        <v>311</v>
      </c>
      <c r="O20" s="9" t="s">
        <v>955</v>
      </c>
      <c r="P20" s="9" t="s">
        <v>107</v>
      </c>
      <c r="T20" s="9" t="s">
        <v>255</v>
      </c>
      <c r="U20" s="9" t="s">
        <v>254</v>
      </c>
      <c r="AV20" t="s">
        <v>865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860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863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996</v>
      </c>
      <c r="P22" s="9" t="s">
        <v>280</v>
      </c>
      <c r="T22" s="9" t="s">
        <v>997</v>
      </c>
      <c r="U22" s="9" t="s">
        <v>357</v>
      </c>
      <c r="AV22" t="s">
        <v>867</v>
      </c>
    </row>
    <row r="23" spans="1:48" x14ac:dyDescent="0.25">
      <c r="A23" s="9"/>
      <c r="C23" s="9"/>
      <c r="D23" s="9" t="s">
        <v>959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1013</v>
      </c>
      <c r="P23" s="9" t="s">
        <v>343</v>
      </c>
      <c r="T23" s="9" t="s">
        <v>121</v>
      </c>
      <c r="U23" s="9" t="s">
        <v>356</v>
      </c>
      <c r="AV23" t="s">
        <v>869</v>
      </c>
    </row>
    <row r="24" spans="1:48" x14ac:dyDescent="0.25">
      <c r="A24" s="9"/>
      <c r="C24" s="9"/>
      <c r="D24" s="9"/>
      <c r="E24" s="9"/>
      <c r="F24" s="9" t="s">
        <v>859</v>
      </c>
      <c r="J24" s="9" t="s">
        <v>147</v>
      </c>
      <c r="K24" s="9" t="s">
        <v>366</v>
      </c>
      <c r="O24" s="9" t="s">
        <v>229</v>
      </c>
      <c r="P24" s="9" t="s">
        <v>984</v>
      </c>
      <c r="T24" s="9" t="s">
        <v>117</v>
      </c>
      <c r="U24" s="9" t="s">
        <v>238</v>
      </c>
      <c r="AQ24" s="9"/>
      <c r="AV24" t="s">
        <v>868</v>
      </c>
    </row>
    <row r="25" spans="1:48" x14ac:dyDescent="0.25">
      <c r="A25" s="9"/>
      <c r="C25" s="9"/>
      <c r="D25" s="9"/>
      <c r="E25" s="9"/>
      <c r="F25" s="9" t="s">
        <v>989</v>
      </c>
      <c r="K25" s="9" t="s">
        <v>80</v>
      </c>
      <c r="P25" s="9" t="s">
        <v>947</v>
      </c>
      <c r="T25" s="9" t="s">
        <v>239</v>
      </c>
      <c r="U25" s="9" t="s">
        <v>161</v>
      </c>
      <c r="AQ25" s="9"/>
      <c r="AV25" t="s">
        <v>870</v>
      </c>
    </row>
    <row r="26" spans="1:48" x14ac:dyDescent="0.25">
      <c r="A26" s="9"/>
      <c r="C26" s="9"/>
      <c r="D26" s="9"/>
      <c r="E26" s="9"/>
      <c r="F26" s="9" t="s">
        <v>945</v>
      </c>
      <c r="K26" s="9" t="s">
        <v>983</v>
      </c>
      <c r="P26" s="9" t="s">
        <v>339</v>
      </c>
      <c r="U26" s="9" t="s">
        <v>941</v>
      </c>
      <c r="AQ26" s="9"/>
      <c r="AV26" t="s">
        <v>832</v>
      </c>
    </row>
    <row r="27" spans="1:48" x14ac:dyDescent="0.25">
      <c r="A27" s="9"/>
      <c r="C27" s="9"/>
      <c r="D27" s="9"/>
      <c r="E27" s="9"/>
      <c r="F27" s="9" t="s">
        <v>1005</v>
      </c>
      <c r="K27" s="9" t="s">
        <v>267</v>
      </c>
      <c r="P27" s="9" t="s">
        <v>979</v>
      </c>
      <c r="U27" s="9" t="s">
        <v>310</v>
      </c>
      <c r="AQ27" s="9"/>
      <c r="AV27" t="s">
        <v>952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963</v>
      </c>
      <c r="AV28" t="s">
        <v>855</v>
      </c>
    </row>
    <row r="29" spans="1:48" x14ac:dyDescent="0.25">
      <c r="A29" s="9"/>
      <c r="C29" s="9"/>
      <c r="D29" s="9"/>
      <c r="E29" s="9"/>
      <c r="P29" s="9" t="s">
        <v>962</v>
      </c>
      <c r="U29" s="9" t="s">
        <v>1089</v>
      </c>
      <c r="AV29" t="s">
        <v>837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993</v>
      </c>
    </row>
    <row r="31" spans="1:48" x14ac:dyDescent="0.25">
      <c r="A31" s="9"/>
      <c r="C31" s="9"/>
      <c r="D31" s="9"/>
      <c r="E31" s="9"/>
      <c r="U31" s="9" t="s">
        <v>358</v>
      </c>
      <c r="AV31" t="s">
        <v>833</v>
      </c>
    </row>
    <row r="32" spans="1:48" x14ac:dyDescent="0.25">
      <c r="A32" s="9"/>
      <c r="C32" s="9"/>
      <c r="D32" s="9"/>
      <c r="E32" s="9"/>
      <c r="U32" s="9" t="s">
        <v>213</v>
      </c>
      <c r="AV32" t="s">
        <v>821</v>
      </c>
    </row>
    <row r="33" spans="1:48" x14ac:dyDescent="0.25">
      <c r="A33" s="9"/>
      <c r="C33" s="9"/>
      <c r="D33" s="9"/>
      <c r="E33" s="9"/>
      <c r="U33" s="9" t="s">
        <v>942</v>
      </c>
      <c r="AV33" t="s">
        <v>1010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854</v>
      </c>
    </row>
    <row r="36" spans="1:48" x14ac:dyDescent="0.25">
      <c r="A36" s="9"/>
      <c r="C36" s="9"/>
      <c r="D36" s="9"/>
      <c r="E36" s="9"/>
      <c r="U36" s="9" t="s">
        <v>968</v>
      </c>
      <c r="AV36" t="s">
        <v>998</v>
      </c>
    </row>
    <row r="37" spans="1:48" x14ac:dyDescent="0.25">
      <c r="A37" s="9"/>
      <c r="C37" s="9"/>
      <c r="D37" s="9"/>
      <c r="E37" s="9"/>
      <c r="U37" s="9" t="s">
        <v>226</v>
      </c>
      <c r="AV37" t="s">
        <v>999</v>
      </c>
    </row>
    <row r="38" spans="1:48" x14ac:dyDescent="0.25">
      <c r="A38" s="9"/>
      <c r="C38" s="9"/>
      <c r="D38" s="9"/>
      <c r="E38" s="9"/>
      <c r="AV38" t="s">
        <v>1012</v>
      </c>
    </row>
    <row r="39" spans="1:48" x14ac:dyDescent="0.25">
      <c r="A39" s="9"/>
      <c r="C39" s="9"/>
      <c r="D39" s="9"/>
      <c r="E39" s="9"/>
      <c r="AV39" t="s">
        <v>1011</v>
      </c>
    </row>
    <row r="40" spans="1:48" x14ac:dyDescent="0.25">
      <c r="A40" s="9"/>
      <c r="C40" s="9"/>
      <c r="D40" s="9"/>
      <c r="E40" s="9"/>
      <c r="AV40" t="s">
        <v>1008</v>
      </c>
    </row>
    <row r="41" spans="1:48" x14ac:dyDescent="0.25">
      <c r="A41" s="9"/>
      <c r="C41" s="9"/>
      <c r="D41" s="9"/>
      <c r="E41" s="9"/>
      <c r="AV41" t="s">
        <v>1003</v>
      </c>
    </row>
    <row r="42" spans="1:48" x14ac:dyDescent="0.25">
      <c r="A42" s="9"/>
      <c r="C42" s="9"/>
      <c r="D42" s="9"/>
      <c r="AV42" t="s">
        <v>342</v>
      </c>
    </row>
    <row r="43" spans="1:48" x14ac:dyDescent="0.25">
      <c r="A43" s="9"/>
      <c r="C43" s="9"/>
      <c r="D43" s="9"/>
      <c r="AV43" t="s">
        <v>301</v>
      </c>
    </row>
    <row r="44" spans="1:48" x14ac:dyDescent="0.25">
      <c r="A44" s="9"/>
      <c r="C44" s="9"/>
      <c r="D44" s="9"/>
      <c r="AV44" t="s">
        <v>360</v>
      </c>
    </row>
    <row r="45" spans="1:48" x14ac:dyDescent="0.25">
      <c r="A45" s="9"/>
      <c r="C45" s="9"/>
      <c r="D45" s="9"/>
      <c r="AV45" t="s">
        <v>364</v>
      </c>
    </row>
    <row r="46" spans="1:48" x14ac:dyDescent="0.25">
      <c r="A46" s="9"/>
      <c r="C46" s="9"/>
      <c r="D46" s="9"/>
      <c r="AV46" t="s">
        <v>879</v>
      </c>
    </row>
    <row r="47" spans="1:48" x14ac:dyDescent="0.25">
      <c r="A47" s="9"/>
      <c r="C47" s="9"/>
      <c r="D47" s="9"/>
      <c r="AV47" t="s">
        <v>882</v>
      </c>
    </row>
    <row r="48" spans="1:48" x14ac:dyDescent="0.25">
      <c r="A48" s="9"/>
      <c r="C48" s="9"/>
      <c r="D48" s="9"/>
      <c r="AV48" t="s">
        <v>883</v>
      </c>
    </row>
    <row r="49" spans="1:48" x14ac:dyDescent="0.25">
      <c r="A49" s="9"/>
      <c r="C49" s="9"/>
      <c r="D49" s="9"/>
      <c r="AV49" t="s">
        <v>880</v>
      </c>
    </row>
    <row r="50" spans="1:48" x14ac:dyDescent="0.25">
      <c r="A50" s="9"/>
      <c r="C50" s="9"/>
      <c r="D50" s="9"/>
      <c r="AV50" t="s">
        <v>878</v>
      </c>
    </row>
    <row r="51" spans="1:48" x14ac:dyDescent="0.25">
      <c r="A51" s="9"/>
      <c r="C51" s="9"/>
      <c r="D51" s="9"/>
      <c r="AV51" t="s">
        <v>881</v>
      </c>
    </row>
    <row r="52" spans="1:48" x14ac:dyDescent="0.25">
      <c r="A52" s="9"/>
      <c r="C52" s="9"/>
      <c r="D52" s="9"/>
      <c r="AV52" t="s">
        <v>884</v>
      </c>
    </row>
    <row r="53" spans="1:48" x14ac:dyDescent="0.25">
      <c r="A53" s="9"/>
      <c r="C53" s="9"/>
      <c r="D53" s="9"/>
      <c r="AV53" t="s">
        <v>1016</v>
      </c>
    </row>
    <row r="54" spans="1:48" x14ac:dyDescent="0.25">
      <c r="A54" s="9"/>
      <c r="C54" s="9"/>
      <c r="D54" s="9"/>
      <c r="AV54" t="s">
        <v>101</v>
      </c>
    </row>
    <row r="55" spans="1:48" x14ac:dyDescent="0.25">
      <c r="A55" s="9"/>
      <c r="C55" s="9"/>
      <c r="D55" s="9"/>
      <c r="AV55" t="s">
        <v>840</v>
      </c>
    </row>
    <row r="56" spans="1:48" x14ac:dyDescent="0.25">
      <c r="A56" s="9"/>
      <c r="C56" s="9"/>
      <c r="D56" s="9"/>
      <c r="AV56" t="s">
        <v>368</v>
      </c>
    </row>
    <row r="57" spans="1:48" x14ac:dyDescent="0.25">
      <c r="A57" s="9"/>
      <c r="C57" s="9"/>
      <c r="D57" s="9"/>
      <c r="AV57" t="s">
        <v>822</v>
      </c>
    </row>
    <row r="58" spans="1:48" x14ac:dyDescent="0.25">
      <c r="A58" s="9"/>
      <c r="C58" s="9"/>
      <c r="D58" s="9"/>
      <c r="AV58" t="s">
        <v>362</v>
      </c>
    </row>
    <row r="59" spans="1:48" x14ac:dyDescent="0.25">
      <c r="A59" s="9"/>
      <c r="C59" s="9"/>
      <c r="D59" s="9"/>
      <c r="AV59" t="s">
        <v>353</v>
      </c>
    </row>
    <row r="60" spans="1:48" x14ac:dyDescent="0.25">
      <c r="A60" s="9"/>
      <c r="C60" s="9"/>
      <c r="D60" s="9"/>
      <c r="AV60" t="s">
        <v>852</v>
      </c>
    </row>
    <row r="61" spans="1:48" x14ac:dyDescent="0.25">
      <c r="A61" s="9"/>
      <c r="C61" s="9"/>
      <c r="D61" s="9"/>
      <c r="AV61" t="s">
        <v>933</v>
      </c>
    </row>
    <row r="62" spans="1:48" x14ac:dyDescent="0.25">
      <c r="A62" s="9"/>
      <c r="C62" s="9"/>
      <c r="D62" s="9"/>
      <c r="AV62" t="s">
        <v>842</v>
      </c>
    </row>
    <row r="63" spans="1:48" x14ac:dyDescent="0.25">
      <c r="A63" s="9"/>
      <c r="C63" s="9"/>
      <c r="D63" s="9"/>
      <c r="AV63" t="s">
        <v>351</v>
      </c>
    </row>
    <row r="64" spans="1:48" x14ac:dyDescent="0.25">
      <c r="C64" s="9"/>
      <c r="D64" s="9"/>
      <c r="AV64" t="s">
        <v>361</v>
      </c>
    </row>
    <row r="65" spans="3:48" x14ac:dyDescent="0.25">
      <c r="C65" s="9"/>
      <c r="D65" s="9"/>
      <c r="AV65" t="s">
        <v>127</v>
      </c>
    </row>
    <row r="66" spans="3:48" x14ac:dyDescent="0.25">
      <c r="C66" s="9"/>
      <c r="D66" s="9"/>
      <c r="AV66" t="s">
        <v>95</v>
      </c>
    </row>
    <row r="67" spans="3:48" x14ac:dyDescent="0.25">
      <c r="C67" s="9"/>
      <c r="D67" s="9"/>
      <c r="AV67" t="s">
        <v>77</v>
      </c>
    </row>
    <row r="68" spans="3:48" x14ac:dyDescent="0.25">
      <c r="D68" s="9"/>
      <c r="AV68" t="s">
        <v>828</v>
      </c>
    </row>
    <row r="69" spans="3:48" x14ac:dyDescent="0.25">
      <c r="D69" s="9"/>
      <c r="AV69" t="s">
        <v>357</v>
      </c>
    </row>
    <row r="70" spans="3:48" x14ac:dyDescent="0.25">
      <c r="D70" s="9"/>
      <c r="AV70" t="s">
        <v>356</v>
      </c>
    </row>
    <row r="71" spans="3:48" x14ac:dyDescent="0.25">
      <c r="AV71" t="s">
        <v>830</v>
      </c>
    </row>
    <row r="72" spans="3:48" x14ac:dyDescent="0.25">
      <c r="AV72" t="s">
        <v>63</v>
      </c>
    </row>
    <row r="73" spans="3:48" x14ac:dyDescent="0.25">
      <c r="AV73" t="s">
        <v>365</v>
      </c>
    </row>
    <row r="74" spans="3:48" x14ac:dyDescent="0.25">
      <c r="AV74" t="s">
        <v>866</v>
      </c>
    </row>
    <row r="75" spans="3:48" x14ac:dyDescent="0.25">
      <c r="AV75" t="s">
        <v>68</v>
      </c>
    </row>
    <row r="76" spans="3:48" x14ac:dyDescent="0.25">
      <c r="AV76" t="s">
        <v>238</v>
      </c>
    </row>
    <row r="77" spans="3:48" x14ac:dyDescent="0.25">
      <c r="AV77" t="s">
        <v>134</v>
      </c>
    </row>
    <row r="78" spans="3:48" x14ac:dyDescent="0.25">
      <c r="AV78" t="s">
        <v>403</v>
      </c>
    </row>
    <row r="79" spans="3:48" x14ac:dyDescent="0.25">
      <c r="AV79" t="s">
        <v>352</v>
      </c>
    </row>
    <row r="80" spans="3:48" x14ac:dyDescent="0.25">
      <c r="AV80" t="s">
        <v>847</v>
      </c>
    </row>
    <row r="81" spans="48:48" x14ac:dyDescent="0.25">
      <c r="AV81" t="s">
        <v>1009</v>
      </c>
    </row>
    <row r="82" spans="48:48" x14ac:dyDescent="0.25">
      <c r="AV82" t="s">
        <v>363</v>
      </c>
    </row>
    <row r="83" spans="48:48" x14ac:dyDescent="0.25">
      <c r="AV83" t="s">
        <v>848</v>
      </c>
    </row>
    <row r="84" spans="48:48" x14ac:dyDescent="0.25">
      <c r="AV84" t="s">
        <v>355</v>
      </c>
    </row>
    <row r="85" spans="48:48" x14ac:dyDescent="0.25">
      <c r="AV85" t="s">
        <v>168</v>
      </c>
    </row>
    <row r="86" spans="48:48" x14ac:dyDescent="0.25">
      <c r="AV86" t="s">
        <v>845</v>
      </c>
    </row>
    <row r="87" spans="48:48" x14ac:dyDescent="0.25">
      <c r="AV87" t="s">
        <v>825</v>
      </c>
    </row>
    <row r="88" spans="48:48" x14ac:dyDescent="0.25">
      <c r="AV88" t="s">
        <v>1001</v>
      </c>
    </row>
    <row r="89" spans="48:48" x14ac:dyDescent="0.25">
      <c r="AV89" t="s">
        <v>70</v>
      </c>
    </row>
    <row r="90" spans="48:48" x14ac:dyDescent="0.25">
      <c r="AV90" t="s">
        <v>1104</v>
      </c>
    </row>
    <row r="91" spans="48:48" x14ac:dyDescent="0.25">
      <c r="AV91" t="s">
        <v>98</v>
      </c>
    </row>
    <row r="92" spans="48:48" x14ac:dyDescent="0.25">
      <c r="AV92" t="s">
        <v>310</v>
      </c>
    </row>
    <row r="93" spans="48:48" x14ac:dyDescent="0.25">
      <c r="AV93" t="s">
        <v>343</v>
      </c>
    </row>
    <row r="94" spans="48:48" x14ac:dyDescent="0.25">
      <c r="AV94" t="s">
        <v>992</v>
      </c>
    </row>
    <row r="95" spans="48:48" x14ac:dyDescent="0.25">
      <c r="AV95" t="s">
        <v>130</v>
      </c>
    </row>
    <row r="96" spans="48:48" x14ac:dyDescent="0.25">
      <c r="AV96" t="s">
        <v>369</v>
      </c>
    </row>
    <row r="97" spans="48:48" x14ac:dyDescent="0.25">
      <c r="AV97" t="s">
        <v>873</v>
      </c>
    </row>
    <row r="98" spans="48:48" x14ac:dyDescent="0.25">
      <c r="AV98" t="s">
        <v>850</v>
      </c>
    </row>
    <row r="99" spans="48:48" x14ac:dyDescent="0.25">
      <c r="AV99" t="s">
        <v>871</v>
      </c>
    </row>
    <row r="100" spans="48:48" x14ac:dyDescent="0.25">
      <c r="AV100" t="s">
        <v>864</v>
      </c>
    </row>
    <row r="101" spans="48:48" x14ac:dyDescent="0.25">
      <c r="AV101" t="s">
        <v>87</v>
      </c>
    </row>
    <row r="102" spans="48:48" x14ac:dyDescent="0.25">
      <c r="AV102" t="s">
        <v>872</v>
      </c>
    </row>
    <row r="103" spans="48:48" x14ac:dyDescent="0.25">
      <c r="AV103" t="s">
        <v>93</v>
      </c>
    </row>
    <row r="104" spans="48:48" x14ac:dyDescent="0.25">
      <c r="AV104" t="s">
        <v>358</v>
      </c>
    </row>
    <row r="105" spans="48:48" x14ac:dyDescent="0.25">
      <c r="AV105" t="s">
        <v>843</v>
      </c>
    </row>
    <row r="106" spans="48:48" x14ac:dyDescent="0.25">
      <c r="AV106" t="s">
        <v>67</v>
      </c>
    </row>
    <row r="107" spans="48:48" x14ac:dyDescent="0.25">
      <c r="AV107" t="s">
        <v>859</v>
      </c>
    </row>
    <row r="108" spans="48:48" x14ac:dyDescent="0.25">
      <c r="AV108" t="s">
        <v>856</v>
      </c>
    </row>
    <row r="109" spans="48:48" x14ac:dyDescent="0.25">
      <c r="AV109" t="s">
        <v>995</v>
      </c>
    </row>
    <row r="110" spans="48:48" x14ac:dyDescent="0.25">
      <c r="AV110" t="s">
        <v>844</v>
      </c>
    </row>
    <row r="111" spans="48:48" x14ac:dyDescent="0.25">
      <c r="AV111" t="s">
        <v>157</v>
      </c>
    </row>
    <row r="112" spans="48:48" x14ac:dyDescent="0.25">
      <c r="AV112" t="s">
        <v>1000</v>
      </c>
    </row>
    <row r="113" spans="48:48" x14ac:dyDescent="0.25">
      <c r="AV113" t="s">
        <v>354</v>
      </c>
    </row>
    <row r="114" spans="48:48" x14ac:dyDescent="0.25">
      <c r="AV114" t="s">
        <v>858</v>
      </c>
    </row>
    <row r="115" spans="48:48" x14ac:dyDescent="0.25">
      <c r="AV115" t="s">
        <v>76</v>
      </c>
    </row>
    <row r="116" spans="48:48" x14ac:dyDescent="0.25">
      <c r="AV116" t="s">
        <v>344</v>
      </c>
    </row>
    <row r="117" spans="48:48" x14ac:dyDescent="0.25">
      <c r="AV117" t="s">
        <v>996</v>
      </c>
    </row>
    <row r="118" spans="48:48" x14ac:dyDescent="0.25">
      <c r="AV118" t="s">
        <v>835</v>
      </c>
    </row>
    <row r="119" spans="48:48" x14ac:dyDescent="0.25">
      <c r="AV119" t="s">
        <v>173</v>
      </c>
    </row>
    <row r="120" spans="48:48" x14ac:dyDescent="0.25">
      <c r="AV120" t="s">
        <v>140</v>
      </c>
    </row>
    <row r="121" spans="48:48" x14ac:dyDescent="0.25">
      <c r="AV121" t="s">
        <v>860</v>
      </c>
    </row>
    <row r="122" spans="48:48" x14ac:dyDescent="0.25">
      <c r="AV122" t="s">
        <v>838</v>
      </c>
    </row>
    <row r="123" spans="48:48" x14ac:dyDescent="0.25">
      <c r="AV123" t="s">
        <v>1002</v>
      </c>
    </row>
    <row r="124" spans="48:48" x14ac:dyDescent="0.25">
      <c r="AV124" t="s">
        <v>1013</v>
      </c>
    </row>
    <row r="125" spans="48:48" x14ac:dyDescent="0.25">
      <c r="AV125" t="s">
        <v>823</v>
      </c>
    </row>
    <row r="126" spans="48:48" x14ac:dyDescent="0.25">
      <c r="AV126" t="s">
        <v>853</v>
      </c>
    </row>
    <row r="127" spans="48:48" x14ac:dyDescent="0.25">
      <c r="AV127" t="s">
        <v>849</v>
      </c>
    </row>
    <row r="128" spans="48:48" x14ac:dyDescent="0.25">
      <c r="AV128" t="s">
        <v>367</v>
      </c>
    </row>
    <row r="129" spans="48:48" x14ac:dyDescent="0.25">
      <c r="AV129" t="s">
        <v>366</v>
      </c>
    </row>
    <row r="130" spans="48:48" x14ac:dyDescent="0.25">
      <c r="AV130" t="s">
        <v>103</v>
      </c>
    </row>
    <row r="131" spans="48:48" x14ac:dyDescent="0.25">
      <c r="AV131" t="s">
        <v>1004</v>
      </c>
    </row>
  </sheetData>
  <sortState ref="AW2:AW131">
    <sortCondition ref="AW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36FD1D-C17F-47A2-AC1E-11537E0C4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2021-04-11T20:29:55Z</dcterms:modified>
</cp:coreProperties>
</file>